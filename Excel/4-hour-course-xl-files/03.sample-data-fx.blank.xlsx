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drawings/drawing3.xml" ContentType="application/vnd.openxmlformats-officedocument.drawing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drawings/drawing4.xml" ContentType="application/vnd.openxmlformats-officedocument.drawing+xml"/>
  <Override PartName="/xl/ink/ink17.xml" ContentType="application/inkml+xml"/>
  <Override PartName="/xl/drawings/drawing5.xml" ContentType="application/vnd.openxmlformats-officedocument.drawing+xml"/>
  <Override PartName="/xl/ink/ink18.xml" ContentType="application/inkml+xml"/>
  <Override PartName="/xl/ink/ink19.xml" ContentType="application/inkml+xml"/>
  <Override PartName="/xl/drawings/drawing6.xml" ContentType="application/vnd.openxmlformats-officedocument.drawing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9dd72a3cec08d2/Desktop/4-hour-course-xl-files/"/>
    </mc:Choice>
  </mc:AlternateContent>
  <xr:revisionPtr revIDLastSave="773" documentId="13_ncr:1_{2F91E6CD-71AB-448D-90C3-DA8A53DB92F3}" xr6:coauthVersionLast="47" xr6:coauthVersionMax="47" xr10:uidLastSave="{1D435AFA-2ACA-4739-9A80-660E2CE60418}"/>
  <bookViews>
    <workbookView xWindow="-120" yWindow="-120" windowWidth="29040" windowHeight="15720" activeTab="8" xr2:uid="{26D4546B-D2A1-4444-8EAF-A6228F96F0C1}"/>
  </bookViews>
  <sheets>
    <sheet name="Concepts" sheetId="2" r:id="rId1"/>
    <sheet name="Data" sheetId="1" r:id="rId2"/>
    <sheet name="1" sheetId="3" r:id="rId3"/>
    <sheet name="2" sheetId="4" r:id="rId4"/>
    <sheet name="3" sheetId="5" r:id="rId5"/>
    <sheet name="4" sheetId="6" r:id="rId6"/>
    <sheet name="5" sheetId="7" r:id="rId7"/>
    <sheet name="6" sheetId="9" r:id="rId8"/>
    <sheet name="7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0" l="1" a="1"/>
  <c r="I7" i="10" s="1"/>
  <c r="H8" i="10" a="1"/>
  <c r="H8" i="10" s="1"/>
  <c r="H9" i="10" a="1"/>
  <c r="H9" i="10"/>
  <c r="H10" i="10" a="1"/>
  <c r="H10" i="10"/>
  <c r="H11" i="10" a="1"/>
  <c r="H11" i="10" s="1"/>
  <c r="H12" i="10" a="1"/>
  <c r="H12" i="10" s="1"/>
  <c r="H13" i="10" a="1"/>
  <c r="H13" i="10" s="1"/>
  <c r="H14" i="10" a="1"/>
  <c r="H14" i="10" s="1"/>
  <c r="H15" i="10" a="1"/>
  <c r="H15" i="10" s="1"/>
  <c r="H16" i="10" a="1"/>
  <c r="H16" i="10" s="1"/>
  <c r="H17" i="10" a="1"/>
  <c r="H17" i="10"/>
  <c r="H18" i="10" a="1"/>
  <c r="H18" i="10" s="1"/>
  <c r="H19" i="10" a="1"/>
  <c r="H19" i="10" s="1"/>
  <c r="H7" i="10" a="1"/>
  <c r="H7" i="10" s="1"/>
  <c r="B7" i="10" a="1"/>
  <c r="B7" i="10" s="1"/>
  <c r="G4" i="10"/>
  <c r="D4" i="10"/>
  <c r="C4" i="10"/>
  <c r="C3" i="3" a="1"/>
  <c r="C3" i="3" s="1"/>
  <c r="R45" i="9" a="1"/>
  <c r="R45" i="9" s="1"/>
  <c r="R17" i="9" a="1"/>
  <c r="R17" i="9" s="1"/>
  <c r="P5" i="9" a="1"/>
  <c r="P5" i="9" s="1"/>
  <c r="B15" i="9" a="1"/>
  <c r="B15" i="9" s="1"/>
  <c r="B5" i="9" a="1"/>
  <c r="B5" i="9" s="1"/>
  <c r="I60" i="7" a="1"/>
  <c r="I60" i="7" s="1"/>
  <c r="I55" i="7" a="1"/>
  <c r="I55" i="7" s="1"/>
  <c r="K46" i="7" a="1"/>
  <c r="K46" i="7" s="1"/>
  <c r="E39" i="7" a="1"/>
  <c r="E39" i="7" s="1"/>
  <c r="G27" i="7" a="1"/>
  <c r="G27" i="7" s="1"/>
  <c r="F39" i="7" a="1"/>
  <c r="F39" i="7" s="1"/>
  <c r="G28" i="7" a="1"/>
  <c r="G28" i="7" s="1"/>
  <c r="D23" i="7"/>
  <c r="D26" i="7"/>
  <c r="D25" i="7"/>
  <c r="D24" i="7"/>
  <c r="E6" i="7"/>
  <c r="E10" i="7"/>
  <c r="E9" i="7"/>
  <c r="E8" i="7"/>
  <c r="E7" i="7"/>
  <c r="C26" i="7"/>
  <c r="C25" i="7"/>
  <c r="C24" i="7"/>
  <c r="C23" i="7"/>
  <c r="C6" i="7" a="1"/>
  <c r="C6" i="7" s="1"/>
  <c r="B23" i="6"/>
  <c r="B3" i="3" a="1"/>
  <c r="B3" i="3" s="1"/>
  <c r="B8" i="6" a="1"/>
  <c r="T20" i="4" a="1"/>
  <c r="T20" i="4" s="1"/>
  <c r="E10" i="5" a="1"/>
  <c r="E10" i="5" s="1"/>
  <c r="E11" i="5" a="1"/>
  <c r="E11" i="5" s="1"/>
  <c r="E12" i="5" a="1"/>
  <c r="E12" i="5" s="1"/>
  <c r="E13" i="5" a="1"/>
  <c r="E13" i="5" s="1"/>
  <c r="E9" i="5" a="1"/>
  <c r="E9" i="5" s="1"/>
  <c r="D10" i="5" a="1"/>
  <c r="D10" i="5" s="1"/>
  <c r="D11" i="5" a="1"/>
  <c r="D11" i="5" s="1"/>
  <c r="D12" i="5" a="1"/>
  <c r="D12" i="5" s="1"/>
  <c r="D13" i="5" a="1"/>
  <c r="D13" i="5" s="1"/>
  <c r="D9" i="5" a="1"/>
  <c r="D9" i="5" s="1"/>
  <c r="D8" i="5"/>
  <c r="D7" i="5"/>
  <c r="E8" i="5"/>
  <c r="E7" i="5"/>
  <c r="C16" i="5" a="1"/>
  <c r="C16" i="5" s="1"/>
  <c r="C9" i="5" a="1"/>
  <c r="C9" i="5" s="1"/>
  <c r="C8" i="5"/>
  <c r="C7" i="5"/>
  <c r="T19" i="4" a="1"/>
  <c r="T19" i="4" s="1"/>
  <c r="P57" i="4" a="1"/>
  <c r="P57" i="4" s="1"/>
  <c r="P58" i="4" a="1"/>
  <c r="P58" i="4" s="1"/>
  <c r="B59" i="4" a="1"/>
  <c r="B59" i="4" s="1"/>
  <c r="B60" i="4" a="1"/>
  <c r="B60" i="4" s="1"/>
  <c r="B4" i="4" a="1"/>
  <c r="B4" i="4" s="1"/>
  <c r="B5" i="4" a="1"/>
  <c r="B5" i="4" s="1"/>
  <c r="C7" i="10" l="1" a="1"/>
  <c r="C7" i="10" s="1"/>
  <c r="D7" i="10" a="1"/>
  <c r="G7" i="10" a="1"/>
  <c r="G7" i="10" s="1"/>
  <c r="D3" i="3" a="1"/>
  <c r="D3" i="3" s="1"/>
  <c r="E3" i="3" a="1"/>
  <c r="E3" i="3" s="1"/>
  <c r="F3" i="3" a="1"/>
  <c r="F3" i="3" s="1"/>
  <c r="B8" i="6"/>
  <c r="F7" i="6" s="1"/>
  <c r="D7" i="10" l="1"/>
  <c r="E7" i="10" s="1" a="1"/>
  <c r="E7" i="10" l="1"/>
  <c r="F7" i="10" a="1"/>
  <c r="F7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<sst xmlns="http://schemas.openxmlformats.org/spreadsheetml/2006/main" count="2457" uniqueCount="831">
  <si>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</si>
  <si>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</si>
  <si>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</si>
  <si>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</si>
  <si>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</si>
  <si>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</si>
  <si>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</si>
  <si>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</si>
  <si>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</si>
  <si>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</si>
  <si>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</si>
  <si>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</si>
  <si>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</si>
  <si>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</si>
  <si>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</si>
  <si>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</si>
  <si>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</si>
  <si>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</si>
  <si>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</si>
  <si>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</si>
  <si>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</si>
  <si>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</si>
  <si>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</si>
  <si>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</si>
  <si>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</si>
  <si>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</si>
  <si>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50k to 100k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</si>
  <si>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</si>
  <si>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</si>
  <si>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</si>
  <si>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</si>
  <si>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</si>
  <si>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</si>
  <si>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</si>
  <si>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</si>
  <si>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</si>
  <si>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</si>
  <si>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</si>
  <si>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</si>
  <si>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</si>
  <si>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</si>
  <si>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</si>
  <si>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</si>
  <si>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</si>
  <si>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</si>
  <si>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</si>
  <si>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</si>
  <si>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</si>
  <si>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</si>
  <si>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</si>
  <si>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</si>
  <si>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</si>
  <si>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</si>
  <si>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</si>
  <si>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</si>
  <si>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</si>
  <si>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</si>
  <si>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</si>
  <si>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</si>
  <si>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</si>
  <si>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</si>
  <si>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</si>
  <si>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</si>
  <si>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</si>
  <si>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</si>
  <si>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</si>
  <si>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</si>
  <si>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</si>
  <si>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</si>
  <si>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</si>
  <si>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</si>
  <si>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</si>
  <si>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</si>
  <si>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</si>
  <si>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</si>
  <si>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</si>
  <si>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</si>
  <si>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</si>
  <si>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</si>
  <si>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</si>
  <si>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</si>
  <si>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</si>
  <si>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</si>
  <si>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</si>
  <si>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</si>
  <si>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</si>
  <si>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</si>
  <si>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</si>
  <si>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</si>
  <si>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</si>
  <si>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</si>
  <si>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</si>
  <si>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</si>
  <si>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</si>
  <si>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</si>
  <si>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</si>
  <si>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</si>
  <si>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</si>
  <si>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</si>
  <si>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</si>
  <si>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</si>
  <si>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</si>
  <si>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</si>
  <si>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</si>
  <si>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</si>
  <si>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</si>
  <si>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</si>
  <si>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</si>
  <si>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</si>
  <si>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</si>
  <si>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</si>
  <si>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</si>
  <si>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</si>
  <si>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</si>
  <si>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</si>
  <si>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</si>
  <si>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</si>
  <si>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</si>
  <si>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</si>
  <si>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</si>
  <si>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</si>
  <si>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</si>
  <si>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</si>
  <si>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</si>
  <si>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</si>
  <si>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</si>
  <si>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</si>
  <si>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</si>
  <si>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</si>
  <si>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</si>
  <si>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</si>
  <si>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</si>
  <si>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</si>
  <si>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</si>
  <si>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</si>
  <si>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</si>
  <si>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</si>
  <si>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</si>
  <si>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</si>
  <si>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</si>
  <si>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</si>
  <si>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</si>
  <si>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</si>
  <si>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</si>
  <si>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</si>
  <si>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</si>
  <si>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</si>
  <si>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</si>
  <si>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</si>
  <si>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</si>
  <si>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</si>
  <si>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</si>
  <si>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</si>
  <si>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</si>
  <si>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</si>
  <si>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</si>
  <si>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</si>
  <si>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</si>
  <si>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</si>
  <si>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</si>
  <si>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</si>
  <si>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</si>
  <si>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</si>
  <si>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</si>
  <si>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</si>
  <si>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</si>
  <si>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</si>
  <si>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</si>
  <si>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</si>
  <si>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</si>
  <si>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</si>
  <si>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</si>
  <si>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</si>
  <si>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</si>
  <si>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</si>
  <si>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</si>
  <si>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</si>
  <si>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</si>
  <si>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</si>
  <si>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</si>
  <si>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</si>
  <si>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</si>
  <si>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</si>
  <si>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</si>
  <si>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</si>
  <si>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</si>
  <si>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</si>
  <si>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</si>
  <si>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</si>
  <si>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</si>
  <si>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</si>
  <si>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</si>
  <si>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</si>
  <si>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</si>
  <si>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</si>
  <si>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</si>
  <si>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</si>
  <si>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</si>
  <si>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</si>
  <si>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</si>
  <si>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</si>
  <si>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</si>
  <si>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</si>
  <si>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</si>
  <si>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</si>
  <si>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</si>
  <si>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</si>
  <si>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</si>
  <si>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</si>
  <si>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</si>
  <si>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</si>
  <si>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</si>
  <si>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</si>
  <si>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</si>
  <si>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</si>
  <si>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</si>
  <si>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</si>
  <si>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</si>
  <si>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</si>
  <si>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</si>
  <si>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</si>
  <si>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</si>
  <si>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</si>
  <si>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</si>
  <si>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</si>
  <si>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</si>
  <si>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</si>
  <si>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</si>
  <si>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</si>
  <si>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</si>
  <si>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</si>
  <si>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</si>
  <si>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</si>
  <si>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</si>
  <si>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</si>
  <si>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</si>
  <si>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</si>
  <si>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</si>
  <si>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</si>
  <si>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</si>
  <si>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</si>
  <si>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</si>
  <si>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</si>
  <si>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</si>
  <si>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</si>
  <si>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</si>
  <si>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</si>
  <si>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</si>
  <si>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</si>
  <si>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</si>
  <si>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</si>
  <si>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</si>
  <si>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</si>
  <si>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</si>
  <si>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</si>
  <si>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</si>
  <si>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</si>
  <si>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</si>
  <si>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</si>
  <si>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</si>
  <si>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</si>
  <si>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</si>
  <si>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</si>
  <si>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</si>
  <si>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</si>
  <si>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</si>
  <si>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</si>
  <si>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</si>
  <si>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</si>
  <si>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</si>
  <si>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</si>
  <si>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</si>
  <si>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</si>
  <si>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</si>
  <si>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</si>
  <si>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</si>
  <si>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</si>
  <si>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</si>
  <si>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</si>
  <si>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</si>
  <si>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</si>
  <si>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</si>
  <si>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</si>
  <si>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</si>
  <si>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</si>
  <si>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</si>
  <si>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</si>
  <si>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</si>
  <si>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</si>
  <si>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</si>
  <si>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</si>
  <si>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</si>
  <si>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</si>
  <si>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</si>
  <si>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</si>
  <si>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</si>
  <si>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</si>
  <si>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</si>
  <si>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</si>
  <si>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</si>
  <si>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</si>
  <si>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</si>
  <si>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</si>
  <si>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</si>
  <si>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</si>
  <si>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</si>
  <si>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</si>
  <si>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</si>
  <si>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</si>
  <si>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</si>
  <si>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</si>
  <si>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</si>
  <si>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</si>
  <si>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</si>
  <si>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</si>
  <si>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</si>
  <si>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</si>
  <si>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</si>
  <si>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</si>
  <si>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</si>
  <si>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</si>
  <si>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</si>
  <si>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</si>
  <si>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</si>
  <si>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</si>
  <si>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</si>
  <si>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</si>
  <si>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</si>
  <si>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</si>
  <si>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</si>
  <si>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</si>
  <si>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</si>
  <si>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</si>
  <si>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</si>
  <si>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</si>
  <si>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</si>
  <si>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</si>
  <si>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</si>
  <si>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</si>
  <si>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</si>
  <si>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</si>
  <si>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</si>
  <si>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</si>
  <si>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</si>
  <si>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</si>
  <si>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</si>
  <si>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</si>
  <si>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</si>
  <si>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</si>
  <si>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</si>
  <si>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</si>
  <si>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</si>
  <si>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</si>
  <si>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</si>
  <si>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</si>
  <si>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</si>
  <si>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</si>
  <si>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</si>
  <si>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</si>
  <si>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</si>
  <si>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</si>
  <si>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</si>
  <si>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</si>
  <si>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</si>
  <si>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</si>
  <si>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</si>
  <si>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</si>
  <si>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</si>
  <si>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</si>
  <si>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</si>
  <si>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</si>
  <si>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</si>
  <si>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</si>
  <si>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</si>
  <si>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</si>
  <si>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</si>
  <si>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</si>
  <si>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</si>
  <si>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</si>
  <si>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</si>
  <si>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</si>
  <si>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</si>
  <si>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</si>
  <si>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</si>
  <si>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</si>
  <si>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</si>
  <si>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</si>
  <si>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</si>
  <si>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</si>
  <si>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</si>
  <si>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</si>
  <si>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</si>
  <si>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</si>
  <si>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</si>
  <si>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</si>
  <si>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</si>
  <si>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</si>
  <si>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</si>
  <si>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</si>
  <si>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</si>
  <si>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</si>
  <si>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</si>
  <si>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</si>
  <si>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</si>
  <si>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</si>
  <si>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</si>
  <si>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</si>
  <si>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</si>
  <si>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</si>
  <si>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</si>
  <si>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</si>
  <si>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</si>
  <si>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</si>
  <si>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</si>
  <si>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</si>
  <si>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</si>
  <si>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</si>
  <si>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</si>
  <si>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</si>
  <si>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</si>
  <si>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</si>
  <si>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</si>
  <si>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</si>
  <si>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</si>
  <si>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</si>
  <si>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</si>
  <si>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</si>
  <si>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</si>
  <si>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</si>
  <si>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</si>
  <si>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</si>
  <si>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</si>
  <si>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</si>
  <si>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</si>
  <si>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</si>
  <si>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</si>
  <si>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</si>
  <si>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</si>
  <si>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</si>
  <si>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</si>
  <si>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</si>
  <si>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</si>
  <si>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</si>
  <si>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</si>
  <si>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</si>
  <si>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</si>
  <si>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</si>
  <si>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</si>
  <si>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</si>
  <si>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</si>
  <si>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</si>
  <si>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</si>
  <si>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</si>
  <si>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</si>
  <si>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</si>
  <si>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</si>
  <si>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</si>
  <si>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</si>
  <si>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</si>
  <si>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</si>
  <si>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</si>
  <si>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</si>
  <si>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</si>
  <si>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</si>
  <si>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</si>
  <si>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</si>
  <si>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</si>
  <si>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</si>
  <si>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</si>
  <si>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</si>
  <si>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</si>
  <si>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</si>
  <si>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</si>
  <si>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</si>
  <si>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</si>
  <si>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</si>
  <si>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</si>
  <si>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</si>
  <si>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</si>
  <si>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</si>
  <si>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</si>
  <si>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</si>
  <si>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</si>
  <si>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</si>
  <si>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</si>
  <si>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</si>
  <si>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</si>
  <si>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</si>
  <si>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</si>
  <si>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</si>
  <si>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</si>
  <si>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</si>
  <si>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</si>
  <si>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</si>
  <si>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</si>
  <si>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</si>
  <si>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</si>
  <si>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</si>
  <si>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</si>
  <si>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</si>
  <si>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</si>
  <si>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</si>
  <si>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</si>
  <si>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</si>
  <si>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</si>
  <si>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</si>
  <si>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</si>
  <si>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</si>
  <si>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</si>
  <si>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</si>
  <si>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</si>
  <si>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</si>
  <si>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</si>
  <si>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</si>
  <si>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</si>
  <si>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</si>
  <si>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</si>
  <si>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</si>
  <si>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</si>
  <si>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</si>
  <si>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</si>
  <si>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</si>
  <si>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</si>
  <si>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</si>
  <si>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</si>
  <si>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</si>
  <si>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</si>
  <si>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</si>
  <si>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</si>
  <si>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</si>
  <si>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</si>
  <si>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</si>
  <si>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</si>
  <si>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</si>
  <si>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</si>
  <si>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</si>
  <si>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</si>
  <si>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</si>
  <si>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</si>
  <si>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</si>
  <si>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</si>
  <si>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</si>
  <si>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</si>
  <si>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</si>
  <si>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</si>
  <si>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</si>
  <si>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</si>
  <si>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</si>
  <si>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</si>
  <si>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</si>
  <si>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</si>
  <si>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</si>
  <si>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</si>
  <si>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</si>
  <si>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</si>
  <si>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</si>
  <si>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</si>
  <si>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</si>
  <si>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</si>
  <si>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</si>
  <si>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</si>
  <si>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</si>
  <si>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</si>
  <si>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</si>
  <si>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</si>
  <si>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</si>
  <si>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</si>
  <si>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</si>
  <si>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</si>
  <si>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</si>
  <si>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</si>
  <si>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</si>
  <si>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</si>
  <si>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</si>
  <si>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</si>
  <si>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</si>
  <si>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</si>
  <si>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</si>
  <si>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</si>
  <si>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</si>
  <si>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</si>
  <si>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</si>
  <si>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</si>
  <si>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</si>
  <si>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</si>
  <si>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</si>
  <si>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</si>
  <si>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</si>
  <si>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</si>
  <si>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</si>
  <si>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</si>
  <si>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</si>
  <si>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</si>
  <si>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</si>
  <si>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</si>
  <si>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</si>
  <si>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</si>
  <si>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</si>
  <si>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</si>
  <si>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</si>
  <si>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</si>
  <si>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</si>
  <si>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</si>
  <si>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</si>
  <si>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</si>
  <si>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</si>
  <si>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</si>
  <si>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</si>
  <si>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</si>
  <si>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</si>
  <si>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</si>
  <si>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</si>
  <si>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</si>
  <si>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</si>
  <si>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</si>
  <si>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</si>
  <si>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</si>
  <si>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</si>
  <si>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</si>
  <si>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</si>
  <si>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</si>
  <si>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</si>
  <si>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</si>
  <si>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</si>
  <si>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</si>
  <si>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</si>
  <si>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</si>
  <si>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</si>
  <si>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</si>
  <si>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</si>
  <si>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</si>
  <si>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</si>
  <si>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</si>
  <si>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</si>
  <si>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</si>
  <si>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</si>
  <si>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</si>
  <si>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</si>
  <si>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</si>
  <si>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</si>
  <si>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</si>
  <si>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</si>
  <si>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</si>
  <si>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</si>
  <si>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</si>
  <si>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</si>
  <si>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</si>
  <si>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</si>
  <si>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</si>
  <si>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</si>
  <si>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</si>
  <si>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</si>
  <si>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</si>
  <si>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</si>
  <si>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</si>
  <si>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</si>
  <si>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</si>
  <si>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</si>
  <si>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</si>
  <si>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</si>
  <si>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</si>
  <si>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</si>
  <si>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</si>
  <si>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</si>
  <si>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</si>
  <si>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</si>
  <si>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</si>
  <si>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</si>
  <si>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</si>
  <si>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</si>
  <si>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</si>
  <si>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</si>
  <si>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</si>
  <si>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</si>
  <si>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</si>
  <si>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</si>
  <si>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</si>
  <si>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</si>
  <si>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</si>
  <si>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</si>
  <si>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</si>
  <si>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</si>
  <si>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</si>
  <si>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</si>
  <si>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</si>
  <si>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</si>
  <si>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</si>
  <si>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</si>
  <si>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</si>
  <si>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</si>
  <si>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</si>
  <si>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</si>
  <si>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</si>
  <si>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</si>
  <si>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</si>
  <si>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</si>
  <si>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</si>
  <si>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</si>
  <si>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</si>
  <si>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</si>
  <si>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</si>
  <si>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</si>
  <si>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</si>
  <si>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</si>
  <si>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</si>
  <si>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</si>
  <si>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</si>
  <si>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</si>
  <si>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</si>
  <si>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</si>
  <si>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</si>
  <si>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</si>
  <si>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</si>
  <si>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</si>
  <si>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</si>
  <si>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</si>
  <si>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</si>
  <si>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</si>
  <si>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</si>
  <si>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</si>
  <si>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</si>
  <si>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</si>
  <si>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</si>
  <si>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</si>
  <si>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</si>
  <si>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</si>
  <si>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</si>
  <si>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</si>
  <si>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</si>
  <si>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</si>
  <si>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</si>
  <si>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</si>
  <si>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</si>
  <si>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</si>
  <si>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</si>
  <si>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</si>
  <si>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</si>
  <si>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</si>
  <si>
    <t>Tenure</t>
  </si>
  <si>
    <t>Essential Excel Functions &amp; Formulas</t>
  </si>
  <si>
    <t>Total Salary and headcount by department</t>
  </si>
  <si>
    <t>SUMIFS, COUNTIFS</t>
  </si>
  <si>
    <t>All employees with more than $100k salary</t>
  </si>
  <si>
    <t>FILTER</t>
  </si>
  <si>
    <t>All female employees with more than $100k salary</t>
  </si>
  <si>
    <t>FILTER, *</t>
  </si>
  <si>
    <t>Lowest, highest and top 5 salary values</t>
  </si>
  <si>
    <t>MIN, MAX, LARGE, SORT + TAKE</t>
  </si>
  <si>
    <t>List of all departments</t>
  </si>
  <si>
    <t>Employee details lookup</t>
  </si>
  <si>
    <t>VLOOKUP, INDEX + MATCH</t>
  </si>
  <si>
    <t>UNIQUE, COUNTA, #</t>
  </si>
  <si>
    <t>Complex formula: Highest salary person</t>
  </si>
  <si>
    <t>XLOOKUP + MAX</t>
  </si>
  <si>
    <t>Complex formula: All employees joined in March</t>
  </si>
  <si>
    <t>FILTER + MONTH</t>
  </si>
  <si>
    <t>Complex formula: Department report of headcounts, salaries and % diff from overall average</t>
  </si>
  <si>
    <t>UNIQUE, SUMIFS, COUNTIFS, #, CONDITIONAL FORMATTING</t>
  </si>
  <si>
    <t>Business Question:</t>
  </si>
  <si>
    <t>Function(s) you'll learn:</t>
  </si>
  <si>
    <t>XLOOKUP, IFERROR</t>
  </si>
  <si>
    <t>Challenge for you…</t>
  </si>
  <si>
    <t>Permanent headcount</t>
  </si>
  <si>
    <t>who joined in 2020 or after…</t>
  </si>
  <si>
    <t>All depts in one cell, comma seperated</t>
  </si>
  <si>
    <t>Find all employees with 120,000 salary</t>
  </si>
  <si>
    <t>Female employees with Monday start</t>
  </si>
  <si>
    <t>Calculate Median Salary and Female Ratio</t>
  </si>
  <si>
    <t xml:space="preserve">Deparment </t>
  </si>
  <si>
    <t>Total Salary</t>
  </si>
  <si>
    <t>Headcount</t>
  </si>
  <si>
    <t>Average</t>
  </si>
  <si>
    <t>P Headcount</t>
  </si>
  <si>
    <t>All Employee &gt; 100000 Salary</t>
  </si>
  <si>
    <t>to get header names =staff[#HEADER]</t>
  </si>
  <si>
    <t>All Employee &gt; 100000 Salary with  custom filter and custom columns</t>
  </si>
  <si>
    <t xml:space="preserve"> formula =FILTER(staff,staff[Salary]&gt;E57)</t>
  </si>
  <si>
    <t>All Female Employees with coustom Salary filter</t>
  </si>
  <si>
    <t>Lowest ,Highest and Top 5 salaries</t>
  </si>
  <si>
    <t>All EMP</t>
  </si>
  <si>
    <t xml:space="preserve">Female </t>
  </si>
  <si>
    <t>Highest</t>
  </si>
  <si>
    <t>Lowest</t>
  </si>
  <si>
    <t>Top 5 with LARGE</t>
  </si>
  <si>
    <t>TOP 5 With</t>
  </si>
  <si>
    <t>SORT + TAKE</t>
  </si>
  <si>
    <t>formula : =FILTER(staff[[Emp ID]:[Salary]],(staff[Salary]&gt;100000)*(staff[Gender]="Female")*(staff[Start Date]&gt;1-1-2000))</t>
  </si>
  <si>
    <t>Formula: =FILTER(staff,(staff[Salary]&gt;E57)*(staff[Gender]="Female"))</t>
  </si>
  <si>
    <t>LIST OF ALL DEPARMENTS</t>
  </si>
  <si>
    <t>Depaetments:</t>
  </si>
  <si>
    <t>Formula :=UNIQUE(staff[Department])</t>
  </si>
  <si>
    <t>Counts : =</t>
  </si>
  <si>
    <t>Formula: =COUNTA(B8#)</t>
  </si>
  <si>
    <t xml:space="preserve"># will take till the end value </t>
  </si>
  <si>
    <t>Business Growth</t>
  </si>
  <si>
    <t>to get the all the departments name in single cell separated by comma : =TEXTJOIN(",",TRUE,UNIQUE(staff[Department]))</t>
  </si>
  <si>
    <t>Employee details lookup using VLLOKUP</t>
  </si>
  <si>
    <t>Employee ID:</t>
  </si>
  <si>
    <t>First Name:</t>
  </si>
  <si>
    <t>Last Name:</t>
  </si>
  <si>
    <t>Department:</t>
  </si>
  <si>
    <t>Salary:</t>
  </si>
  <si>
    <t>Gender:</t>
  </si>
  <si>
    <r>
      <t xml:space="preserve">Formula: =VLOOKUP(C4,staff,2,FALSE)  if we get Error Then we use </t>
    </r>
    <r>
      <rPr>
        <b/>
        <sz val="11"/>
        <color theme="1"/>
        <rFont val="Calibri"/>
        <family val="2"/>
        <scheme val="minor"/>
      </rPr>
      <t xml:space="preserve">IFERROR </t>
    </r>
    <r>
      <rPr>
        <sz val="11"/>
        <color theme="1"/>
        <rFont val="Calibri"/>
        <family val="2"/>
        <scheme val="minor"/>
      </rPr>
      <t xml:space="preserve"> Functtion :=IFERROR(VLOOKUP(C4,staff,2,FALSE),"Not Found")</t>
    </r>
  </si>
  <si>
    <t>used as range means what we want theat col number</t>
  </si>
  <si>
    <t>Employee details lookup using INDEX AND MATCH</t>
  </si>
  <si>
    <t>Deoartment:</t>
  </si>
  <si>
    <t>VLOOKUP</t>
  </si>
  <si>
    <t>XLOOKUP</t>
  </si>
  <si>
    <t>Formula: =XLOOKUP(C$4,staff[Emp ID],staff[First Name],"NOT FOUND",0)</t>
  </si>
  <si>
    <t>Formula: =XLOOKUP(C$21,staff[Last Name],staff[First Name],"Not Found",0)</t>
  </si>
  <si>
    <t>With X:OOKUP we can get entair data of employee :=XLOOKUP(C21,staff[Last Name],staff,"NOT FOUND",0)</t>
  </si>
  <si>
    <t>Formula: =staff[#HEADRS]</t>
  </si>
  <si>
    <r>
      <t>Formula:</t>
    </r>
    <r>
      <rPr>
        <b/>
        <sz val="11"/>
        <color theme="1"/>
        <rFont val="Calibri"/>
        <family val="2"/>
        <scheme val="minor"/>
      </rPr>
      <t>=TRANSPOSE(XLOOKUP(C21,staff[Last Name],staff,"NOT FOUND",0))</t>
    </r>
  </si>
  <si>
    <r>
      <t xml:space="preserve">Formula: </t>
    </r>
    <r>
      <rPr>
        <b/>
        <sz val="11"/>
        <color theme="1"/>
        <rFont val="Calibri"/>
        <family val="2"/>
        <scheme val="minor"/>
      </rPr>
      <t>=TRANSPOSE(staff[#Headers])</t>
    </r>
  </si>
  <si>
    <t>Finding all Emp with 12000 salary: =FILTER(staff,staff[Salary]=120000,"NOT FOUND")</t>
  </si>
  <si>
    <t>Finding all Emp first name and last name as single output with 12000 salary: =FILTER(staff[First Name]&amp;" "&amp;staff[Last Name],staff[Salary]=120000,"NOT FOUND")</t>
  </si>
  <si>
    <t>To get in single cell by separated by comm we can use  textjoin function : =TEXTJOIN(",",,FILTER(staff[First Name]&amp;" "&amp;staff[Last Name],staff[Salary]=120000,"NOT FOUND"))</t>
  </si>
  <si>
    <t>Getting empooyee name starts with Letter "P": =FILTER(staff,LEFT(staff[First Name],1)="P")  using LEFT Function</t>
  </si>
  <si>
    <t>Getting empooyee name ends with Letter "e": =FILTER(staff,RIGHT(staff[First Name],1)="P")  using RIGHT Function</t>
  </si>
  <si>
    <t>Getting empooyee name ends with Letter "ee": =FILTER(staff,RIGHT(staff[First Name],2)="P")  using RIGHT Function</t>
  </si>
  <si>
    <t>Getting Employee details Joined in March Month of any yesr</t>
  </si>
  <si>
    <t xml:space="preserve">Getting all the Female employee joined at MONDAY </t>
  </si>
  <si>
    <t>ALL DEPARMENTS</t>
  </si>
  <si>
    <t>Deparment</t>
  </si>
  <si>
    <t>Head Count</t>
  </si>
  <si>
    <t>% Diff from Overall Avg Salary</t>
  </si>
  <si>
    <t>Highest Salary</t>
  </si>
  <si>
    <t xml:space="preserve"> Ang.Salary</t>
  </si>
  <si>
    <t xml:space="preserve">Median Salary </t>
  </si>
  <si>
    <t>Female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</si>
</sst>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₹&quot;\ #,##0.00;[Red]&quot;₹&quot;\ \-#,##0.00"/>
    <numFmt numFmtId="44" formatCode="_ &quot;₹&quot;\ * #,##0.00_ ;_ &quot;₹&quot;\ * \-#,##0.00_ ;_ &quot;₹&quot;\ * &quot;-&quot;??_ ;_ @_ "/>
    <numFmt numFmtId="164" formatCode="&quot;$&quot;#,##0_);[Red]\(&quot;$&quot;#,##0\)"/>
    <numFmt numFmtId="165" formatCode="0.000"/>
    <numFmt numFmtId="166" formatCode="[$-F800]dddd\,\ mmmm\ dd\,\ yyyy"/>
    <numFmt numFmtId="167" formatCode="_-[$$-409]* #,##0.00_ ;_-[$$-409]* \-#,##0.00\ ;_-[$$-409]* &quot;-&quot;??_ ;_-@_ "/>
    <numFmt numFmtId="168" formatCode="_-[$$-409]* #,##0.0_ ;_-[$$-409]* \-#,##0.0\ ;_-[$$-409]* &quot;-&quot;??_ ;_-@_ "/>
    <numFmt numFmtId="169" formatCode="_-[$$-409]* #,##0_ ;_-[$$-409]* \-#,##0\ ;_-[$$-409]* &quot;-&quot;??_ ;_-@_ "/>
  </numFmts>
  <fonts count="10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Aptos Mono"/>
      <family val="3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 tint="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2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2" fontId="0" fillId="0" borderId="0" xfId="0" applyNumberFormat="1" applyAlignment="1">
      <alignment horizontal="left" indent="1"/>
    </xf>
    <xf numFmtId="164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/>
    </xf>
    <xf numFmtId="0" fontId="3" fillId="5" borderId="3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2" fillId="0" borderId="0" xfId="0" applyFont="1"/>
    <xf numFmtId="0" fontId="6" fillId="6" borderId="0" xfId="0" applyFont="1" applyFill="1"/>
    <xf numFmtId="0" fontId="6" fillId="6" borderId="0" xfId="0" applyFont="1" applyFill="1" applyAlignment="1">
      <alignment wrapText="1"/>
    </xf>
    <xf numFmtId="0" fontId="0" fillId="6" borderId="0" xfId="0" applyFill="1"/>
    <xf numFmtId="0" fontId="2" fillId="6" borderId="0" xfId="0" applyFont="1" applyFill="1"/>
    <xf numFmtId="44" fontId="0" fillId="0" borderId="0" xfId="0" applyNumberFormat="1"/>
    <xf numFmtId="44" fontId="0" fillId="0" borderId="0" xfId="1" applyFont="1"/>
    <xf numFmtId="0" fontId="8" fillId="0" borderId="0" xfId="0" applyFont="1"/>
    <xf numFmtId="14" fontId="0" fillId="0" borderId="0" xfId="0" applyNumberFormat="1"/>
    <xf numFmtId="165" fontId="0" fillId="0" borderId="0" xfId="0" applyNumberFormat="1"/>
    <xf numFmtId="0" fontId="7" fillId="0" borderId="0" xfId="0" applyFont="1"/>
    <xf numFmtId="0" fontId="2" fillId="7" borderId="0" xfId="0" applyFont="1" applyFill="1"/>
    <xf numFmtId="8" fontId="0" fillId="0" borderId="0" xfId="0" applyNumberFormat="1"/>
    <xf numFmtId="166" fontId="0" fillId="0" borderId="0" xfId="0" applyNumberFormat="1"/>
    <xf numFmtId="15" fontId="0" fillId="3" borderId="0" xfId="0" applyNumberFormat="1" applyFill="1"/>
    <xf numFmtId="0" fontId="2" fillId="8" borderId="0" xfId="0" applyFont="1" applyFill="1"/>
    <xf numFmtId="0" fontId="2" fillId="9" borderId="0" xfId="0" applyFont="1" applyFill="1" applyAlignment="1">
      <alignment horizontal="justify" vertical="center"/>
    </xf>
    <xf numFmtId="167" fontId="0" fillId="0" borderId="0" xfId="1" applyNumberFormat="1" applyFont="1"/>
    <xf numFmtId="167" fontId="2" fillId="9" borderId="0" xfId="1" applyNumberFormat="1" applyFont="1" applyFill="1" applyAlignment="1">
      <alignment horizontal="justify" vertical="center"/>
    </xf>
    <xf numFmtId="167" fontId="2" fillId="8" borderId="0" xfId="0" applyNumberFormat="1" applyFont="1" applyFill="1"/>
    <xf numFmtId="168" fontId="0" fillId="0" borderId="0" xfId="0" applyNumberFormat="1"/>
    <xf numFmtId="169" fontId="9" fillId="0" borderId="0" xfId="0" applyNumberFormat="1" applyFont="1"/>
    <xf numFmtId="169" fontId="0" fillId="0" borderId="0" xfId="1" applyNumberFormat="1" applyFont="1"/>
    <xf numFmtId="167" fontId="2" fillId="9" borderId="0" xfId="1" applyNumberFormat="1" applyFont="1" applyFill="1" applyAlignment="1">
      <alignment horizontal="justify"/>
    </xf>
    <xf numFmtId="0" fontId="2" fillId="9" borderId="0" xfId="0" applyFont="1" applyFill="1" applyAlignment="1">
      <alignment horizontal="justify" vertical="center"/>
    </xf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3">
    <dxf>
      <numFmt numFmtId="2" formatCode="0.00"/>
      <alignment horizontal="center" vertical="bottom" textRotation="0" wrapText="0" indent="0" justifyLastLine="0" shrinkToFit="0" readingOrder="0"/>
    </dxf>
    <dxf>
      <numFmt numFmtId="20" formatCode="dd/mmm/yy"/>
    </dxf>
    <dxf>
      <numFmt numFmtId="164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6.xml"/><Relationship Id="rId18" Type="http://schemas.openxmlformats.org/officeDocument/2006/relationships/image" Target="../media/image9.png"/><Relationship Id="rId3" Type="http://schemas.openxmlformats.org/officeDocument/2006/relationships/customXml" Target="../ink/ink1.xml"/><Relationship Id="rId21" Type="http://schemas.openxmlformats.org/officeDocument/2006/relationships/customXml" Target="../ink/ink10.xml"/><Relationship Id="rId7" Type="http://schemas.openxmlformats.org/officeDocument/2006/relationships/customXml" Target="../ink/ink3.xml"/><Relationship Id="rId12" Type="http://schemas.openxmlformats.org/officeDocument/2006/relationships/image" Target="../media/image6.png"/><Relationship Id="rId17" Type="http://schemas.openxmlformats.org/officeDocument/2006/relationships/customXml" Target="../ink/ink8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1" Type="http://schemas.openxmlformats.org/officeDocument/2006/relationships/hyperlink" Target="https://chandoo.org/wp/" TargetMode="External"/><Relationship Id="rId6" Type="http://schemas.openxmlformats.org/officeDocument/2006/relationships/image" Target="../media/image3.png"/><Relationship Id="rId11" Type="http://schemas.openxmlformats.org/officeDocument/2006/relationships/customXml" Target="../ink/ink5.xml"/><Relationship Id="rId24" Type="http://schemas.openxmlformats.org/officeDocument/2006/relationships/image" Target="../media/image12.png"/><Relationship Id="rId5" Type="http://schemas.openxmlformats.org/officeDocument/2006/relationships/customXml" Target="../ink/ink2.xml"/><Relationship Id="rId15" Type="http://schemas.openxmlformats.org/officeDocument/2006/relationships/customXml" Target="../ink/ink7.xml"/><Relationship Id="rId23" Type="http://schemas.openxmlformats.org/officeDocument/2006/relationships/customXml" Target="../ink/ink11.xml"/><Relationship Id="rId10" Type="http://schemas.openxmlformats.org/officeDocument/2006/relationships/image" Target="../media/image5.png"/><Relationship Id="rId19" Type="http://schemas.openxmlformats.org/officeDocument/2006/relationships/customXml" Target="../ink/ink9.xml"/><Relationship Id="rId4" Type="http://schemas.openxmlformats.org/officeDocument/2006/relationships/image" Target="../media/image2.png"/><Relationship Id="rId9" Type="http://schemas.openxmlformats.org/officeDocument/2006/relationships/customXml" Target="../ink/ink4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customXml" Target="../ink/ink13.xml"/><Relationship Id="rId7" Type="http://schemas.openxmlformats.org/officeDocument/2006/relationships/customXml" Target="../ink/ink15.xml"/><Relationship Id="rId2" Type="http://schemas.openxmlformats.org/officeDocument/2006/relationships/image" Target="../media/image13.png"/><Relationship Id="rId1" Type="http://schemas.openxmlformats.org/officeDocument/2006/relationships/customXml" Target="../ink/ink12.xml"/><Relationship Id="rId6" Type="http://schemas.openxmlformats.org/officeDocument/2006/relationships/image" Target="../media/image15.png"/><Relationship Id="rId5" Type="http://schemas.openxmlformats.org/officeDocument/2006/relationships/customXml" Target="../ink/ink14.xml"/><Relationship Id="rId10" Type="http://schemas.openxmlformats.org/officeDocument/2006/relationships/image" Target="../media/image17.png"/><Relationship Id="rId4" Type="http://schemas.openxmlformats.org/officeDocument/2006/relationships/image" Target="../media/image14.png"/><Relationship Id="rId9" Type="http://schemas.openxmlformats.org/officeDocument/2006/relationships/customXml" Target="../ink/ink1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customXml" Target="../ink/ink1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ustomXml" Target="../ink/ink19.xml"/><Relationship Id="rId2" Type="http://schemas.openxmlformats.org/officeDocument/2006/relationships/image" Target="../media/image19.png"/><Relationship Id="rId1" Type="http://schemas.openxmlformats.org/officeDocument/2006/relationships/customXml" Target="../ink/ink18.xml"/><Relationship Id="rId4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customXml" Target="../ink/ink26.xml"/><Relationship Id="rId18" Type="http://schemas.openxmlformats.org/officeDocument/2006/relationships/image" Target="../media/image28.png"/><Relationship Id="rId26" Type="http://schemas.openxmlformats.org/officeDocument/2006/relationships/image" Target="../media/image32.png"/><Relationship Id="rId3" Type="http://schemas.openxmlformats.org/officeDocument/2006/relationships/customXml" Target="../ink/ink21.xml"/><Relationship Id="rId21" Type="http://schemas.openxmlformats.org/officeDocument/2006/relationships/customXml" Target="../ink/ink30.xml"/><Relationship Id="rId7" Type="http://schemas.openxmlformats.org/officeDocument/2006/relationships/customXml" Target="../ink/ink23.xml"/><Relationship Id="rId12" Type="http://schemas.openxmlformats.org/officeDocument/2006/relationships/image" Target="../media/image25.png"/><Relationship Id="rId17" Type="http://schemas.openxmlformats.org/officeDocument/2006/relationships/customXml" Target="../ink/ink28.xml"/><Relationship Id="rId25" Type="http://schemas.openxmlformats.org/officeDocument/2006/relationships/customXml" Target="../ink/ink32.xml"/><Relationship Id="rId2" Type="http://schemas.openxmlformats.org/officeDocument/2006/relationships/image" Target="../media/image21.png"/><Relationship Id="rId16" Type="http://schemas.openxmlformats.org/officeDocument/2006/relationships/image" Target="../media/image27.png"/><Relationship Id="rId20" Type="http://schemas.openxmlformats.org/officeDocument/2006/relationships/image" Target="../media/image29.png"/><Relationship Id="rId1" Type="http://schemas.openxmlformats.org/officeDocument/2006/relationships/customXml" Target="../ink/ink20.xml"/><Relationship Id="rId6" Type="http://schemas.openxmlformats.org/officeDocument/2006/relationships/image" Target="../media/image22.png"/><Relationship Id="rId11" Type="http://schemas.openxmlformats.org/officeDocument/2006/relationships/customXml" Target="../ink/ink25.xml"/><Relationship Id="rId24" Type="http://schemas.openxmlformats.org/officeDocument/2006/relationships/image" Target="../media/image31.png"/><Relationship Id="rId5" Type="http://schemas.openxmlformats.org/officeDocument/2006/relationships/customXml" Target="../ink/ink22.xml"/><Relationship Id="rId15" Type="http://schemas.openxmlformats.org/officeDocument/2006/relationships/customXml" Target="../ink/ink27.xml"/><Relationship Id="rId23" Type="http://schemas.openxmlformats.org/officeDocument/2006/relationships/customXml" Target="../ink/ink31.xml"/><Relationship Id="rId28" Type="http://schemas.openxmlformats.org/officeDocument/2006/relationships/image" Target="../media/image33.png"/><Relationship Id="rId10" Type="http://schemas.openxmlformats.org/officeDocument/2006/relationships/image" Target="../media/image24.png"/><Relationship Id="rId19" Type="http://schemas.openxmlformats.org/officeDocument/2006/relationships/customXml" Target="../ink/ink29.xml"/><Relationship Id="rId4" Type="http://schemas.openxmlformats.org/officeDocument/2006/relationships/image" Target="../media/image14.png"/><Relationship Id="rId9" Type="http://schemas.openxmlformats.org/officeDocument/2006/relationships/customXml" Target="../ink/ink24.xml"/><Relationship Id="rId14" Type="http://schemas.openxmlformats.org/officeDocument/2006/relationships/image" Target="../media/image26.png"/><Relationship Id="rId22" Type="http://schemas.openxmlformats.org/officeDocument/2006/relationships/image" Target="../media/image30.png"/><Relationship Id="rId27" Type="http://schemas.openxmlformats.org/officeDocument/2006/relationships/customXml" Target="../ink/ink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149958</xdr:rowOff>
    </xdr:from>
    <xdr:to>
      <xdr:col>16</xdr:col>
      <xdr:colOff>133349</xdr:colOff>
      <xdr:row>1</xdr:row>
      <xdr:rowOff>190500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5B4570-7414-4B1D-98E2-AE95F453A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0775" y="149958"/>
          <a:ext cx="2486025" cy="7072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847725</xdr:colOff>
      <xdr:row>0</xdr:row>
      <xdr:rowOff>149958</xdr:rowOff>
    </xdr:from>
    <xdr:to>
      <xdr:col>15</xdr:col>
      <xdr:colOff>0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7550" y="149958"/>
          <a:ext cx="2486025" cy="707292"/>
        </a:xfrm>
        <a:prstGeom prst="rect">
          <a:avLst/>
        </a:prstGeom>
      </xdr:spPr>
    </xdr:pic>
    <xdr:clientData/>
  </xdr:twoCellAnchor>
  <xdr:twoCellAnchor editAs="oneCell">
    <xdr:from>
      <xdr:col>2</xdr:col>
      <xdr:colOff>272555</xdr:colOff>
      <xdr:row>4</xdr:row>
      <xdr:rowOff>138828</xdr:rowOff>
    </xdr:from>
    <xdr:to>
      <xdr:col>2</xdr:col>
      <xdr:colOff>272915</xdr:colOff>
      <xdr:row>5</xdr:row>
      <xdr:rowOff>122948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528E68F4-6E34-AFEC-7617-F4937CF12D7A}"/>
                </a:ext>
              </a:extLst>
            </xdr14:cNvPr>
            <xdr14:cNvContentPartPr/>
          </xdr14:nvContentPartPr>
          <xdr14:nvPr macro=""/>
          <xdr14:xfrm>
            <a:off x="631080" y="1385640"/>
            <a:ext cx="360" cy="1767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528E68F4-6E34-AFEC-7617-F4937CF12D7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24960" y="1379520"/>
              <a:ext cx="1260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106708</xdr:colOff>
      <xdr:row>3</xdr:row>
      <xdr:rowOff>117269</xdr:rowOff>
    </xdr:from>
    <xdr:to>
      <xdr:col>3</xdr:col>
      <xdr:colOff>438628</xdr:colOff>
      <xdr:row>5</xdr:row>
      <xdr:rowOff>128348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B3BCBD30-D540-FAF3-2BC9-B1B5B5154784}"/>
                </a:ext>
              </a:extLst>
            </xdr14:cNvPr>
            <xdr14:cNvContentPartPr/>
          </xdr14:nvContentPartPr>
          <xdr14:nvPr macro=""/>
          <xdr14:xfrm>
            <a:off x="1305360" y="1171440"/>
            <a:ext cx="331920" cy="396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B3BCBD30-D540-FAF3-2BC9-B1B5B515478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99240" y="1165320"/>
              <a:ext cx="344160" cy="40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121644</xdr:colOff>
      <xdr:row>4</xdr:row>
      <xdr:rowOff>36948</xdr:rowOff>
    </xdr:from>
    <xdr:to>
      <xdr:col>4</xdr:col>
      <xdr:colOff>337644</xdr:colOff>
      <xdr:row>5</xdr:row>
      <xdr:rowOff>123308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520D5D4D-EEF6-ED37-7347-5C5F9ED845A5}"/>
                </a:ext>
              </a:extLst>
            </xdr14:cNvPr>
            <xdr14:cNvContentPartPr/>
          </xdr14:nvContentPartPr>
          <xdr14:nvPr macro=""/>
          <xdr14:xfrm>
            <a:off x="2246040" y="1283760"/>
            <a:ext cx="216000" cy="2790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520D5D4D-EEF6-ED37-7347-5C5F9ED845A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239920" y="1277640"/>
              <a:ext cx="228240" cy="29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125286</xdr:colOff>
      <xdr:row>4</xdr:row>
      <xdr:rowOff>69348</xdr:rowOff>
    </xdr:from>
    <xdr:to>
      <xdr:col>5</xdr:col>
      <xdr:colOff>487086</xdr:colOff>
      <xdr:row>5</xdr:row>
      <xdr:rowOff>171908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AE44EAA2-54DE-F23D-C41B-624A510DD67D}"/>
                </a:ext>
              </a:extLst>
            </xdr14:cNvPr>
            <xdr14:cNvContentPartPr/>
          </xdr14:nvContentPartPr>
          <xdr14:nvPr macro=""/>
          <xdr14:xfrm>
            <a:off x="3239640" y="1316160"/>
            <a:ext cx="361800" cy="2952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AE44EAA2-54DE-F23D-C41B-624A510DD67D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233520" y="1310040"/>
              <a:ext cx="374040" cy="30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95124</xdr:colOff>
      <xdr:row>4</xdr:row>
      <xdr:rowOff>9588</xdr:rowOff>
    </xdr:from>
    <xdr:to>
      <xdr:col>6</xdr:col>
      <xdr:colOff>379884</xdr:colOff>
      <xdr:row>5</xdr:row>
      <xdr:rowOff>113228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2700F623-7617-7BDA-FF8A-58E981338600}"/>
                </a:ext>
              </a:extLst>
            </xdr14:cNvPr>
            <xdr14:cNvContentPartPr/>
          </xdr14:nvContentPartPr>
          <xdr14:nvPr macro=""/>
          <xdr14:xfrm>
            <a:off x="4124520" y="1256400"/>
            <a:ext cx="284760" cy="2962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2700F623-7617-7BDA-FF8A-58E981338600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118400" y="1250280"/>
              <a:ext cx="297000" cy="30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89622</xdr:colOff>
      <xdr:row>4</xdr:row>
      <xdr:rowOff>53508</xdr:rowOff>
    </xdr:from>
    <xdr:to>
      <xdr:col>7</xdr:col>
      <xdr:colOff>428382</xdr:colOff>
      <xdr:row>5</xdr:row>
      <xdr:rowOff>107468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FDE6726B-BF89-5E33-F2AC-CB6B17BD6E90}"/>
                </a:ext>
              </a:extLst>
            </xdr14:cNvPr>
            <xdr14:cNvContentPartPr/>
          </xdr14:nvContentPartPr>
          <xdr14:nvPr macro=""/>
          <xdr14:xfrm>
            <a:off x="5842080" y="1300320"/>
            <a:ext cx="338760" cy="2466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FDE6726B-BF89-5E33-F2AC-CB6B17BD6E90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835960" y="1294200"/>
              <a:ext cx="351000" cy="25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395656</xdr:colOff>
      <xdr:row>3</xdr:row>
      <xdr:rowOff>150029</xdr:rowOff>
    </xdr:from>
    <xdr:to>
      <xdr:col>8</xdr:col>
      <xdr:colOff>798136</xdr:colOff>
      <xdr:row>6</xdr:row>
      <xdr:rowOff>5907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D3492D04-224C-3A97-92F4-24D4AE4B3B2B}"/>
                </a:ext>
              </a:extLst>
            </xdr14:cNvPr>
            <xdr14:cNvContentPartPr/>
          </xdr14:nvContentPartPr>
          <xdr14:nvPr macro=""/>
          <xdr14:xfrm>
            <a:off x="6940080" y="1204200"/>
            <a:ext cx="402480" cy="43380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D3492D04-224C-3A97-92F4-24D4AE4B3B2B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6933960" y="1198080"/>
              <a:ext cx="414720" cy="44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195538</xdr:colOff>
      <xdr:row>3</xdr:row>
      <xdr:rowOff>160109</xdr:rowOff>
    </xdr:from>
    <xdr:to>
      <xdr:col>9</xdr:col>
      <xdr:colOff>428458</xdr:colOff>
      <xdr:row>5</xdr:row>
      <xdr:rowOff>21788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C88882AE-3395-6ADA-30DB-AEC90B7CD6D9}"/>
                </a:ext>
              </a:extLst>
            </xdr14:cNvPr>
            <xdr14:cNvContentPartPr/>
          </xdr14:nvContentPartPr>
          <xdr14:nvPr macro=""/>
          <xdr14:xfrm>
            <a:off x="7729920" y="1214280"/>
            <a:ext cx="232920" cy="2469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C88882AE-3395-6ADA-30DB-AEC90B7CD6D9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7723800" y="1208160"/>
              <a:ext cx="245160" cy="25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325892</xdr:colOff>
      <xdr:row>3</xdr:row>
      <xdr:rowOff>164789</xdr:rowOff>
    </xdr:from>
    <xdr:to>
      <xdr:col>10</xdr:col>
      <xdr:colOff>493652</xdr:colOff>
      <xdr:row>5</xdr:row>
      <xdr:rowOff>117188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C7847B2B-DFB1-66F7-E6C9-59A139E87200}"/>
                </a:ext>
              </a:extLst>
            </xdr14:cNvPr>
            <xdr14:cNvContentPartPr/>
          </xdr14:nvContentPartPr>
          <xdr14:nvPr macro=""/>
          <xdr14:xfrm>
            <a:off x="8652240" y="1218960"/>
            <a:ext cx="167760" cy="3376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C7847B2B-DFB1-66F7-E6C9-59A139E87200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8646120" y="1212840"/>
              <a:ext cx="180000" cy="34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165864</xdr:colOff>
      <xdr:row>4</xdr:row>
      <xdr:rowOff>74748</xdr:rowOff>
    </xdr:from>
    <xdr:to>
      <xdr:col>11</xdr:col>
      <xdr:colOff>177024</xdr:colOff>
      <xdr:row>5</xdr:row>
      <xdr:rowOff>4868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A2438A77-885C-A320-D9F7-5C4A1A340C94}"/>
                </a:ext>
              </a:extLst>
            </xdr14:cNvPr>
            <xdr14:cNvContentPartPr/>
          </xdr14:nvContentPartPr>
          <xdr14:nvPr macro=""/>
          <xdr14:xfrm>
            <a:off x="9102240" y="1321560"/>
            <a:ext cx="11160" cy="1227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A2438A77-885C-A320-D9F7-5C4A1A340C94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9096120" y="1315440"/>
              <a:ext cx="23400" cy="13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300864</xdr:colOff>
      <xdr:row>4</xdr:row>
      <xdr:rowOff>70788</xdr:rowOff>
    </xdr:from>
    <xdr:to>
      <xdr:col>11</xdr:col>
      <xdr:colOff>390864</xdr:colOff>
      <xdr:row>4</xdr:row>
      <xdr:rowOff>188508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00A16AB7-0027-5A59-8063-C75170E4DDEF}"/>
                </a:ext>
              </a:extLst>
            </xdr14:cNvPr>
            <xdr14:cNvContentPartPr/>
          </xdr14:nvContentPartPr>
          <xdr14:nvPr macro=""/>
          <xdr14:xfrm>
            <a:off x="9237240" y="1317600"/>
            <a:ext cx="90000" cy="11772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00A16AB7-0027-5A59-8063-C75170E4DDEF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9231120" y="1311480"/>
              <a:ext cx="102240" cy="129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149090</xdr:colOff>
      <xdr:row>2</xdr:row>
      <xdr:rowOff>158746</xdr:rowOff>
    </xdr:from>
    <xdr:to>
      <xdr:col>5</xdr:col>
      <xdr:colOff>551410</xdr:colOff>
      <xdr:row>4</xdr:row>
      <xdr:rowOff>112293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801ACD6-3670-AFE8-3E06-5B6A5A5FD4CE}"/>
                </a:ext>
              </a:extLst>
            </xdr14:cNvPr>
            <xdr14:cNvContentPartPr/>
          </xdr14:nvContentPartPr>
          <xdr14:nvPr macro=""/>
          <xdr14:xfrm>
            <a:off x="942840" y="616320"/>
            <a:ext cx="3577320" cy="4111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801ACD6-3670-AFE8-3E06-5B6A5A5FD4C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36720" y="610200"/>
              <a:ext cx="3589560" cy="42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476228</xdr:colOff>
      <xdr:row>1</xdr:row>
      <xdr:rowOff>186555</xdr:rowOff>
    </xdr:from>
    <xdr:to>
      <xdr:col>9</xdr:col>
      <xdr:colOff>476588</xdr:colOff>
      <xdr:row>1</xdr:row>
      <xdr:rowOff>186915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D2E26B1-6182-F91C-2E29-447462588EDF}"/>
                </a:ext>
              </a:extLst>
            </xdr14:cNvPr>
            <xdr14:cNvContentPartPr/>
          </xdr14:nvContentPartPr>
          <xdr14:nvPr macro=""/>
          <xdr14:xfrm>
            <a:off x="7713360" y="37332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1D2E26B1-6182-F91C-2E29-447462588ED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707240" y="3672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577690</xdr:colOff>
      <xdr:row>1</xdr:row>
      <xdr:rowOff>63795</xdr:rowOff>
    </xdr:from>
    <xdr:to>
      <xdr:col>14</xdr:col>
      <xdr:colOff>235998</xdr:colOff>
      <xdr:row>3</xdr:row>
      <xdr:rowOff>105378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7150B207-B6E3-931A-2808-1E4D40EFB591}"/>
                </a:ext>
              </a:extLst>
            </xdr14:cNvPr>
            <xdr14:cNvContentPartPr/>
          </xdr14:nvContentPartPr>
          <xdr14:nvPr macro=""/>
          <xdr14:xfrm>
            <a:off x="4546440" y="250560"/>
            <a:ext cx="6895440" cy="5832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150B207-B6E3-931A-2808-1E4D40EFB59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540335" y="244245"/>
              <a:ext cx="6907651" cy="5958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652620</xdr:colOff>
      <xdr:row>10</xdr:row>
      <xdr:rowOff>185852</xdr:rowOff>
    </xdr:from>
    <xdr:to>
      <xdr:col>19</xdr:col>
      <xdr:colOff>140440</xdr:colOff>
      <xdr:row>19</xdr:row>
      <xdr:rowOff>112391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1ACCF4E-1AAA-1E9B-0755-5E55A5785387}"/>
                </a:ext>
              </a:extLst>
            </xdr14:cNvPr>
            <xdr14:cNvContentPartPr/>
          </xdr14:nvContentPartPr>
          <xdr14:nvPr macro=""/>
          <xdr14:xfrm>
            <a:off x="14239752" y="2221587"/>
            <a:ext cx="1075320" cy="16167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1ACCF4E-1AAA-1E9B-0755-5E55A5785387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4233652" y="2215528"/>
              <a:ext cx="1087519" cy="16288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416179</xdr:colOff>
      <xdr:row>50</xdr:row>
      <xdr:rowOff>92860</xdr:rowOff>
    </xdr:from>
    <xdr:to>
      <xdr:col>16</xdr:col>
      <xdr:colOff>318830</xdr:colOff>
      <xdr:row>56</xdr:row>
      <xdr:rowOff>178284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E3C56F38-DCFC-F9A7-6C56-526DADD6B00A}"/>
                </a:ext>
              </a:extLst>
            </xdr14:cNvPr>
            <xdr14:cNvContentPartPr/>
          </xdr14:nvContentPartPr>
          <xdr14:nvPr macro=""/>
          <xdr14:xfrm>
            <a:off x="11647305" y="9670195"/>
            <a:ext cx="1493640" cy="129960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E3C56F38-DCFC-F9A7-6C56-526DADD6B00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641185" y="9664075"/>
              <a:ext cx="1505880" cy="1311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739159</xdr:colOff>
      <xdr:row>7</xdr:row>
      <xdr:rowOff>128580</xdr:rowOff>
    </xdr:from>
    <xdr:to>
      <xdr:col>7</xdr:col>
      <xdr:colOff>592547</xdr:colOff>
      <xdr:row>16</xdr:row>
      <xdr:rowOff>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8BA5D888-B501-5BA6-2C52-8C594096A002}"/>
                </a:ext>
              </a:extLst>
            </xdr14:cNvPr>
            <xdr14:cNvContentPartPr/>
          </xdr14:nvContentPartPr>
          <xdr14:nvPr macro=""/>
          <xdr14:xfrm>
            <a:off x="2680200" y="1462080"/>
            <a:ext cx="3730320" cy="15879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8BA5D888-B501-5BA6-2C52-8C594096A00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674079" y="1455960"/>
              <a:ext cx="3742561" cy="1600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5</xdr:row>
      <xdr:rowOff>170700</xdr:rowOff>
    </xdr:from>
    <xdr:to>
      <xdr:col>2</xdr:col>
      <xdr:colOff>458400</xdr:colOff>
      <xdr:row>6</xdr:row>
      <xdr:rowOff>133560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A96B09D-A912-9D9F-9E73-510E366C50E9}"/>
                </a:ext>
              </a:extLst>
            </xdr14:cNvPr>
            <xdr14:cNvContentPartPr/>
          </xdr14:nvContentPartPr>
          <xdr14:nvPr macro=""/>
          <xdr14:xfrm>
            <a:off x="1143000" y="1123200"/>
            <a:ext cx="534600" cy="153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A96B09D-A912-9D9F-9E73-510E366C50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36880" y="1117080"/>
              <a:ext cx="546840" cy="16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399720</xdr:colOff>
      <xdr:row>5</xdr:row>
      <xdr:rowOff>76020</xdr:rowOff>
    </xdr:from>
    <xdr:to>
      <xdr:col>2</xdr:col>
      <xdr:colOff>561360</xdr:colOff>
      <xdr:row>6</xdr:row>
      <xdr:rowOff>90000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A819EEB-42A8-81BB-A508-05777DAD0D28}"/>
                </a:ext>
              </a:extLst>
            </xdr14:cNvPr>
            <xdr14:cNvContentPartPr/>
          </xdr14:nvContentPartPr>
          <xdr14:nvPr macro=""/>
          <xdr14:xfrm>
            <a:off x="1618920" y="1028520"/>
            <a:ext cx="161640" cy="2044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7A819EEB-42A8-81BB-A508-05777DAD0D2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612800" y="1022400"/>
              <a:ext cx="173880" cy="216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398880</xdr:colOff>
      <xdr:row>5</xdr:row>
      <xdr:rowOff>79980</xdr:rowOff>
    </xdr:from>
    <xdr:to>
      <xdr:col>0</xdr:col>
      <xdr:colOff>551160</xdr:colOff>
      <xdr:row>9</xdr:row>
      <xdr:rowOff>148860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50D9F3D-C01E-8D4A-351C-25CC2345BF4C}"/>
                </a:ext>
              </a:extLst>
            </xdr14:cNvPr>
            <xdr14:cNvContentPartPr/>
          </xdr14:nvContentPartPr>
          <xdr14:nvPr macro=""/>
          <xdr14:xfrm>
            <a:off x="398880" y="1032480"/>
            <a:ext cx="152280" cy="8308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50D9F3D-C01E-8D4A-351C-25CC2345BF4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2760" y="1026360"/>
              <a:ext cx="164520" cy="84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523830</xdr:colOff>
      <xdr:row>7</xdr:row>
      <xdr:rowOff>180660</xdr:rowOff>
    </xdr:from>
    <xdr:to>
      <xdr:col>9</xdr:col>
      <xdr:colOff>524190</xdr:colOff>
      <xdr:row>7</xdr:row>
      <xdr:rowOff>181020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1181B321-6B23-1597-1F74-C2872A484AE2}"/>
                </a:ext>
              </a:extLst>
            </xdr14:cNvPr>
            <xdr14:cNvContentPartPr/>
          </xdr14:nvContentPartPr>
          <xdr14:nvPr macro=""/>
          <xdr14:xfrm>
            <a:off x="4657680" y="151416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1181B321-6B23-1597-1F74-C2872A484A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651560" y="1508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314280</xdr:colOff>
      <xdr:row>7</xdr:row>
      <xdr:rowOff>94980</xdr:rowOff>
    </xdr:from>
    <xdr:to>
      <xdr:col>9</xdr:col>
      <xdr:colOff>28590</xdr:colOff>
      <xdr:row>13</xdr:row>
      <xdr:rowOff>85980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76D82639-F44F-B9DF-E1AC-15552444D41C}"/>
                </a:ext>
              </a:extLst>
            </xdr14:cNvPr>
            <xdr14:cNvContentPartPr/>
          </xdr14:nvContentPartPr>
          <xdr14:nvPr macro=""/>
          <xdr14:xfrm>
            <a:off x="314280" y="1428480"/>
            <a:ext cx="6896160" cy="113400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76D82639-F44F-B9DF-E1AC-15552444D4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08181" y="1422299"/>
              <a:ext cx="6908359" cy="11463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390390</xdr:colOff>
      <xdr:row>21</xdr:row>
      <xdr:rowOff>190260</xdr:rowOff>
    </xdr:from>
    <xdr:to>
      <xdr:col>5</xdr:col>
      <xdr:colOff>530550</xdr:colOff>
      <xdr:row>23</xdr:row>
      <xdr:rowOff>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E63E4D5-46EA-1DC0-0115-6AF86894FE06}"/>
                </a:ext>
              </a:extLst>
            </xdr14:cNvPr>
            <xdr14:cNvContentPartPr/>
          </xdr14:nvContentPartPr>
          <xdr14:nvPr macro=""/>
          <xdr14:xfrm>
            <a:off x="3914640" y="4190760"/>
            <a:ext cx="1359360" cy="1944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E63E4D5-46EA-1DC0-0115-6AF86894FE06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908605" y="4184640"/>
              <a:ext cx="1371431" cy="20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283710</xdr:colOff>
      <xdr:row>26</xdr:row>
      <xdr:rowOff>94920</xdr:rowOff>
    </xdr:from>
    <xdr:to>
      <xdr:col>6</xdr:col>
      <xdr:colOff>123990</xdr:colOff>
      <xdr:row>28</xdr:row>
      <xdr:rowOff>105240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2AB8A05C-03DC-8A37-DF49-EF3BCF41CCDB}"/>
                </a:ext>
              </a:extLst>
            </xdr14:cNvPr>
            <xdr14:cNvContentPartPr/>
          </xdr14:nvContentPartPr>
          <xdr14:nvPr macro=""/>
          <xdr14:xfrm>
            <a:off x="4417560" y="5047920"/>
            <a:ext cx="1059480" cy="3913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2AB8A05C-03DC-8A37-DF49-EF3BCF41CCD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411548" y="5041800"/>
              <a:ext cx="1071503" cy="40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76110</xdr:colOff>
      <xdr:row>30</xdr:row>
      <xdr:rowOff>66600</xdr:rowOff>
    </xdr:from>
    <xdr:to>
      <xdr:col>6</xdr:col>
      <xdr:colOff>114630</xdr:colOff>
      <xdr:row>33</xdr:row>
      <xdr:rowOff>104940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4392505F-0355-A3FF-E813-088AFAC5EB7F}"/>
                </a:ext>
              </a:extLst>
            </xdr14:cNvPr>
            <xdr14:cNvContentPartPr/>
          </xdr14:nvContentPartPr>
          <xdr14:nvPr macro=""/>
          <xdr14:xfrm>
            <a:off x="5429160" y="5781600"/>
            <a:ext cx="38520" cy="60984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4392505F-0355-A3FF-E813-088AFAC5EB7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423040" y="5775480"/>
              <a:ext cx="50760" cy="62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418830</xdr:colOff>
      <xdr:row>30</xdr:row>
      <xdr:rowOff>75960</xdr:rowOff>
    </xdr:from>
    <xdr:to>
      <xdr:col>10</xdr:col>
      <xdr:colOff>71310</xdr:colOff>
      <xdr:row>32</xdr:row>
      <xdr:rowOff>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6DA09DC7-3486-38AC-C2EC-3577CBB8B2EF}"/>
                </a:ext>
              </a:extLst>
            </xdr14:cNvPr>
            <xdr14:cNvContentPartPr/>
          </xdr14:nvContentPartPr>
          <xdr14:nvPr macro=""/>
          <xdr14:xfrm>
            <a:off x="7600680" y="5790960"/>
            <a:ext cx="262080" cy="31464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6DA09DC7-3486-38AC-C2EC-3577CBB8B2EF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7594560" y="5784840"/>
              <a:ext cx="274320" cy="32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494190</xdr:colOff>
      <xdr:row>27</xdr:row>
      <xdr:rowOff>104940</xdr:rowOff>
    </xdr:from>
    <xdr:to>
      <xdr:col>8</xdr:col>
      <xdr:colOff>236790</xdr:colOff>
      <xdr:row>34</xdr:row>
      <xdr:rowOff>177600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68DF81EE-D332-6597-422D-AFD331FDA4ED}"/>
                </a:ext>
              </a:extLst>
            </xdr14:cNvPr>
            <xdr14:cNvContentPartPr/>
          </xdr14:nvContentPartPr>
          <xdr14:nvPr macro=""/>
          <xdr14:xfrm>
            <a:off x="5237640" y="5248440"/>
            <a:ext cx="1571400" cy="140616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68DF81EE-D332-6597-422D-AFD331FDA4ED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5231560" y="5242263"/>
              <a:ext cx="1583559" cy="14185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521670</xdr:colOff>
      <xdr:row>30</xdr:row>
      <xdr:rowOff>9360</xdr:rowOff>
    </xdr:from>
    <xdr:to>
      <xdr:col>13</xdr:col>
      <xdr:colOff>142590</xdr:colOff>
      <xdr:row>32</xdr:row>
      <xdr:rowOff>78000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5CEF62C3-C511-EBE7-EDA9-1B10B0AAD4CA}"/>
                </a:ext>
              </a:extLst>
            </xdr14:cNvPr>
            <xdr14:cNvContentPartPr/>
          </xdr14:nvContentPartPr>
          <xdr14:nvPr macro=""/>
          <xdr14:xfrm>
            <a:off x="8313120" y="5724360"/>
            <a:ext cx="1449720" cy="44964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5CEF62C3-C511-EBE7-EDA9-1B10B0AAD4C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8307044" y="5718191"/>
              <a:ext cx="1461872" cy="4619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418710</xdr:colOff>
      <xdr:row>30</xdr:row>
      <xdr:rowOff>34920</xdr:rowOff>
    </xdr:from>
    <xdr:to>
      <xdr:col>14</xdr:col>
      <xdr:colOff>278910</xdr:colOff>
      <xdr:row>31</xdr:row>
      <xdr:rowOff>70860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42F00AA3-2FE4-032B-B162-9DFBFC576AFD}"/>
                </a:ext>
              </a:extLst>
            </xdr14:cNvPr>
            <xdr14:cNvContentPartPr/>
          </xdr14:nvContentPartPr>
          <xdr14:nvPr macro=""/>
          <xdr14:xfrm>
            <a:off x="10038960" y="5749920"/>
            <a:ext cx="469800" cy="22644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42F00AA3-2FE4-032B-B162-9DFBFC576AFD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0032835" y="5743790"/>
              <a:ext cx="482049" cy="2386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598230</xdr:colOff>
      <xdr:row>30</xdr:row>
      <xdr:rowOff>9360</xdr:rowOff>
    </xdr:from>
    <xdr:to>
      <xdr:col>16</xdr:col>
      <xdr:colOff>222870</xdr:colOff>
      <xdr:row>31</xdr:row>
      <xdr:rowOff>145020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E7DF79CD-786B-8321-8D75-88BE6A0DC035}"/>
                </a:ext>
              </a:extLst>
            </xdr14:cNvPr>
            <xdr14:cNvContentPartPr/>
          </xdr14:nvContentPartPr>
          <xdr14:nvPr macro=""/>
          <xdr14:xfrm>
            <a:off x="10828080" y="5724360"/>
            <a:ext cx="843840" cy="32616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E7DF79CD-786B-8321-8D75-88BE6A0DC035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0822095" y="5718240"/>
              <a:ext cx="855809" cy="33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437910</xdr:colOff>
      <xdr:row>32</xdr:row>
      <xdr:rowOff>47400</xdr:rowOff>
    </xdr:from>
    <xdr:to>
      <xdr:col>18</xdr:col>
      <xdr:colOff>157830</xdr:colOff>
      <xdr:row>36</xdr:row>
      <xdr:rowOff>108360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84706486-1BF0-422F-9126-5C527DF0FFD9}"/>
                </a:ext>
              </a:extLst>
            </xdr14:cNvPr>
            <xdr14:cNvContentPartPr/>
          </xdr14:nvContentPartPr>
          <xdr14:nvPr macro=""/>
          <xdr14:xfrm>
            <a:off x="7619760" y="6143400"/>
            <a:ext cx="5206320" cy="82296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84706486-1BF0-422F-9126-5C527DF0FFD9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7613676" y="6137226"/>
              <a:ext cx="5218488" cy="8353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571230</xdr:colOff>
      <xdr:row>37</xdr:row>
      <xdr:rowOff>104700</xdr:rowOff>
    </xdr:from>
    <xdr:to>
      <xdr:col>6</xdr:col>
      <xdr:colOff>526470</xdr:colOff>
      <xdr:row>39</xdr:row>
      <xdr:rowOff>54900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A1B8EEA3-2FC4-156B-CAC2-F9940370AB78}"/>
                </a:ext>
              </a:extLst>
            </xdr14:cNvPr>
            <xdr14:cNvContentPartPr/>
          </xdr14:nvContentPartPr>
          <xdr14:nvPr macro=""/>
          <xdr14:xfrm>
            <a:off x="5314680" y="7153200"/>
            <a:ext cx="564840" cy="33120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A1B8EEA3-2FC4-156B-CAC2-F9940370AB78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5308556" y="7147080"/>
              <a:ext cx="577088" cy="34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114150</xdr:colOff>
      <xdr:row>35</xdr:row>
      <xdr:rowOff>95100</xdr:rowOff>
    </xdr:from>
    <xdr:to>
      <xdr:col>6</xdr:col>
      <xdr:colOff>390030</xdr:colOff>
      <xdr:row>38</xdr:row>
      <xdr:rowOff>38400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A1524DEA-CE67-556C-031B-56D905D3604C}"/>
                </a:ext>
              </a:extLst>
            </xdr14:cNvPr>
            <xdr14:cNvContentPartPr/>
          </xdr14:nvContentPartPr>
          <xdr14:nvPr macro=""/>
          <xdr14:xfrm>
            <a:off x="4248000" y="6762600"/>
            <a:ext cx="1495080" cy="51480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A1524DEA-CE67-556C-031B-56D905D3604C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4241957" y="6756480"/>
              <a:ext cx="1507166" cy="527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50:34.52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24575,'0'479'-1365,"0"-468"-5461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50:39.23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150 432 24575,'-7'-2'0,"1"-1"0,0-1 0,0 1 0,0-1 0,1 0 0,-1 0 0,1-1 0,0 0 0,-5-6 0,8 10 0,-7-8 0,1 0 0,1 0 0,-1-1 0,1 1 0,1-2 0,0 1 0,0-1 0,1 0 0,1 0 0,-1 0 0,2-1 0,0 1 0,0-1 0,1 0 0,0 0 0,1 0 0,1-14 0,1 20 0,0 0 0,1 0 0,0 1 0,0-1 0,0 1 0,1 0 0,0-1 0,0 1 0,0 0 0,0 0 0,1 1 0,0-1 0,0 1 0,0 0 0,1 0 0,-1 0 0,1 1 0,0-1 0,0 1 0,8-3 0,5-4 0,1 1 0,1 0 0,0 2 0,29-7 0,20 2 0,0 3 0,0 4 0,97 4 0,-156 1 0,1-1 0,-1 2 0,1-1 0,-1 1 0,0 1 0,1-1 0,-1 2 0,0 0 0,0 0 0,0 0 0,-1 2 0,1-1 0,-1 1 0,0 0 0,0 1 0,-1 0 0,1 0 0,-1 1 0,-1 0 0,1 1 0,-1 0 0,-1 0 0,9 12 0,1 4 0,-1 1 0,-1 0 0,-2 1 0,0 1 0,-2-1 0,0 2 0,-2-1 0,-1 1 0,3 30 0,-8-36 0,-1 0 0,-1-1 0,-1 1 0,-1 0 0,0-1 0,-2 1 0,0-1 0,-2 0 0,0 0 0,-2-1 0,0 1 0,-18 30 0,15-33 0,-1 0 0,0 0 0,-2-2 0,0 1 0,-1-2 0,-26 22 0,8-12 0,-1-2 0,-55 29 0,31-22 0,-1-3 0,-105 32 0,122-41 0,42-18 0,0 0 0,0 0 0,-1 0 0,1 1 0,0-1 0,0 0 0,0 0 0,-1 0 0,1 0 0,0 1 0,0-1 0,0 0 0,-1 0 0,1 0 0,0 1 0,0-1 0,0 0 0,0 0 0,-1 1 0,1-1 0,0 0 0,0 0 0,0 1 0,0-1 0,0 0 0,0 0 0,0 1 0,0-1 0,0 0 0,0 1 0,0-1 0,0 0 0,0 0 0,0 1 0,0-1 0,0 0 0,0 0 0,0 1 0,1-1 0,22 6 0,42-6 44,1-3-1,97-16 0,46-4-1538,-196 23-5331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50:43.58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93 1 24575,'-7'2'0,"0"-1"0,0 1 0,0 0 0,1 1 0,-1 0 0,0 0 0,-7 5 0,14-8 0,56 7 0,-22-9 0,68-11 0,-69 6 0,0 3 0,43-1 0,-62 5 0,0 0 0,0 1 0,1 1 0,-1 1 0,0 0 0,-1 0 0,1 2 0,-1-1 0,17 9 0,-25-10 0,1 1 0,-1 0 0,1 0 0,-1 0 0,0 1 0,0-1 0,-1 1 0,0 0 0,1 1 0,-2-1 0,1 1 0,-1 0 0,0 0 0,0 0 0,0 0 0,-1 0 0,0 0 0,0 1 0,-1-1 0,1 1 0,-1 13 0,-1-15 0,0 0 0,-1 0 0,0 0 0,0 0 0,-1 0 0,1 0 0,-1 0 0,0 0 0,0-1 0,-1 1 0,0-1 0,1 1 0,-1-1 0,-1 0 0,1 0 0,-1 0 0,1-1 0,-7 5 0,-10 9 0,0-2 0,-31 18 0,42-27 0,-18 9 0,-1-1 0,-1 0 0,-1-3 0,-52 15 0,18-11 0,-83 8 0,103-20 0,74-3 0,18-3 0,61-11 0,-75 8 0,0 1 0,1 2 0,-1 1 0,54 5 0,-83-2 0,0 0 0,0 1 0,0 0 0,0 0 0,-1 0 0,1 1 0,-1-1 0,0 1 0,0 0 0,0 1 0,0-1 0,0 1 0,-1-1 0,1 1 0,-1 0 0,0 0 0,5 9 0,-7-10 0,1-1 0,-1 1 0,1-1 0,-1 1 0,0 0 0,0-1 0,-1 1 0,1 0 0,0 0 0,-1 0 0,1-1 0,-1 1 0,0 0 0,0 0 0,0 0 0,-1 0 0,1 0 0,-1 0 0,1-1 0,-1 1 0,0 0 0,0 0 0,0-1 0,-1 1 0,1-1 0,-1 1 0,1-1 0,-1 1 0,0-1 0,0 0 0,0 0 0,-3 3 0,-37 25 0,0-2 0,-2-1 0,-1-3 0,-1-2 0,-1-2 0,0-1 0,-58 13 0,91-30-1365,2 0-5461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50:50.35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143 1 24575,'-6'7'0,"2"0"0,-1 1 0,1-1 0,1 1 0,-1 0 0,1 1 0,1-1 0,-1 1 0,-1 11 0,-1 3 0,-45 227 0,2-8 0,48-241 0,-1 1 0,1-1 0,0 1 0,0-1 0,0 1 0,0-1 0,0 1 0,0-1 0,0 1 0,1-1 0,-1 1 0,0-1 0,1 1 0,-1-1 0,1 0 0,0 1 0,0-1 0,-1 0 0,1 1 0,0-1 0,0 0 0,0 0 0,0 0 0,0 0 0,0 0 0,0 0 0,1 0 0,-1 0 0,0 0 0,1-1 0,-1 1 0,0 0 0,1-1 0,-1 1 0,1-1 0,-1 1 0,1-1 0,-1 0 0,3 0 0,9 3 0,1-2 0,0 0 0,20 0 0,-19-2 0,120 4 0,0-7 0,177-27 0,-77-20 0,-234 50 0,1 1 0,0 0 0,-1-1 0,1 1 0,0 0 0,-1 0 0,1 0 0,0 0 0,0 0 0,-1 0 0,1 1 0,0-1 0,-1 1 0,1-1 0,-1 1 0,1-1 0,-1 1 0,1 0 0,-1 0 0,1 0 0,-1 0 0,1 0 0,-1 0 0,0 0 0,0 0 0,0 1 0,0-1 0,0 0 0,0 1 0,0-1 0,0 1 0,0-1 0,0 1 0,-1-1 0,1 1 0,-1-1 0,1 1 0,-1 0 0,0-1 0,1 1 0,-1 0 0,0 1 0,1 13 0,0 0 0,-1 0 0,-3 28 0,1-14 0,6 5 0,-4-35 0,0 0 0,0 0 0,0 0 0,0 0 0,0 0 0,0 0 0,0 1 0,0-1 0,0 0 0,1 0 0,-1 0 0,0 0 0,0 0 0,0 0 0,0 0 0,0 0 0,0 0 0,0 1 0,0-1 0,0 0 0,0 0 0,0 0 0,0 0 0,0 0 0,0 0 0,0 0 0,1 0 0,-1 0 0,0 0 0,0 0 0,0 0 0,0 0 0,0 0 0,0 0 0,0 0 0,0 0 0,0 0 0,1 0 0,-1 0 0,0 0 0,0 0 0,0 0 0,0 0 0,0 0 0,0 0 0,0 0 0,0 0 0,1 0 0,-1 0 0,0 0 0,0 0 0,0 0 0,0 0 0,0 0 0,0 0 0,0 0 0,0 0 0,0 0 0,0 0 0,0 0 0,1-1 0,-1 1 0,0 0 0,0 0 0,0 0 0,0 0 0,0 0 0,0 0 0,4-21 0,-3 17-54,-1-1-1,1 1 0,-1-1 1,0 1-1,0 0 1,-1-1-1,1 1 0,-1-1 1,0 1-1,0 0 1,-1 0-1,1-1 0,-1 1 1,0 0-1,0 0 0,0 0 1,0 1-1,-1-1 1,0 1-1,0-1 0,0 1 1,0 0-1,0 0 1,-6-4-1,2 3-6771</inkml:trace>
  <inkml:trace contextRef="#ctx0" brushRef="#br0" timeOffset="1999.52">707 417 24575,'-2'3'0,"0"0"0,0 1 0,0-1 0,0 1 0,0 0 0,1 0 0,0-1 0,0 1 0,0 0 0,0 0 0,0 7 0,-2 0 0,-16 66 0,-16 141 0,26-182-1365,7-26-5461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50:56.10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791 18 24575,'-272'-16'0,"212"16"0,19-2 0,-1 3 0,-67 9 0,97-8 0,0 1 0,1 0 0,-1 0 0,1 1 0,-1 1 0,1 0 0,1 1 0,-1 0 0,1 0 0,0 1 0,0 1 0,1 0 0,-13 13 0,13-11 0,-6 7 0,0 0 0,1 1 0,-17 29 0,28-43 0,1 1 0,-1 0 0,1 0 0,0 0 0,1 0 0,-1 0 0,1 0 0,0 0 0,0 0 0,0 1 0,1-1 0,0 0 0,0 1 0,0-1 0,1 0 0,0 1 0,0-1 0,0 0 0,0 0 0,4 8 0,-3-11 0,-1 1 0,1-1 0,0 0 0,0 0 0,0 0 0,0-1 0,0 1 0,0 0 0,1-1 0,-1 1 0,1-1 0,-1 0 0,1 0 0,-1 0 0,1 0 0,-1 0 0,1 0 0,0-1 0,0 1 0,-1-1 0,5 0 0,69-3 0,-46 1 0,74-6 0,26 0 0,-119 8 0,3-1 0,1 2 0,-1-1 0,0 2 0,1 0 0,20 6 0,-30-6 0,-1-1 0,0 1 0,0 0 0,0 1 0,0-1 0,0 1 0,-1 0 0,1 0 0,-1 0 0,0 0 0,0 1 0,0-1 0,0 1 0,0 0 0,-1 0 0,0 0 0,0 0 0,0 0 0,0 0 0,0 1 0,1 8 0,0-1 0,3 11 0,0-1 0,3 39 0,-9-56 0,1 0 0,-1 0 0,0 0 0,0 0 0,-1 0 0,0-1 0,0 1 0,0 0 0,0 0 0,0 0 0,-1-1 0,0 1 0,0-1 0,-1 1 0,1-1 0,-1 0 0,0 0 0,-5 7 0,-15 7 0,-1 0 0,0-2 0,-1 0 0,-1-2 0,-31 13 0,-5-2 0,-76 19 0,121-41-104,0 0 0,0-1 0,0-1 0,-29-2 0,30 1-741,2 0-5981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51:00.9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940 0 24575,'-31'2'0,"1"1"0,-1 2 0,-33 10 0,7-3 0,-105 25 0,-220 80 0,372-113 0,-1 0 0,1 0 0,0 1 0,0 1 0,1-1 0,0 2 0,0-1 0,0 1 0,1 0 0,0 1 0,0 0 0,0 1 0,1-1 0,1 1 0,0 0 0,0 1 0,1 0 0,0 0 0,0 0 0,1 0 0,1 1 0,-1 0 0,2-1 0,0 1 0,-1 13 0,0-10 0,2-1 0,0 1 0,1 0 0,0 0 0,1 0 0,4 20 0,-4-27 0,2-1 0,-1 0 0,0 0 0,1 0 0,0 0 0,1-1 0,-1 1 0,1-1 0,0 0 0,0 0 0,1 0 0,-1-1 0,1 1 0,0-1 0,11 7 0,-2-3 0,1-1 0,0 0 0,1 0 0,-1-2 0,1 0 0,0 0 0,25 2 0,3-1 0,71-2 0,-103-5 0,0 0 0,1-1 0,-1-1 0,-1 0 0,1-1 0,0 0 0,-1-1 0,0 0 0,0-1 0,0 0 0,-1-1 0,0 0 0,0 0 0,17-18 0,-26 24 0,0 0 0,0 1 0,0-1 0,-1 0 0,1 0 0,0 0 0,-1 0 0,1 0 0,0 0 0,-1 0 0,1 0 0,-1 0 0,0 0 0,1 0 0,-1 0 0,0 0 0,0 0 0,0 0 0,1-1 0,-1 1 0,0 0 0,-1 0 0,1 0 0,0 0 0,0 0 0,0 0 0,-1-1 0,1 1 0,-1-1 0,-1-1 0,1 1 0,-1-1 0,0 1 0,-1 0 0,1-1 0,0 1 0,-1 0 0,1 0 0,-1 0 0,-3-2 0,-8-3 0,1 1 0,-1 0 0,-21-6 0,0 5-31,-1 1-1,1 2 1,-1 1-1,-69 4 1,35 1-1177,55-2-5618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51:02.93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1 133 24575,'126'-6'0,"150"-26"0,-134 13 0,90-14 0,75-9 0,-305 42 0,0 0 0,-1-1 0,1 1 0,0 0 0,-1 0 0,1 0 0,0 0 0,-1 1 0,1-1 0,0 0 0,-1 1 0,1-1 0,-1 1 0,1-1 0,-1 1 0,3 1 0,-3-1 0,-1-1 0,1 1 0,-1 0 0,0-1 0,1 1 0,-1 0 0,0 0 0,0-1 0,1 1 0,-1 0 0,0 0 0,0-1 0,0 1 0,0 0 0,0 0 0,0-1 0,0 1 0,0 0 0,0 0 0,0-1 0,-1 1 0,1 0 0,0 0 0,-1 1 0,-3 6 0,-1 1 0,0-1 0,0 0 0,-11 11 0,13-15 0,-341 373 0,107-126 0,99-90 0,-158 163 0,282-316-1365,7-6-5461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51:06.63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438 1 24575,'-49'0'0,"0"2"0,0 2 0,0 2 0,1 2 0,-1 3 0,-45 16 0,91-26 0,0-1 0,1 1 0,-1 0 0,1 0 0,-1 0 0,1 0 0,0 1 0,-1-1 0,1 1 0,0-1 0,0 1 0,0 0 0,0 0 0,0-1 0,0 2 0,1-1 0,-1 0 0,1 0 0,-1 0 0,1 1 0,0-1 0,0 1 0,0-1 0,0 1 0,0-1 0,1 1 0,-1 0 0,1-1 0,0 1 0,-1 0 0,1-1 0,0 1 0,1 0 0,-1-1 0,0 1 0,1 0 0,0-1 0,-1 1 0,1-1 0,0 1 0,2 2 0,1 3 0,0 0 0,1-1 0,0 1 0,0-1 0,1-1 0,0 1 0,0-1 0,1 0 0,-1 0 0,1-1 0,11 7 0,21 7 0,1-1 0,1-2 0,0-2 0,50 9 0,-1 2 0,-66-17 0,-1 1 0,0 1 0,-1 1 0,0 1 0,-1 1 0,27 21 0,-46-32 0,1 0 0,-1 0 0,1 0 0,-1 0 0,1 1 0,-1-1 0,0 1 0,0-1 0,-1 1 0,1 0 0,0 0 0,-1 0 0,0 0 0,1 0 0,-1 0 0,0 0 0,-1 0 0,1 0 0,-1 1 0,1-1 0,-1 5 0,-1-5 0,0 1 0,0 0 0,-1 0 0,1-1 0,-1 1 0,0-1 0,0 1 0,0-1 0,0 0 0,0 0 0,-1 0 0,0 0 0,1 0 0,-1 0 0,-4 2 0,-11 8 0,0-1 0,-1-1 0,-1-1 0,-39 16 0,31-17 0,0 0 0,-1-2 0,0-1 0,-38 3 0,-120-2 0,185-7 0,1 0 0,-1 0 0,0 0 0,0 0 0,0 0 0,0 0 0,0 0 0,0 0 0,0-1 0,1 1 0,-1-1 0,0 1 0,0-1 0,1 0 0,-1 0 0,0 0 0,1 0 0,-1 0 0,0 0 0,1 0 0,0-1 0,-1 1 0,1 0 0,0-1 0,0 1 0,-1-1 0,1 1 0,0-1 0,1 0 0,-1 1 0,0-1 0,0 0 0,1 0 0,-1 0 0,1 1 0,-1-5 0,1 1 0,1 1 0,-1-1 0,1 0 0,0 0 0,0 1 0,1-1 0,0 0 0,-1 1 0,1 0 0,1-1 0,-1 1 0,1 0 0,5-7 0,30-31 0,84-73 0,-18 20 0,-101 92 1,-1-1 1,1 1-1,-1-1 0,0 0 0,0 0 0,0 0 0,0 0 0,-1 0 1,0 0-1,0 0 0,0 0 0,0 0 0,0-1 0,-1 1 1,0 0-1,0-7 0,-2-11-22,0 0 1,-7-24-1,0-10-1302,8 44-5503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51:09.72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180 3 24575,'-6'0'0,"0"0"0,0 0 0,0 1 0,0 0 0,0 0 0,0 0 0,0 1 0,1-1 0,-1 2 0,1-1 0,-1 0 0,1 1 0,-9 6 0,8-3 0,0-1 0,1 1 0,0 0 0,1 0 0,-1 0 0,1 1 0,0 0 0,1 0 0,-1 0 0,-2 9 0,-2 4 0,1 1 0,0 0 0,2 0 0,-5 34 0,9-48 0,1 0 0,0-1 0,0 1 0,1-1 0,-1 1 0,2 0 0,-1-1 0,1 0 0,0 1 0,0-1 0,0 0 0,1 0 0,0 0 0,1 0 0,-1-1 0,1 1 0,0-1 0,0 0 0,6 6 0,-3-6 0,0 0 0,0-1 0,0 0 0,0 0 0,1 0 0,-1-1 0,1 0 0,0-1 0,0 1 0,0-2 0,0 1 0,1-1 0,-1 0 0,0-1 0,1 0 0,-1 0 0,0-1 0,0 0 0,1 0 0,11-4 0,7-2 0,-1-1 0,0-2 0,0 0 0,46-27 0,-67 34 0,-1 1 0,1-1 0,-1 1 0,0-1 0,0-1 0,-1 1 0,1 0 0,-1-1 0,1 0 0,-1 0 0,0 0 0,0 0 0,-1 0 0,0-1 0,1 1 0,-1-1 0,-1 0 0,3-6 0,-4 4 0,1 0 0,-1 0 0,0 0 0,-1 0 0,0 0 0,0 0 0,0 0 0,-1 0 0,0 0 0,-1 0 0,1 1 0,-6-10 0,-2-4 0,-1 0 0,0 1 0,-2 0 0,0 1 0,-1 1 0,-22-22 0,36 39 0,0-1 0,-1 0 0,1 1 0,-1-1 0,0 1 0,1-1 0,-1 1 0,1 0 0,-1-1 0,0 1 0,1-1 0,-1 1 0,0 0 0,1 0 0,-1-1 0,0 1 0,0 0 0,1 0 0,-1 0 0,0 0 0,0 0 0,1 0 0,-1 0 0,0 0 0,0 0 0,1 0 0,-1 0 0,0 1 0,0-1 0,1 0 0,-1 0 0,-1 1 0,1 1 0,-1 0 0,1-1 0,0 1 0,0 0 0,0 0 0,0-1 0,0 1 0,1 0 0,-1 0 0,0 0 0,1 0 0,-1 3 0,-4 69 0,5-66 0,15 473 0,-12-250 32,-4-130-1429,1-88-5429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51:11.56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24575,'1'26'0,"2"-1"0,8 38 0,-5-37 0,-2 1 0,2 31 0,-7 44-1365,1-88-5461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51:14.57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26 116 24575,'0'28'0,"-1"-12"0,1 0 0,0 1 0,2-1 0,0 0 0,4 19 0,-5-32 0,0 1 0,0-1 0,1 1 0,-1-1 0,1 0 0,0 1 0,0-1 0,0 0 0,0 0 0,1-1 0,-1 1 0,1 0 0,0-1 0,-1 1 0,1-1 0,0 0 0,0 0 0,1 0 0,-1-1 0,0 1 0,1-1 0,-1 1 0,1-1 0,-1 0 0,1-1 0,0 1 0,-1 0 0,6-1 0,0 1 0,0 0 0,1-1 0,0 0 0,0 0 0,18-3 0,-25 2 0,-1 1 0,1-1 0,-1 0 0,1 0 0,-1 0 0,1-1 0,-1 1 0,0 0 0,0-1 0,0 1 0,0-1 0,0 0 0,0 0 0,0 0 0,-1 0 0,1 0 0,-1 0 0,1 0 0,-1-1 0,0 1 0,0 0 0,0-1 0,1-2 0,1-4 0,-1 0 0,0 0 0,-1 0 0,0 0 0,0 0 0,-1 0 0,0 0 0,0 0 0,-1 0 0,0 0 0,-1 0 0,0 0 0,0 0 0,-1 1 0,0-1 0,-1 1 0,0 0 0,0 0 0,-1 0 0,0 0 0,-7-7 0,-2-7 0,10 15 0,0 1 0,-1-1 0,1 1 0,-1-1 0,-1 2 0,-10-10 0,15 14 0,-1 0 0,1 0 0,-1 0 0,0 1 0,0-1 0,1 1 0,-1-1 0,0 1 0,0-1 0,0 1 0,1 0 0,-1 0 0,0 0 0,0 0 0,0 0 0,0 1 0,1-1 0,-1 0 0,0 1 0,0 0 0,1-1 0,-1 1 0,0 0 0,1 0 0,-1 0 0,1 0 0,-1 0 0,1 0 0,-1 0 0,1 0 0,0 1 0,0-1 0,-1 0 0,-1 4 0,-14 13-100,-44 55-1165,56-66-5561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07:48.67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1141 24505,'9936'-1141'0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08:03.9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08:07.62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4 934 24575,'-2'-63'0,"0"24"0,6-54 0,-3 81 0,1 0 0,0 0 0,1 1 0,1-1 0,0 1 0,0 0 0,1 0 0,12-19 0,-4 10 0,1 1 0,1 1 0,1 1 0,1 0 0,0 1 0,1 0 0,1 2 0,0 0 0,1 1 0,1 1 0,31-15 0,111-31 0,264-61 0,-405 113 0,464-99 0,-183 42 0,-181 40 0,2 6 0,142-4 0,250 20 0,-245 4 0,6286-3-150,-4776 94-2102,434 207 2285,-561-75 2248,-1611-221-2288,1983 273-467,-988-131 474,-975-137 8,40 5 36,187 51-1,-270-59-132,1 1 0,-1 1 0,-1 1 0,0 1-1,0 0 1,-1 1 0,-1 1 0,0 1 0,18 19 0,-22-18-6737</inkml:trace>
  <inkml:trace contextRef="#ctx0" brushRef="#br0" timeOffset="1490.84">19037 1035 24575,'4'0'0,"-1"1"0,1 0 0,0 0 0,0 0 0,-1 0 0,1 1 0,-1-1 0,1 1 0,-1 0 0,0 0 0,0 0 0,0 0 0,0 0 0,5 6 0,35 42 0,-39-46 0,4 7 0,-1 0 0,0 1 0,-1-1 0,0 1 0,-1 1 0,-1-1 0,0 1 0,0-1 0,-1 1 0,-1 0 0,0 0 0,-1 0 0,-1 0 0,0 1 0,0-1 0,-2 0 0,0 0 0,0 0 0,-1 0 0,-1-1 0,0 1 0,-1-1 0,0 0 0,-1 0 0,0 0 0,-12 16 0,12-20 0,1 0 0,-2-1 0,1 0 0,-1 0 0,0-1 0,0 1 0,0-1 0,-1-1 0,0 0 0,-1 0 0,1 0 0,-1-1 0,0 0 0,0-1 0,0 0 0,0 0 0,-1-1 0,1 0 0,-1 0 0,1-1 0,-1 0 0,0-1 0,-18-2 0,-132 0 0,78 4 0,0-4 0,-1-4 0,-109-21 0,-35-36-1365,188 48-5461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09:52.41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2996 4535 24575,'-148'-6'0,"-170"-29"0,264 28 0,-533-106 0,556 102 0,1-2 0,0-1 0,0-1 0,2-1 0,0-2 0,-33-26 0,-27-18 0,43 36 0,1-2 0,2-2 0,1-2 0,2-2 0,-68-74 0,3-20 0,-255-302 0,290 350 0,4-3 0,-108-180 0,93 103 0,6-3 0,8-3 0,-73-287 0,103 300 0,6-1 0,7-2 0,7-1 0,5-201 0,12 317 0,1-1 0,2 0 0,1 1 0,3 0 0,1 0 0,2 1 0,2 0 0,1 1 0,25-48 0,-3 21 0,2 2 0,3 1 0,3 3 0,85-92 0,-113 137 0,0 0 0,2 1 0,-1 0 0,1 2 0,1 0 0,1 1 0,-1 1 0,27-10 0,-18 11 0,0 2 0,0 0 0,0 2 0,1 1 0,56 0 0,-42 3 0,99 4 0,-135-2 0,-1 1 0,1-1 0,0 1 0,0 0 0,-1 1 0,1 0 0,-1 0 0,0 0 0,0 1 0,10 7 0,53 54 0,-37-33 0,59 46 0,-61-54 0,0 1 0,-2 1 0,-1 1 0,35 47 0,-57-64 0,0 0 0,-2 0 0,1 0 0,-1 0 0,0 1 0,-1-1 0,0 1 0,0 20 0,5 21 0,-1-24 0,1-1 0,2 0 0,1 0 0,20 40 0,-25-56 0,2 0 0,-1-1 0,2 0 0,-1 0 0,1 0 0,1-1 0,-1 0 0,2-1 0,-1 0 0,1 0 0,0-1 0,22 11 0,-5-7 0,1 0 0,0-3 0,1 0 0,0-1 0,34 2 0,149-2 0,-200-7-85,5 0-75,0 0 0,0 0 0,0-2 0,0 0 0,-1-1 0,1-1 0,29-11 0,-29 6-6666</inkml:trace>
  <inkml:trace contextRef="#ctx0" brushRef="#br0" timeOffset="1047.59">2163 553 24575,'1'5'0,"0"0"0,0 0 0,0-1 0,1 1 0,-1 0 0,1-1 0,1 1 0,-1-1 0,0 1 0,7 7 0,35 41 0,-38-46 0,23 23 0,37 29 0,-39-36 0,-1 1 0,26 32 0,-46-49 0,-1 2 0,0-1 0,-1 0 0,0 1 0,0 0 0,-1 0 0,0 0 0,-1 0 0,1 1 0,-2-1 0,1 13 0,0 17 0,-4 58 0,0-39 0,2 7 0,1-22 0,-2 0 0,-6 44 0,5-74 0,-1 0 0,0-1 0,0 1 0,-1-1 0,-1 0 0,0 0 0,-1 0 0,0-1 0,-1 0 0,0 0 0,-10 11 0,9-12-72,-1 0 1,0 0-1,-1-1 0,0 0 0,0-1 0,-1 0 0,0-1 0,0 0 1,0-1-1,-1 0 0,0-1 0,-1 0 0,1-1 0,-1 0 0,0-1 1,0-1-1,0 0 0,-17 1 0,-4-3-6754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10:47.78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1083 3609 24575,'-6'0'0,"0"-1"0,1 0 0,-1 0 0,1-1 0,-1 1 0,1-1 0,0-1 0,0 1 0,-1-1 0,2 1 0,-7-5 0,-49-43 0,-62-74 0,-201-268 0,282 338 0,-16-19 0,3-3 0,3-3 0,4-1 0,3-3 0,-55-149 0,73 158 0,4-1 0,3-1 0,3 0 0,3-1 0,-3-133 0,15 99 0,0 8 0,19-172 0,-12 246 0,2 1 0,0 0 0,2 0 0,1 1 0,1 0 0,1 1 0,22-31 0,9-7 0,76-86 0,-54 79 0,2 3 0,4 4 0,120-85 0,-53 57 0,182-89 0,-295 168 0,214-99 0,-210 101 0,1 2 0,0 1 0,0 1 0,1 1 0,0 2 0,41 0 0,14 3 0,144 6 0,-211-3 0,0 1 0,0 2 0,0 0 0,-1 0 0,0 2 0,0 1 0,-1 0 0,29 18 0,9 11 0,64 54 0,-52-37 0,-60-48-105,0-1 0,1 0 0,0-1 0,0 0 0,0 0 0,0-1 0,0 0 0,1-1 0,-1 0 0,1 0 0,0-1 0,12 0 0,3-1-6721</inkml:trace>
  <inkml:trace contextRef="#ctx0" brushRef="#br0" timeOffset="1202.49">2653 4 24575,'2'1'0,"1"0"0,-1 0 0,0 0 0,1 0 0,-1 0 0,0 1 0,0-1 0,0 1 0,0 0 0,0 0 0,0-1 0,-1 1 0,4 4 0,4 4 0,50 40 0,2-2 0,2-3 0,72 39 0,-53-34 0,639 372 0,-598-353 0,-86-48 0,-13-9 0,0 2 0,0 1 0,-2 0 0,41 37 0,-61-51 0,-1 1 0,1 0 0,-1-1 0,0 1 0,1 0 0,-1 0 0,0-1 0,0 1 0,0 0 0,0 0 0,0 1 0,-1-1 0,1 0 0,0 3 0,-1-4 0,0 0 0,0 0 0,-1 0 0,1 0 0,0 0 0,0 0 0,-1-1 0,1 1 0,0 0 0,-1 0 0,1 0 0,-1 0 0,0 0 0,1-1 0,-1 1 0,1 0 0,-1 0 0,0-1 0,0 1 0,1 0 0,-3 0 0,-4 2 0,1 0 0,-1 0 0,0-1 0,-1 0 0,1 0 0,-10 1 0,12-2 0,-1963 212-1948,1805-205-4295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07:02.46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10361 0 24575,'-1'9'0,"0"-1"0,0 0 0,-1 0 0,-5 15 0,-1 9 0,-33 145 0,-27 145 0,36-163 0,-66 192 0,24-100 0,-58 204 0,-194 441 0,266-758 0,-115 197 0,159-307 0,-33 55 0,-3-3 0,-115 138 0,112-164 0,-2-2 0,-2-3 0,-3-2 0,-1-3 0,-92 48 0,-7-10 0,-192 67 0,233-107 0,-2-6 0,-188 31 0,-261 7 0,523-69 0,-588 31 0,-4-37 0,268-2 0,284 2 0,0-2 0,0-5 0,0-4 0,-145-38 0,-712-212 0,529 150 0,231 66 0,-269-54 0,319 76 0,-155-20 0,170 28 0,-210-57 0,193 39 0,-233-69 0,171 45 0,-329-92 0,502 140 0,0-1 0,-46-27 0,-1 1 0,50 26 0,0 1 0,0 1 0,-1 1 0,-43-7 0,31 0-1365,27 9-5461</inkml:trace>
  <inkml:trace contextRef="#ctx0" brushRef="#br0" timeOffset="1856.22">35 3433 24575,'-2'-26'0,"0"0"0,-9-36 0,6 37 0,1-1 0,-2-41 0,4-16 0,0 45 0,2 0 0,1 0 0,9-55 0,-9 90 0,-1-1 0,1 1 0,0-1 0,0 1 0,0 0 0,1-1 0,-1 1 0,1 0 0,-1 0 0,1 0 0,0 0 0,0 0 0,1 1 0,-1-1 0,1 0 0,-1 1 0,1 0 0,0 0 0,-1 0 0,1 0 0,0 0 0,1 0 0,-1 1 0,0-1 0,0 1 0,1 0 0,-1 0 0,1 0 0,-1 1 0,1-1 0,-1 1 0,1 0 0,-1 0 0,1 0 0,-1 0 0,1 1 0,-1-1 0,1 1 0,5 2 0,14 3 0,-1 2 0,0 1 0,-1 0 0,35 22 0,-46-25 0,105 57 0,190 112 0,-263-147-1365,-27-17-5461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21:53.18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0 425 24575,'4'-5'0,"0"-1"0,0 1 0,1-1 0,0 1 0,0 1 0,0-1 0,0 1 0,1 0 0,0 0 0,0 0 0,8-3 0,73-30 0,112-20 0,-14 5 0,60-12 0,-231 60 0,6-1 0,0-2 0,-1-1 0,25-13 0,34-12 0,53 0 0,-24 7 0,-76 20-170,1 0 0,-1 2 0,1 2 0,58 2 0,-74 0-345,18 0-6311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22:05.39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24575,'0'1'0,"1"1"0,-1-1 0,1 1 0,0 0 0,-1-1 0,1 1 0,0-1 0,0 1 0,0-1 0,0 0 0,0 1 0,1-1 0,-1 0 0,0 0 0,1 0 0,-1 0 0,0 0 0,1 0 0,-1 0 0,3 1 0,38 17 0,-32-15 0,18 5 0,0 0 0,1-2 0,49 7 0,29 6 0,-99-18 0,-1-1 0,1 2 0,-1-1 0,0 1 0,1 0 0,-1 1 0,-1-1 0,1 1 0,8 7 0,-12-8 0,-1 0 0,0 0 0,0 0 0,0 0 0,0 0 0,-1 0 0,1 1 0,-1-1 0,0 0 0,0 1 0,0-1 0,0 1 0,-1-1 0,0 1 0,1 0 0,-1-1 0,0 1 0,-1-1 0,1 1 0,-1 0 0,1-1 0,-3 7 0,-3 10 0,-1 0 0,-1 0 0,-1 0 0,0-1 0,-24 35 0,-3 6 0,1 36-1365,23-68-5461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58:46.15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321 16 24575,'-48'-8'0,"45"7"0,-1 0 0,1 0 0,-1 0 0,0 0 0,1 0 0,-1 1 0,0-1 0,0 1 0,1 0 0,-1 0 0,0 0 0,0 1 0,0 0 0,1-1 0,-1 1 0,1 0 0,-1 1 0,0-1 0,1 1 0,0-1 0,-1 1 0,1 0 0,0 1 0,-3 2 0,-5 6 0,1 2 0,0-1 0,2 1 0,-1 0 0,1 1 0,1 0 0,1 0 0,0 1 0,-6 20 0,2 3 0,1 1 0,-6 61 0,14-94 0,-3 34 0,1 0 0,4 49 0,-1-78 0,1 0 0,1-1 0,0 1 0,1 0 0,0-1 0,0 1 0,1-1 0,0 0 0,1 0 0,0-1 0,1 1 0,0-1 0,8 9 0,-3-7 0,-1 1 0,0-1 0,-1 2 0,0-1 0,-1 1 0,0 1 0,-1-1 0,0 1 0,-2 1 0,1-1 0,-2 1 0,0 0 0,-1 0 0,0 0 0,-1 0 0,-1 1 0,0 15 0,-2 74 0,-3 81 0,3-174 0,-1 0 0,-1 0 0,0-1 0,0 1 0,-1 0 0,-1-1 0,-10 20 0,-5 0 0,-28 37 0,35-53 0,0 1 0,1 0 0,2 1 0,-1 1 0,2-1 0,0 2 0,1-1 0,1 1 0,-5 20 0,9-3 0,1-1 0,2 1 0,1 0 0,2-1 0,1 1 0,2-1 0,17 56 0,-17-73 0,0 0 0,2 0 0,0-1 0,1 0 0,0 0 0,2-1 0,0 0 0,0-1 0,2 0 0,0-1 0,0-1 0,1 0 0,26 18 0,-31-25 0,1-1 0,-1-1 0,1 0 0,19 5 0,14 7 0,37 19-1365,-57-25-5461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58:54.25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8:17:06.65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372 1 24575,'-4'5'0,"0"0"0,1 1 0,-1-1 0,1 1 0,1 0 0,-1 0 0,1 0 0,-2 7 0,-7 19 0,-86 148 0,69-122 0,9-18 0,-15 41 0,-41 141 0,64-188 0,1-5 0,1 0 0,1 1 0,2 0 0,-4 42 0,0 113 0,-5 241 0,16-333 0,4 0 0,19 97 0,-13-136 0,2-1 0,2-1 0,3-1 0,47 98 0,-59-139 0,10 24 0,2-1 0,1-1 0,1-1 0,2 0 0,50 52 0,-39-51 0,31 42 0,-43-48 0,1-1 0,1-1 0,50 41 0,-25-31 0,76 41 0,-104-65 0,0-1 0,1-1 0,0 0 0,0-2 0,0-1 0,1 0 0,26 1 0,23 3 0,87 22 0,-24-3 0,290 27 0,-129-20 0,-288-34 0,156 23 0,294 4 0,738-31 0,-614 5 0,1565-2 0,-2017-4 0,152-26 0,147 7 0,-311 23 0,1-6 0,201-34 0,-265 29 0,1 3 0,108-3 0,-132 9 0,0-1 0,0-2 0,31-9 0,57-8 0,251-20 0,293-27 0,-479 56 0,543-62 0,-395 32 0,1 1 0,505-68 0,-137 22 0,-171 3 0,-459 69 0,101-37 0,-109 31 0,1 3 0,77-13 0,-85 22 0,74-25 0,-78 19 0,102-17 0,-101 27 0,397-61 0,-138 26 0,-236 33 0,-18-1 0,69-19 0,-83 17 0,0 1 0,0 2 0,65-3 0,-83 9 0,0-1 0,0-2 0,-1 0 0,0-2 0,26-9 0,-24 6 0,0 2 0,0 1 0,1 2 0,34-4 0,10 7 0,-1-4 0,0-2 0,127-33 0,105-39 0,-90 49 0,-155 26 0,0-3 0,-1-2 0,60-20 0,5-1 0,8-3 0,13-33 0,122-49 0,44-17 0,-216 91 0,174-98 0,-255 134 0,0 0 0,1 1 0,0 0 0,17-4 0,40-16 0,-48 16 0,1 0 0,0 2 0,0 1 0,0 0 0,45-4 0,-45 8 0,0-1 0,0-2 0,0 0 0,0-2 0,-1 0 0,24-12 0,57-40-1365,-82 46-5461</inkml:trace>
  <inkml:trace contextRef="#ctx0" brushRef="#br0" timeOffset="1785.67">18823 734 24575,'86'3'0,"92"15"0,-167-17 0,0 0 0,-1 0 0,0 1 0,1 0 0,-1 1 0,18 7 0,-25-9 0,0 1 0,0 0 0,0 0 0,-1 0 0,1 0 0,-1 0 0,0 1 0,1-1 0,-1 1 0,0 0 0,0-1 0,-1 1 0,1 0 0,-1 0 0,1 0 0,-1 0 0,0 0 0,0 1 0,0-1 0,-1 0 0,1 0 0,0 6 0,-1 6 0,-1 0 0,0 0 0,-1 0 0,-1 0 0,0 0 0,-1-1 0,0 0 0,-1 1 0,-1-2 0,0 1 0,-1-1 0,-13 20 0,-14 15 0,-69 77 0,102-123 0,-172 188-1365,151-165-5461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8:25:12.83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0 292 24575,'3'-2'0,"-1"0"0,1 0 0,0 1 0,-1-1 0,1 1 0,0-1 0,0 1 0,0 0 0,0 0 0,0 1 0,0-1 0,0 1 0,0-1 0,5 1 0,50 3 0,-36 0 0,332 35 0,65 6 0,684-35 0,-980-11 0,369-19 0,-345 6 0,193-42 0,-204 18 31,-94 25-380,1 2 0,0 2 0,48-6 0,-67 15-6477</inkml:trace>
  <inkml:trace contextRef="#ctx0" brushRef="#br0" timeOffset="1029.63">3354 1 24575,'13'0'0,"0"2"0,0 0 0,-1 0 0,1 1 0,-1 1 0,1 0 0,21 11 0,1 3 0,43 29 0,-56-32 0,0 2 0,-1 0 0,-1 2 0,-1 0 0,-1 1 0,22 29 0,-30-35 0,-1 0 0,-1 0 0,0 0 0,-1 1 0,0 0 0,-1 1 0,-1-1 0,-1 1 0,0 0 0,-1 0 0,2 24 0,-5-37-52,0 0-1,0 0 1,0 0-1,0 1 1,0-1-1,-1 0 1,1 0-1,-1 0 1,0 0-1,0 0 1,0 0-1,0 0 1,-1 0-1,1-1 1,-1 1-1,0 0 1,0-1-1,0 1 1,0-1-1,0 0 1,0 1-1,-1-1 0,1 0 1,-1 0-1,-4 2 1,-14 3-6774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8:28:04.13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2996 1 24575,'-99'5'0,"2"4"0,-107 24 0,69-9 0,40-5 0,-132 44 0,130-33 0,-107 19 0,78-29 0,1 0 0,-155 45 0,261-60 0,-332 88 0,117-29 0,41-10 0,137-42-119,23-6-59,0 1 0,1 1 0,0 2 0,0 1 0,1 1 0,-53 30 0,58-24-6648</inkml:trace>
  <inkml:trace contextRef="#ctx0" brushRef="#br0" timeOffset="1484.11">33 424 24575,'3'1'0,"0"0"0,1-1 0,-1 1 0,0 1 0,0-1 0,0 0 0,0 1 0,0 0 0,0-1 0,0 1 0,-1 0 0,1 0 0,-1 1 0,1-1 0,-1 1 0,0-1 0,0 1 0,0-1 0,0 1 0,-1 0 0,1 0 0,-1 0 0,1 0 0,-1 0 0,0 0 0,0 4 0,4 9 0,-1-1 0,0 0 0,-1 1 0,0 18 0,0 39 0,-8 89 0,2-150 0,0 0 0,-1-1 0,0 1 0,0-1 0,-1 0 0,-1-1 0,0 1 0,-1-1 0,0 0 0,-9 10 0,-25 41 0,41-61 0,-1 1 0,0 0 0,1 0 0,-1 1 0,1-1 0,-1 0 0,1 0 0,-1 0 0,1 0 0,0 0 0,-1 0 0,1 1 0,0-1 0,0 0 0,0 0 0,0 0 0,0 1 0,0-1 0,0 0 0,1 0 0,-1 0 0,0 1 0,1-1 0,-1 0 0,1 0 0,-1 0 0,1 0 0,-1 0 0,1 0 0,0 0 0,-1 0 0,1 0 0,0 0 0,0 0 0,0-1 0,0 1 0,0 0 0,0 0 0,0-1 0,0 1 0,0-1 0,0 1 0,0-1 0,3 1 0,6 2 0,0-1 0,0 0 0,0-1 0,18 0 0,-16 0 0,438 7 0,-138-5 0,-300-3-21,898 15-1323,-877-16-5482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8:34:31.34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106 0 23380,'-106'1693'0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8:34:44.45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54 265 24575,'-2'103'0,"4"114"0,9-139 120,-9-71-269,-1 0 1,1-1-1,0 1 1,0-1-1,1 1 1,0-1-1,0 0 1,0 0-1,6 6 1,4-1-6678</inkml:trace>
  <inkml:trace contextRef="#ctx0" brushRef="#br0" timeOffset="588.28">1 1 24575</inkml:trace>
  <inkml:trace contextRef="#ctx0" brushRef="#br0" timeOffset="2084.21">371 583 24575,'1'74'0,"-3"83"0,-2-135 0,-3-28 0,-7-40 0,11 34 0,-9-27 0,-3-6 0,-8-50 0,21 81 0,0 0 0,0 0 0,2 0 0,0 0 0,0 0 0,1 0 0,1 0 0,4-16 0,-5 26 0,1-1 0,-1 1 0,1 0 0,0-1 0,0 1 0,1 0 0,-1 0 0,1 0 0,0 1 0,0-1 0,0 1 0,1-1 0,-1 1 0,1 0 0,-1 0 0,1 1 0,6-4 0,-3 3 0,0 0 0,0 1 0,0-1 0,0 1 0,1 1 0,-1 0 0,1 0 0,-1 0 0,1 1 0,9 0 0,-7 1 0,1 0 0,-1 0 0,0 1 0,0 1 0,0-1 0,0 2 0,0-1 0,-1 1 0,1 1 0,-1 0 0,0 0 0,-1 1 0,1 0 0,-1 0 0,0 1 0,8 10 0,-3 0 0,-2 1 0,0 0 0,-1 1 0,0 0 0,-2 1 0,-1 0 0,7 28 0,-4-1 0,-2 0 0,2 57 0,-6-75-1365,1-5-5461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8:34:25.78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403 26 24575,'-3'-3'0,"0"1"0,0-1 0,0 1 0,-1 0 0,1 0 0,0 0 0,-1 0 0,1 1 0,-1-1 0,0 1 0,1 0 0,-1 0 0,0 0 0,0 1 0,0-1 0,0 1 0,1 0 0,-1 0 0,0 0 0,0 1 0,0-1 0,0 1 0,0 0 0,-3 1 0,0 1 0,0 0 0,0 0 0,0 0 0,0 1 0,0 0 0,1 1 0,0-1 0,0 1 0,0 0 0,1 0 0,-6 7 0,-13 17 0,2 1 0,1 2 0,1 0 0,1 1 0,3 1 0,0 0 0,2 1 0,2 1 0,1 0 0,2 0 0,-5 49 0,-13 295 0,26-115 0,4 247 0,0-445 0,3 0 0,3-1 0,3 0 0,3 0 0,37 100 0,-32-116 0,3 0 0,2-1 0,2-2 0,2 0 0,2-2 0,2-1 0,2-2 0,2-1 0,1-2 0,3-2 0,1-1 0,50 33 0,-38-38 0,87 37 0,-57-29 0,-50-23 0,1 3 0,2-2 0,0-1 0,0-2 0,60 13 0,-92-26-170,-1 0-1,1-1 0,-1 0 1,1 0-1,-1 0 0,1 0 1,5-2-1,6-3-6655</inkml:trace>
  <inkml:trace contextRef="#ctx0" brushRef="#br0" timeOffset="843.91">962 2673 24575,'-1'1'0,"-1"0"0,1-1 0,0 1 0,0 0 0,0-1 0,0 1 0,0 0 0,0 0 0,0 0 0,0 0 0,0 0 0,0 0 0,0 0 0,1 0 0,-1 0 0,0 1 0,1-1 0,-1 0 0,1 0 0,-1 1 0,1-1 0,0 0 0,0 1 0,-1-1 0,1 0 0,0 3 0,-3 38 0,3-33 0,2-1 0,-1 1 0,1-1 0,0 1 0,1-1 0,0 0 0,1 1 0,-1-2 0,1 1 0,1 0 0,0-1 0,0 0 0,0 0 0,1 0 0,0-1 0,0 0 0,1 0 0,12 9 0,8 4 0,0 0 0,2-2 0,47 21 0,131 38 0,-138-53 0,95 43 0,-160-64 0,-1 0 0,1 0 0,-1 0 0,1 0 0,-1 0 0,0 1 0,0-1 0,0 1 0,0 0 0,0 0 0,-1 0 0,1 0 0,-1 0 0,0 1 0,0-1 0,0 1 0,-1-1 0,1 1 0,-1 0 0,0-1 0,0 1 0,0 0 0,0 0 0,-1 0 0,0 0 0,1 0 0,-2 0 0,1 0 0,0 0 0,-1 0 0,-1 5 0,-1 1 0,0-1 0,-1 0 0,0 0 0,-1 0 0,0 0 0,0-1 0,-1 0 0,0 0 0,-1 0 0,1-1 0,-15 13 0,-20 11 0,-1-1 0,-2-1 0,-60 28 0,-154 55 0,92-55-455,-3-8 0,-325 52 0,338-77-6371</inkml:trace>
  <inkml:trace contextRef="#ctx0" brushRef="#br0" timeOffset="10557.78">429 1599 24575,'528'0'-1365,"-495"0"-5461</inkml:trace>
  <inkml:trace contextRef="#ctx0" brushRef="#br0" timeOffset="12167.87">1601 1756 24575,'-6'-1'0,"-1"0"0,0-1 0,1 1 0,0-1 0,-1-1 0,1 1 0,-11-7 0,-18-6 0,13 9 0,1 1 0,-1 2 0,1 0 0,-1 1 0,0 1 0,0 1 0,-23 3 0,40-2 0,0 0 0,0 1 0,1-1 0,-1 1 0,0 1 0,1-1 0,0 1 0,-1-1 0,1 1 0,0 0 0,0 1 0,1-1 0,-1 1 0,1-1 0,0 1 0,0 0 0,-5 9 0,-4 7 0,1 0 0,-12 32 0,13-26 0,2 0 0,1 1 0,1 0 0,-5 52 0,10-62 0,0-1 0,1 1 0,1-1 0,0 1 0,2-1 0,0 1 0,0-1 0,2 0 0,9 24 0,-11-35 0,1-1 0,-1 1 0,1-1 0,0 1 0,0-1 0,1 0 0,-1-1 0,1 1 0,0-1 0,0 0 0,0 0 0,0 0 0,0-1 0,1 0 0,-1 0 0,1 0 0,-1 0 0,1-1 0,0 0 0,0 0 0,0-1 0,10 0 0,3 0 0,-1 0 0,1-1 0,-1-2 0,0 0 0,0 0 0,18-7 0,-25 7 0,-1 0 0,0 0 0,0-1 0,-1-1 0,1 0 0,-1 0 0,0 0 0,0-1 0,0-1 0,-1 0 0,0 0 0,-1 0 0,0-1 0,0 0 0,0 0 0,-1-1 0,0 0 0,-1 0 0,0 0 0,0 0 0,6-21 0,6-34 0,-2-1 0,11-128 0,-23 170 0,-2 19 0,-1 1 0,1-1 0,-1 0 0,0 0 0,0 0 0,-1 0 0,1 0 0,-1 0 0,0 1 0,0-1 0,0 0 0,0 1 0,0-1 0,-1 0 0,-2-3 0,2 5 0,-1 0 0,1 0 0,-1 0 0,1 0 0,-1 0 0,0 0 0,0 1 0,0 0 0,0-1 0,0 1 0,0 0 0,0 0 0,0 1 0,0-1 0,0 1 0,-1-1 0,1 1 0,-6 0 0,3 0 0,-33-1 0,-61 5 0,91-3 0,0 0 0,0 1 0,0 0 0,0 0 0,1 0 0,-1 1 0,1 1 0,-1-1 0,1 1 0,1 1 0,-1 0 0,1 0 0,-8 6 0,13-9-97,-1 1-1,1 0 1,0 0-1,0 0 1,0 0-1,1 0 1,-1 0-1,1 0 1,-1 0-1,1 1 1,0-1-1,0 0 0,0 8 1,1 13-6729</inkml:trace>
  <inkml:trace contextRef="#ctx0" brushRef="#br0" timeOffset="14187.09">3146 1572 24575,'-163'-1'0,"-176"3"0,327-1 0,0 1 0,0 1 0,0 0 0,0 0 0,1 1 0,-1 0 0,1 1 0,0 0 0,1 1 0,-1 0 0,1 1 0,0 0 0,1 1 0,0 0 0,-15 16 0,14-13 0,1 0 0,0 1 0,0 0 0,1 1 0,1 0 0,0 0 0,1 1 0,0 0 0,1 0 0,1 0 0,0 0 0,-2 21 0,6-32 0,0 0 0,0 0 0,0 0 0,0 0 0,0 0 0,0 0 0,1 0 0,0 0 0,0 0 0,0 0 0,0 0 0,0 0 0,0 0 0,1-1 0,-1 1 0,1 0 0,0-1 0,0 1 0,0-1 0,0 0 0,0 0 0,1 0 0,-1 0 0,0 0 0,1 0 0,0 0 0,-1-1 0,1 1 0,0-1 0,0 0 0,0 0 0,0 0 0,0 0 0,4 0 0,12 2 0,0 0 0,1-1 0,-1-1 0,30-3 0,-25 2 0,1-1 0,0-2 0,0 0 0,-1-1 0,1-1 0,-1-1 0,0-2 0,-1 0 0,0-1 0,0-2 0,-1 0 0,0-1 0,-1-1 0,30-25 0,-35 26 0,11-8 0,39-39 0,-52 50 0,-6 16 0,-3 28 0,-5-31 0,0 479 0,-5-223 0,7-46 0,-5 191 0,3-398 0,0 0 0,0-1 0,-1 1 0,0 0 0,0 0 0,-1 0 0,0-1 0,0 1 0,0-1 0,-1 1 0,0-1 0,0 0 0,-1 0 0,0 0 0,0-1 0,0 1 0,-1-1 0,0 0 0,0 0 0,0-1 0,0 1 0,-1-1 0,0 0 0,1-1 0,-2 1 0,1-1 0,0 0 0,-1-1 0,-8 3 0,-44 9 0,-1-2 0,0-3 0,0-2 0,-87-2 0,129-5 0,1 0 0,-1-2 0,1 0 0,0-1 0,-1 0 0,1-2 0,0 0 0,1-1 0,-17-8 0,10 2 0,1-1 0,0-1 0,1 0 0,1-2 0,-28-28 0,40 36 7,2-1 0,-1 1-1,1-1 1,0-1 0,1 1-1,0-1 1,1 0-1,0 0 1,0 0 0,1 0-1,1-1 1,0 0 0,0 1-1,1-1 1,0 0 0,1 0-1,2-17 1,0 3-219,1 0 0,2 1 0,1 0-1,1 0 1,0 1 0,17-35 0,13-11-6614</inkml:trace>
  <inkml:trace contextRef="#ctx0" brushRef="#br0" timeOffset="15553.04">3572 1730 24575,'-15'-1'0,"0"-1"0,-1-1 0,1 0 0,1-1 0,-26-9 0,22 6 0,0 1 0,0 2 0,-25-5 0,-3 5 0,0 2 0,0 2 0,-86 10 0,115-7 0,1 1 0,0 1 0,0 0 0,1 1 0,-1 0 0,1 1 0,0 1 0,1 0 0,0 1 0,1 1 0,-1 0 0,2 1 0,0 0 0,0 1 0,1 0 0,0 1 0,1 0 0,1 1 0,0 0 0,1 0 0,0 1 0,2 0 0,-1 0 0,2 1 0,0-1 0,1 1 0,1 1 0,0-1 0,0 19 0,2-19 0,0 1 0,0 0 0,2 0 0,3 26 0,-3-38 0,0-1 0,0 1 0,0 0 0,1-1 0,0 1 0,0-1 0,0 0 0,1 1 0,-1-1 0,1 0 0,0 0 0,0-1 0,1 1 0,-1-1 0,1 1 0,0-1 0,4 3 0,7 2 0,1 0 0,-1-1 0,1-1 0,0-1 0,1 0 0,0-1 0,-1 0 0,18 0 0,146 5 0,-139-8 0,-19-1 0,408-3 0,-405 2 0,0-2 0,0-1 0,0-1 0,0-1 0,-1-1 0,0-1 0,0-1 0,-1-1 0,29-17 0,-27 11 0,0-2 0,-1-1 0,-1 0 0,-1-2 0,-1-1 0,-1 0 0,23-33 0,20-33-1365,-41 56-5461</inkml:trace>
  <inkml:trace contextRef="#ctx0" brushRef="#br0" timeOffset="16685.24">4344 1310 24575,'-2'136'0,"5"241"0,10-289 0,-7-60 0,2 47 0,5 13-350,-10-71-665,1 6-5811</inkml:trace>
  <inkml:trace contextRef="#ctx0" brushRef="#br0" timeOffset="17511.08">4131 1939 24575,'0'-4'0,"9"-2"0,8 0 0,10 2 0,4 1 0,-2-4 0,2 0 0,1 1 0,0 1 0,-2 2 0,-5 2-8191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8:34:49.37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273 420 24575,'-8'1'0,"1"1"0,0-1 0,0 1 0,0 0 0,0 1 0,0-1 0,0 1 0,0 1 0,1-1 0,0 1 0,0 0 0,0 1 0,0-1 0,0 1 0,1 0 0,0 1 0,0-1 0,1 1 0,-1 0 0,-3 8 0,-9 13 0,0 2 0,2 0 0,-11 34 0,13-32 0,2 1 0,1 1 0,2-1 0,1 1 0,1 1 0,2-1 0,1 59 0,2-31 0,-1-42 0,1-1 0,1 0 0,1 0 0,1 1 0,7 31 0,-8-47 0,1 1 0,0-1 0,0 0 0,0 0 0,0 0 0,1 0 0,-1 0 0,1 0 0,0 0 0,0-1 0,0 0 0,0 1 0,0-1 0,1 0 0,-1 0 0,0-1 0,1 1 0,0-1 0,-1 0 0,1 0 0,0 0 0,4 1 0,12 1 0,0-1 0,0 0 0,21-2 0,-27 0 0,-4 1 0,0-2 0,0 1 0,0-1 0,0-1 0,-1 0 0,1 0 0,0-1 0,-1 0 0,0-1 0,0 0 0,0 0 0,0-1 0,9-7 0,-8 5 0,-1-1 0,-1-1 0,0 1 0,0-1 0,0-1 0,-1 1 0,-1-1 0,0 0 0,0-1 0,6-16 0,7-26-1365,-6 6-5461</inkml:trace>
  <inkml:trace contextRef="#ctx0" brushRef="#br0" timeOffset="1271.3">806 525 24575,'-2'62'0,"1"-39"0,0 1 0,1 0 0,1-1 0,1 1 0,2 0 0,0-1 0,1 0 0,9 23 0,-13-45 0,2 8 0,1-1 0,1 1 0,-1-1 0,1 0 0,7 8 0,-11-14 0,0-1 0,0 0 0,1 0 0,-1 1 0,0-1 0,0 0 0,1 0 0,-1 0 0,1 0 0,-1 0 0,1-1 0,0 1 0,-1 0 0,1-1 0,0 1 0,-1-1 0,1 0 0,0 1 0,0-1 0,-1 0 0,1 0 0,0 0 0,0 0 0,-1 0 0,1-1 0,0 1 0,0 0 0,-1-1 0,1 1 0,0-1 0,-1 0 0,1 1 0,-1-1 0,1 0 0,2-2 0,3-3 0,0-1 0,0 0 0,0 0 0,-1 0 0,0-1 0,0 0 0,-1 0 0,0-1 0,-1 1 0,0-1 0,0 0 0,-1 0 0,0 0 0,2-11 0,1-12 0,0 0 0,1-60 0,-7 91 0,1-12 0,-1 0 0,0 1 0,-1-1 0,-1 1 0,-4-20 0,6 30 0,-1 0 0,0 0 0,0 0 0,0 0 0,0 0 0,0 0 0,0 0 0,0 0 0,-1 0 0,1 1 0,-1-1 0,1 0 0,-1 1 0,0-1 0,1 1 0,-1 0 0,0 0 0,0-1 0,0 1 0,0 0 0,0 1 0,-1-1 0,1 0 0,0 0 0,0 1 0,0 0 0,-1-1 0,1 1 0,0 0 0,0 0 0,-1 0 0,1 0 0,0 1 0,-1-1 0,1 0 0,0 1 0,0 0 0,-4 1 0,-3 2-105,0 0 0,1 1 0,-1 0 0,1 0 0,0 1 0,0 0 0,1 0 0,-1 1 0,2 0 0,-1 0 0,1 1 0,-6 7 0,-2 5-6721</inkml:trace>
  <inkml:trace contextRef="#ctx0" brushRef="#br0" timeOffset="2033.99">1285 0 24575,'0'9'0,"0"8"0,0 9 0,0 9 0,5 9 0,5 4 0,2 4 0,-1 2 0,1 0 0,4-4 0,-1-6 0,-3-7 0,-4-4 0,-3-4 0,-2 2 0,-2 1 0,-1-6-8191</inkml:trace>
  <inkml:trace contextRef="#ctx0" brushRef="#br0" timeOffset="3957.94">1552 342 24575,'2'0'0,"1"0"0,0 1 0,-1 0 0,1-1 0,-1 1 0,1 0 0,-1 0 0,0 0 0,1 1 0,-1-1 0,0 1 0,0-1 0,0 1 0,0-1 0,0 1 0,0 0 0,0 0 0,-1 0 0,1 0 0,-1 1 0,1-1 0,0 3 0,28 64 0,-14-30 0,-10-28 0,1 0 0,0 0 0,1 0 0,0-1 0,0 0 0,1 0 0,1-1 0,0 0 0,0-1 0,0 0 0,14 7 0,-19-12 0,0 0 0,0-1 0,1 0 0,-1 1 0,1-2 0,-1 1 0,1-1 0,0 0 0,-1 0 0,1 0 0,0-1 0,0 0 0,0 0 0,0-1 0,-1 1 0,1-1 0,0 0 0,0-1 0,-1 1 0,1-1 0,-1-1 0,0 1 0,1 0 0,-1-1 0,0 0 0,0-1 0,5-4 0,-4 2 0,-1 0 0,0 0 0,0 0 0,0-1 0,-1 1 0,0-1 0,-1 0 0,1-1 0,-1 1 0,-1 0 0,1-1 0,-1 0 0,-1 1 0,2-13 0,0-8 0,-2 0 0,-2-45 0,1 87 0,0 0 0,1 0 0,1 0 0,0 0 0,0 0 0,1 0 0,1-1 0,7 17 0,-6-19 0,1 0 0,0-1 0,1 0 0,0 0 0,0-1 0,1 0 0,0 0 0,1 0 0,-1-1 0,17 10 0,-21-15 0,1-1 0,-1 0 0,1 0 0,0 0 0,-1 0 0,1-1 0,0 0 0,0 0 0,0-1 0,0 1 0,0-1 0,0 0 0,0 0 0,0 0 0,0-1 0,0 0 0,0 0 0,0 0 0,0-1 0,-1 1 0,1-1 0,0 0 0,-1 0 0,0-1 0,1 0 0,-1 1 0,0-1 0,4-5 0,5-3-124,0-1 0,0-1 0,-2 0 0,1-1 0,-2 0 0,0-1-1,-1 0 1,0 0 0,-1-1 0,8-23 0,-3-3-6702</inkml:trace>
  <inkml:trace contextRef="#ctx0" brushRef="#br0" timeOffset="5455.21">2378 499 24575,'-4'6'0,"1"0"0,0 1 0,0-1 0,0 1 0,1 0 0,0-1 0,1 1 0,-1 0 0,1 0 0,1 0 0,-1 14 0,0-1 0,-1-98 0,0 54 0,0 0 0,2 0 0,1 0 0,0 1 0,9-37 0,-9 56 0,2-1 0,-1 1 0,0 0 0,1 0 0,0 0 0,0 0 0,0 1 0,0-1 0,1 1 0,-1-1 0,1 1 0,0 0 0,0 0 0,0 1 0,0-1 0,0 1 0,1 0 0,-1 0 0,1 1 0,0-1 0,-1 1 0,1 0 0,9-1 0,12-1 0,0 1 0,0 2 0,34 2 0,-30 0 0,-14-1 0,-1 0 0,0 1 0,0 1 0,0 1 0,0 0 0,0 1 0,-1 0 0,1 1 0,20 12 0,-14-4 0,0 1 0,-1 0 0,-1 1 0,0 1 0,16 20 0,-35-36 0,1 0 0,0 0 0,-1 0 0,1 0 0,0-1 0,0 1 0,0 0 0,0 0 0,0 0 0,0-1 0,0 1 0,0-1 0,0 1 0,0-1 0,0 1 0,0-1 0,1 1 0,-1-1 0,0 0 0,0 0 0,1 1 0,1-1 0,-2-1 0,0 1 0,-1-1 0,1 0 0,0 1 0,0-1 0,0 0 0,-1 0 0,1 1 0,0-1 0,-1 0 0,1 0 0,-1 0 0,1 0 0,-1 0 0,1 0 0,-1 0 0,0 0 0,1 0 0,-1 0 0,0-1 0,2-11 0,0 0 0,-2 1 0,0-17 0,0 21 0,-3-44 0,1-31 0,2 76 0,0 0 0,1 0 0,0 0 0,1 0 0,-1 0 0,1 0 0,1 1 0,4-11 0,-4 13 0,0 1 0,0 0 0,0 0 0,1 0 0,-1 0 0,1 0 0,-1 1 0,1-1 0,0 1 0,0 0 0,0 0 0,0 1 0,0-1 0,1 1 0,-1 0 0,0 0 0,1 0 0,-1 0 0,1 1 0,-1 0 0,1 0 0,-1 0 0,1 1 0,4 0 0,5 0 0,-1 1 0,0 1 0,0 0 0,0 1 0,0 0 0,22 11 0,-9 2 0,-2 1 0,0 1 0,-1 1 0,-1 1 0,-1 1 0,-1 0 0,-1 2 0,23 38 0,-28-39-1365,-5-3-5461</inkml:trace>
  <inkml:trace contextRef="#ctx0" brushRef="#br0" timeOffset="7126.99">3710 499 24575,'-7'-7'0,"-1"0"0,1 1 0,0-2 0,1 1 0,0-1 0,0 0 0,0 0 0,1 0 0,0-1 0,-6-17 0,-13-27 0,16 38 0,0-1 0,2 0 0,-10-34 0,15 45 0,0 0 0,1 1 0,-1-1 0,1 0 0,0 0 0,1 0 0,-1 0 0,1 0 0,0 1 0,0-1 0,0 0 0,1 1 0,0-1 0,0 0 0,0 1 0,0 0 0,1 0 0,5-8 0,-3 7 0,0 1 0,0 0 0,1-1 0,-1 2 0,1-1 0,0 0 0,0 1 0,0 0 0,1 1 0,-1 0 0,1 0 0,-1 0 0,1 0 0,0 1 0,9-1 0,17 0 0,64 3 0,-57 1 0,-35-2 0,0 0 0,0 0 0,1 1 0,-1 0 0,0 0 0,0 0 0,0 0 0,0 1 0,0 0 0,0 0 0,-1 0 0,1 1 0,-1-1 0,1 1 0,-1 0 0,6 6 0,-3-1 0,0 1 0,0 1 0,-1-1 0,0 1 0,-1 0 0,6 16 0,-1-1-455,0 1 0,9 40 0,-12-31-6371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8:35:00.10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88 24575,'0'12'0,"0"1"0,1-1 0,1 0 0,0 0 0,0 0 0,1 0 0,1-1 0,4 13 0,-5-19 0,-1-1 0,0 0 0,1 0 0,0 1 0,0-2 0,0 1 0,1 0 0,-1-1 0,1 1 0,0-1 0,0 0 0,0 0 0,0-1 0,0 1 0,1-1 0,-1 0 0,1 0 0,0 0 0,0-1 0,-1 1 0,1-1 0,5 0 0,25 3 0,69-1 0,-90-4 0,1 0 0,-1 0 0,0-2 0,0 0 0,0 0 0,-1-1 0,23-10 0,-30 10 0,-1 1 0,0-1 0,0-1 0,-1 1 0,1 0 0,-1-1 0,0 0 0,0 0 0,-1 0 0,1-1 0,-1 1 0,0-1 0,-1 0 0,1 0 0,-1 0 0,0 0 0,1-10 0,-3 15 0,0 0 0,0 1 0,0-1 0,0 0 0,0 1 0,0-1 0,0 0 0,0 1 0,1-1 0,-1 1 0,0-1 0,0 0 0,1 1 0,-1-1 0,0 1 0,0-1 0,1 1 0,-1-1 0,1 0 0,-1 1 0,1 0 0,-1-1 0,0 1 0,1-1 0,0 1 0,-1 0 0,1-1 0,-1 1 0,1 0 0,-1-1 0,1 1 0,0 0 0,-1 0 0,1 0 0,-1 0 0,1-1 0,0 1 0,-1 0 0,1 0 0,0 0 0,-1 0 0,1 0 0,0 1 0,-1-1 0,1 0 0,-1 0 0,1 0 0,0 1 0,-1-1 0,1 0 0,-1 0 0,1 1 0,-1-1 0,1 0 0,-1 1 0,1-1 0,-1 1 0,1-1 0,-1 1 0,1-1 0,-1 1 0,0-1 0,1 1 0,0 0 0,28 46 0,-23-37 0,-3-5 0,1 1 0,1-1 0,-1 0 0,1 0 0,0 0 0,0-1 0,0 1 0,1-1 0,0-1 0,-1 1 0,1-1 0,0 0 0,1 0 0,-1-1 0,13 4 0,-16-6 0,1 1 0,-1-1 0,0 1 0,1-1 0,-1 0 0,0 0 0,1 0 0,-1-1 0,0 1 0,1-1 0,-1 0 0,0 0 0,0 0 0,0 0 0,0-1 0,0 1 0,0-1 0,0 0 0,0 0 0,-1 0 0,1 0 0,0 0 0,-1 0 0,0-1 0,0 0 0,0 1 0,0-1 0,0 0 0,0 0 0,-1 0 0,1 0 0,-1 0 0,2-5 0,1-8-136,-1 1-1,0-1 1,-1 1-1,0-1 1,-2 0-1,0 0 1,-1 0-1,0 0 0,-7-30 1,1 23-6690</inkml:trace>
  <inkml:trace contextRef="#ctx0" brushRef="#br0" timeOffset="1434.14">1139 88 24575,'-4'1'0,"0"-1"0,0 1 0,0 0 0,0 1 0,0-1 0,0 1 0,1-1 0,-1 1 0,0 0 0,1 0 0,0 1 0,-1-1 0,1 1 0,0 0 0,0-1 0,1 1 0,-1 1 0,1-1 0,-5 7 0,-1 3 0,0 0 0,1 0 0,-10 29 0,10-18 0,1 1 0,1 0 0,1 0 0,-1 47 0,11 101 0,-5-169 0,-1-1 0,1 0 0,0 0 0,0 0 0,0 0 0,0 0 0,1 0 0,-1 0 0,1 0 0,0 0 0,0 0 0,0-1 0,0 1 0,0-1 0,1 1 0,-1-1 0,1 0 0,-1 0 0,1 0 0,0-1 0,0 1 0,0 0 0,0-1 0,0 0 0,0 0 0,0 0 0,0 0 0,0 0 0,1-1 0,-1 1 0,0-1 0,0 0 0,1 0 0,4-1 0,1 1 0,1 0 0,-1-1 0,1-1 0,-1 1 0,0-2 0,0 1 0,0-1 0,0 0 0,0-1 0,0 0 0,10-7 0,-11 4-65,0-1 0,0 1 0,-1-1 0,0-1 0,-1 1 0,1-1 0,-2 0 0,1-1 0,-1 1 0,-1-1 0,1 0 0,-2-1 0,1 1 0,-2 0 0,1-1 0,-1 0 0,-1 1 0,0-1 0,-1 0 0,0-14 0,-1 1-6761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8:35:03.38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 0 24575,'-2'112'0,"-1"-44"0,13 130 0,-6-179 0,0-1 0,2 0 0,0 0 0,1 0 0,1 0 0,0-1 0,1-1 0,1 1 0,1-1 0,1-1 0,0 0 0,0-1 0,2 0 0,0-1 0,0 0 0,20 12 0,-26-21 0,0 1 0,0-1 0,1-1 0,-1 0 0,1 0 0,0 0 0,0-1 0,0 0 0,0-1 0,1 0 0,-1-1 0,0 0 0,19-2 0,-23 1 0,0 0 0,0 0 0,0 0 0,-1-1 0,1 0 0,0 0 0,-1 0 0,1-1 0,-1 1 0,0-1 0,1 0 0,-1-1 0,-1 1 0,1 0 0,-1-1 0,1 0 0,-1 0 0,0 0 0,0 0 0,-1 0 0,1-1 0,-1 1 0,0-1 0,0 0 0,2-9 0,1-17 0,0 0 0,-2-1 0,-2 1 0,-1-1 0,-1 0 0,-2 1 0,-1-1 0,-9-32 0,10 52-341,-1 0 0,0 1-1,-11-20 1,-1 4-6485</inkml:trace>
  <inkml:trace contextRef="#ctx0" brushRef="#br0" timeOffset="1431.58">1222 53 24575,'-7'1'0,"0"0"0,0 0 0,-1 1 0,1 0 0,0 0 0,0 1 0,1-1 0,-1 1 0,1 1 0,-1-1 0,-7 7 0,0 0 0,2 0 0,-1 1 0,2 0 0,-12 13 0,-10 15 0,-34 55 0,58-79 0,1 0 0,0 0 0,1 0 0,0 1 0,2 0 0,0 1 0,-5 26 0,10-41 0,-1 0 0,1 0 0,0 1 0,0-1 0,0 0 0,1 1 0,-1-1 0,0 0 0,1 0 0,0 0 0,-1 1 0,1-1 0,0 0 0,0 0 0,0 0 0,0 0 0,1 0 0,-1-1 0,0 1 0,3 2 0,-1-1 0,1-1 0,-1 1 0,1-1 0,0 0 0,0 0 0,0 0 0,0-1 0,0 1 0,0-1 0,6 1 0,12 1 0,0-1 0,0 0 0,35-4 0,-34 2 0,72-4 0,63 1 0,-153 3 0,0 1 0,-1 0 0,1 0 0,-1 0 0,1 0 0,-1 1 0,1-1 0,-1 1 0,0 0 0,0 1 0,0-1 0,0 1 0,0-1 0,0 1 0,-1 0 0,0 1 0,1-1 0,-1 0 0,0 1 0,-1 0 0,1 0 0,-1 0 0,1 0 0,-1 0 0,-1 0 0,1 0 0,0 1 0,-1-1 0,1 6 0,2 8 0,-2 1 0,0 0 0,0 0 0,-2 0 0,-4 33 0,4-45 0,-1-1 0,0 0 0,-1 0 0,1 1 0,-1-1 0,-1 0 0,1 0 0,-1-1 0,0 1 0,0-1 0,-1 1 0,0-1 0,0 0 0,-8 8 0,5-7 0,-1 0 0,0 0 0,0-1 0,0 0 0,-1 0 0,0-1 0,0 0 0,-17 5 0,-6-2 0,0-1 0,0-2 0,0-1 0,-59-2 0,69-1 0,0-1 0,-30-6 0,49 7 0,-1-1 0,0 0 0,0 1 0,1-1 0,-1-1 0,0 1 0,1 0 0,-1-1 0,1 0 0,0 0 0,-1 0 0,1 0 0,0 0 0,0 0 0,1-1 0,-1 0 0,0 1 0,1-1 0,-1 0 0,1 0 0,0-1 0,-1-2 0,3 4 0,0 0 0,0 0 0,0 0 0,0 0 0,1 0 0,-1 0 0,1 0 0,0 0 0,-1 0 0,1 0 0,0 0 0,0 1 0,0-1 0,0 0 0,1 1 0,-1-1 0,0 0 0,1 1 0,-1 0 0,1-1 0,0 1 0,-1 0 0,1 0 0,0 0 0,0 0 0,0 0 0,-1 0 0,1 0 0,4 0 0,61-22 0,-37 18 0,1 1 0,-1 1 0,1 2 0,42 2 0,-42 1 0,1-2 0,0-1 0,51-9 0,-73 8 6,-1-1-1,0 0 1,0-1 0,-1 0-1,1 0 1,-1-1-1,0 0 1,0 0 0,0 0-1,-1-1 1,0-1-1,0 1 1,0-1 0,-1 0-1,0-1 1,9-15-1,1-6-219,-2-1-1,0 0 1,12-46 0,-16 46-389,8-22-6223</inkml:trace>
  <inkml:trace contextRef="#ctx0" brushRef="#br0" timeOffset="2849.73">1682 0 24575,'0'5'0,"1"0"0,-1 0 0,1 0 0,0 0 0,0 0 0,1-1 0,-1 1 0,1-1 0,0 1 0,1-1 0,-1 1 0,1-1 0,0 0 0,0 0 0,0 0 0,0-1 0,1 1 0,-1-1 0,1 0 0,0 0 0,0 0 0,0 0 0,1-1 0,-1 1 0,1-1 0,-1 0 0,1 0 0,0-1 0,0 0 0,-1 1 0,1-2 0,0 1 0,0 0 0,0-1 0,0 0 0,0 0 0,0-1 0,0 1 0,0-1 0,0 0 0,8-3 0,-1-2 0,-14 2 0,1 3 0,0 1 0,-1-1 0,1 1 0,-1 0 0,1 0 0,-1 0 0,1 0 0,-1 0 0,1 0 0,-1 0 0,1 0 0,0 1 0,-1-1 0,-1 1 0,-2 2 0,0 0 0,1 0 0,0 0 0,0 0 0,0 1 0,0 0 0,0 0 0,1 0 0,-1 0 0,1 0 0,0 1 0,1-1 0,-1 1 0,1 0 0,0 0 0,-2 5 0,-2 8 0,0 0 0,1 0 0,-3 23 0,-5 45 0,3 0 0,4 0 0,7 110 0,-1-192 0,1 0 0,0 0 0,1 0 0,-1 0 0,1 0 0,0-1 0,0 1 0,0-1 0,0 1 0,0-1 0,1 0 0,0 0 0,-1 0 0,1 0 0,1 0 0,-1-1 0,0 1 0,1-1 0,-1 0 0,1 0 0,-1 0 0,8 2 0,9 4 0,0-1 0,0-2 0,25 5 0,-33-7 0,36 7 0,1-2 0,1-2 0,-1-2 0,1-2 0,0-2 0,55-8 0,-100 8 0,0-1 0,0 0 0,-1 0 0,1 0 0,0-1 0,0 0 0,-1 0 0,1 0 0,-1 0 0,1-1 0,-1 1 0,0-1 0,0 0 0,-1 0 0,1-1 0,0 1 0,-1-1 0,0 0 0,4-6 0,-4 3 0,0-1 0,0 1 0,-1-1 0,0 0 0,-1 0 0,1 0 0,-2 0 0,1 0 0,-1 0 0,-2-17 0,0-5-1365,-1 0-5461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8:35:08.23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347 604 24575,'4'0'0,"7"18"0,0 19 0,0 17 0,1 12 0,0 4 0,-3 4 0,6-2 0,0-9 0,-1-11 0,-4-9 0,-4-8 0,-2-5 0,-3-8-8191</inkml:trace>
  <inkml:trace contextRef="#ctx0" brushRef="#br0" timeOffset="874.33">1 761 24575,'9'0'0,"25"0"0,35 0 0,23 0 0,24-4 0,14-2 0,-6 0 0,-10-3 0,-16 0 0,-11-8 0,-20 0-8191</inkml:trace>
  <inkml:trace contextRef="#ctx0" brushRef="#br0" timeOffset="2765.39">1438 1338 24575,'6'10'0,"1"0"0,-2 0 0,0 1 0,0 0 0,-1 0 0,0 0 0,0 0 0,-2 0 0,1 1 0,0 13 0,-2-16 0,5 45 0,-6-52 0,0 1 0,0-1 0,0 0 0,0 0 0,-1 1 0,1-1 0,0 0 0,-1 0 0,0 0 0,1 0 0,-1 0 0,0 1 0,0-1 0,0-1 0,0 1 0,-1 0 0,1 0 0,-1 0 0,-1 2 0,2-4 0,0 1 0,0-1 0,1 0 0,-1 1 0,0-1 0,0 1 0,0-1 0,0 0 0,0 0 0,0 0 0,0 0 0,0 1 0,0-1 0,0 0 0,0 0 0,0-1 0,1 1 0,-1 0 0,0 0 0,0 0 0,0-1 0,0 1 0,0 0 0,0-1 0,0 1 0,-1-2 0,-20-22 0,-3-35 0,14 17 0,3 1 0,-4-60 0,5 38 0,-1-32 0,7-121 0,2 116 0,0 87 0,1-1 0,1 1 0,0-1 0,1 1 0,0 0 0,1 0 0,0 1 0,1 0 0,1-1 0,0 2 0,1-1 0,0 1 0,0 0 0,1 1 0,1 0 0,0 1 0,0-1 0,1 2 0,0 0 0,0 0 0,1 1 0,0 0 0,1 1 0,-1 0 0,1 1 0,0 1 0,0 0 0,1 0 0,-1 1 0,21-1 0,-27 4 0,0 1 0,-1 0 0,1 0 0,0 0 0,-1 1 0,1 0 0,-1 0 0,1 1 0,-1 0 0,0 0 0,0 0 0,-1 1 0,1 0 0,-1 0 0,1 0 0,-1 1 0,-1-1 0,1 1 0,-1 0 0,6 9 0,-5-8 0,-1 1 0,0 0 0,0 1 0,-1-1 0,0 1 0,0-1 0,-1 1 0,0 0 0,0 0 0,-1 0 0,0 0 0,0 0 0,-1 0 0,0 0 0,0 0 0,-3 12 0,2-13 0,-1-1 0,0 0 0,0 1 0,-1-1 0,1 0 0,-1 0 0,-1-1 0,1 1 0,-1-1 0,0 1 0,0-1 0,-1 0 0,1-1 0,-1 1 0,0-1 0,0 0 0,-1 0 0,1-1 0,-1 1 0,-10 3 0,6-3 0,-2 0 0,1-1 0,0-1 0,-1 0 0,1 0 0,-1-1 0,1-1 0,-1 0 0,0 0 0,-21-4 0,32 4 0,1-1 0,-1 1 0,0 0 0,0 0 0,0-1 0,1 1 0,-1 0 0,0 0 0,0 0 0,0 0 0,0 0 0,1 1 0,-1-1 0,0 0 0,0 0 0,0 0 0,1 1 0,-1-1 0,0 0 0,0 1 0,1-1 0,-1 0 0,0 1 0,1-1 0,-1 1 0,0 0 0,1-1 0,-2 2 0,2-1 0,0 0 0,0 1 0,0-1 0,-1 0 0,1 1 0,0-1 0,1 0 0,-1 1 0,0-1 0,0 0 0,1 1 0,-1-1 0,0 0 0,1 0 0,1 2 0,29 45 0,6-7 0,2-1 0,2-2 0,2-1 0,78 50 0,-120-86 5,1 0 0,-1 0 0,1 0 0,-1 0 0,1 0 0,-1 0 0,0 0 0,1 0 0,-1 1 0,0-1 0,0 1 0,0-1 0,0 1 0,0-1 0,0 1 0,0-1 0,-1 1 0,1 0 0,-1-1 0,1 1 0,-1 0 0,1 0 0,-1 2 0,-1-3-53,0 0 0,1 0 0,-1 1 0,0-1 0,0 0 1,0 0-1,0 0 0,0-1 0,0 1 0,0 0 0,0 0 0,-1 0 0,1-1 0,0 1 0,0-1 1,-1 1-1,1-1 0,0 1 0,-1-1 0,1 0 0,0 0 0,-1 0 0,1 1 0,-1-1 0,1 0 0,0-1 1,-1 1-1,1 0 0,0 0 0,-3-1 0,-19-3-6778</inkml:trace>
  <inkml:trace contextRef="#ctx0" brushRef="#br0" timeOffset="4086.6">2369 1181 24575,'-10'43'0,"9"-41"0,1 0 0,-1-1 0,1 1 0,-1 0 0,0-1 0,0 1 0,0-1 0,0 1 0,0-1 0,0 1 0,0-1 0,0 0 0,-1 1 0,1-1 0,-1 0 0,1 0 0,-1 0 0,1 0 0,-1 0 0,-2 1 0,3-2 0,1 0 0,-1 0 0,1 0 0,-1 0 0,1-1 0,0 1 0,-1 0 0,1 0 0,-1-1 0,1 1 0,0 0 0,-1 0 0,1-1 0,0 1 0,-1 0 0,1-1 0,0 1 0,0 0 0,-1-1 0,1 1 0,0 0 0,0-1 0,-1 1 0,1-1 0,0 1 0,0-1 0,0 1 0,0 0 0,0-1 0,0 1 0,0-1 0,0 1 0,0-1 0,0 0 0,1-19 0,-1 18 0,6-30 0,1 0 0,2 0 0,2 1 0,0 0 0,2 1 0,24-40 0,-12 20 0,20-55 0,37-86 0,1 0 0,-83 190 0,2-6 0,1 0 0,0 0 0,0 0 0,8-12 0,-10 18 0,-1 0 0,1 0 0,0 0 0,-1 1 0,1-1 0,0 0 0,0 0 0,-1 1 0,1-1 0,0 0 0,0 1 0,0-1 0,0 1 0,0-1 0,0 1 0,0 0 0,0-1 0,0 1 0,0 0 0,0 0 0,0 0 0,0-1 0,0 1 0,0 0 0,0 0 0,0 1 0,0-1 0,0 0 0,0 0 0,0 0 0,0 1 0,0-1 0,0 0 0,0 1 0,0-1 0,0 1 0,0 0 0,0-1 0,0 1 0,0-1 0,-1 1 0,1 0 0,0 0 0,0-1 0,-1 1 0,1 1 0,19 22 0,-2 1 0,-1 1 0,-2 0 0,25 55 0,-19-37 0,270 472 0,-227-420 0,-37-58 0,38 70 0,-65-107-44,1 0 0,-1 0 0,1 0 0,-1-1 0,1 1 0,-1 0 0,0 0 0,0 0 0,1 0 0,-1 0 0,0 0 0,0 0 0,0 0 0,0 0 0,0-1 0,0 1 0,0 0 0,0 0-1,0 0 1,-1 0 0,1 0 0,0 0 0,-1 0 0,1-1 0,0 1 0,-1 0 0,1 0 0,-1 0 0,1-1 0,-2 2 0,-9 5-6782</inkml:trace>
  <inkml:trace contextRef="#ctx0" brushRef="#br0" timeOffset="5166.68">2449 1023 24575,'9'0'0,"21"0"0,28 0 0,23 0 0,6 0 0,6 0 0,2 0 0,-7 0 0,-14 0 0,-10 0 0,-12-4 0,-14-2-8191</inkml:trace>
  <inkml:trace contextRef="#ctx0" brushRef="#br0" timeOffset="7060.63">3567 1181 24575,'-1'-82'0,"-1"34"0,2 0 0,2 0 0,9-49 0,-9 89 0,0 0 0,1 0 0,0 1 0,0-1 0,1 1 0,-1 0 0,2 0 0,-1 0 0,1 0 0,10-11 0,3 1 0,1 1 0,25-18 0,-30 25 0,0-2 0,0 1 0,-2-1 0,1-1 0,-1-1 0,18-24 0,-20 20 0,-5 8 0,0 0 0,1-1 0,0 2 0,1-1 0,12-12 0,-18 19 0,1 1 0,-1 0 0,1 0 0,-1 0 0,1 0 0,-1 1 0,1-1 0,0 0 0,-1 1 0,1-1 0,0 1 0,0-1 0,-1 1 0,1 0 0,0 0 0,0 0 0,-1 0 0,1 0 0,0 0 0,0 0 0,-1 0 0,1 1 0,0-1 0,0 1 0,-1-1 0,1 1 0,0 0 0,-1 0 0,1 0 0,-1 0 0,1 0 0,-1 0 0,0 0 0,1 0 0,-1 0 0,0 1 0,0-1 0,0 0 0,0 1 0,0-1 0,2 4 0,11 18 0,-1 0 0,0 1 0,-2 0 0,-1 1 0,11 40 0,3 4 0,-15-45 0,12 37 0,3-1 0,3-1 0,65 105 0,-91-162 0,1 0 0,-1 0 0,0 0 0,1 0 0,0 0 0,-1-1 0,1 1 0,0 0 0,0-1 0,0 0 0,0 1 0,0-1 0,0 0 0,0 0 0,0 0 0,0 0 0,5 1 0,-6-2 0,1 0 0,-1-1 0,1 1 0,-1 0 0,1-1 0,-1 1 0,0 0 0,1-1 0,-1 0 0,1 1 0,-1-1 0,0 0 0,0 0 0,1 0 0,-1 0 0,0 0 0,0 0 0,0 0 0,0 0 0,1-2 0,5-8 0,-1 1 0,0-1 0,-1-1 0,0 1 0,3-15 0,-7 26 0,55-190 0,-50 162 0,-1 1 0,-2-1 0,0-1 0,-2 1 0,-3-29 0,2 51-170,-1 0-1,-1 0 0,1 0 1,-1 0-1,0 0 0,0 0 1,-4-6-1,-6-7-6655</inkml:trace>
  <inkml:trace contextRef="#ctx0" brushRef="#br0" timeOffset="10054.69">5164 525 24575,'-24'0'0,"0"1"0,1 1 0,-46 9 0,61-8 0,-1-1 0,1 1 0,0 0 0,0 0 0,1 1 0,-1 0 0,1 1 0,0-1 0,0 1 0,0 1 0,0-1 0,1 1 0,0 0 0,-6 8 0,-74 119 0,76-117 0,2 1 0,0-1 0,1 1 0,1 1 0,0-1 0,-4 28 0,10-43 0,0 0 0,0 0 0,0 0 0,0-1 0,0 1 0,0 0 0,0 0 0,1-1 0,-1 1 0,1 0 0,-1 0 0,1-1 0,0 1 0,-1 0 0,1-1 0,0 1 0,0-1 0,0 1 0,1-1 0,1 3 0,0-2 0,0 0 0,0 0 0,1 0 0,-1 0 0,0-1 0,1 1 0,-1-1 0,1 0 0,7 2 0,8-1 0,-1 0 0,1-1 0,26-2 0,-25 1 0,72-4 0,-58 1 0,0 1 0,0 2 0,0 2 0,63 10 0,-93-11 0,1 0 0,0 1 0,-1-1 0,1 1 0,-1 0 0,0 0 0,1 1 0,-1-1 0,0 1 0,-1 0 0,1 0 0,0 0 0,-1 1 0,0-1 0,0 1 0,0 0 0,0 0 0,0 0 0,-1 0 0,4 8 0,-4-5 0,0 1 0,0 0 0,-1 0 0,0 0 0,0 0 0,-1 0 0,0 0 0,0 0 0,-1-1 0,0 1 0,-4 15 0,3-16 0,0-1 0,-1 1 0,0-1 0,-1 1 0,1-1 0,-1 0 0,0 0 0,-1-1 0,1 1 0,-1-1 0,0 0 0,-1-1 0,1 1 0,-1-1 0,0 0 0,0 0 0,0 0 0,-1-1 0,1 0 0,-1 0 0,0-1 0,-10 3 0,-7 0 0,0 0 0,0-1 0,-1-1 0,1-1 0,-35-2 0,-46-1 0,59 3 0,1-3 0,-1-1 0,-60-12 0,103 14-76,0-1 1,1 0-1,-1 1 0,0-1 0,0 0 0,0-1 0,0 1 0,1 0 1,-1-1-1,1 1 0,-1-1 0,1 0 0,0 0 0,-1 0 1,1 0-1,0 0 0,-2-4 0,-5-14-6750</inkml:trace>
  <inkml:trace contextRef="#ctx0" brushRef="#br0" timeOffset="12569.89">5510 709 24575,'3'2'0,"0"1"0,0 0 0,0-1 0,0 1 0,0 1 0,-1-1 0,1 0 0,-1 1 0,0-1 0,0 1 0,2 6 0,-1-5 0,15 33 0,-2 1 0,17 63 0,17 43 0,-42-126 0,78 188 0,-81-168 0,-9-25 0,3-14 0,1 0 0,-1 0 0,0 0 0,1 0 0,-1 0 0,0-1 0,1 1 0,-1 0 0,1 0 0,-1-1 0,0 1 0,1-1 0,-1 1 0,1 0 0,-1-1 0,1 1 0,0-1 0,-1 1 0,1-1 0,-1 1 0,1-1 0,0 1 0,-1-1 0,1 1 0,0-1 0,-1 0 0,-21-35 0,1-1 0,2-1 0,-28-77 0,26 51 0,-21-118 0,34 123 0,3 0 0,3 0 0,8-86 0,-5 132 0,1 1 0,1-1 0,0 1 0,1 0 0,0 0 0,1 0 0,0 1 0,1-1 0,0 1 0,1 0 0,0 1 0,1 0 0,10-11 0,-14 17 0,0 0 0,0 0 0,0 0 0,1 0 0,-1 1 0,1 0 0,0 0 0,0 0 0,1 1 0,-1-1 0,0 1 0,1 1 0,0-1 0,-1 1 0,1 0 0,0 0 0,0 0 0,-1 1 0,1 0 0,0 0 0,0 0 0,0 1 0,-1 0 0,1 0 0,0 1 0,-1-1 0,1 1 0,-1 0 0,0 0 0,9 6 0,4 3 0,-1 0 0,-1 2 0,0 0 0,-1 0 0,0 1 0,-1 1 0,-1 1 0,21 31 0,-27-37 0,-1 0 0,-1 0 0,0 1 0,0 0 0,-1 0 0,0 0 0,-1 0 0,0 1 0,-1-1 0,0 1 0,-1 0 0,0-1 0,-1 1 0,-1 0 0,0 0 0,-3 18 0,2-24 5,0-1 1,-1-1-1,1 1 0,-1 0 0,0 0 0,0-1 1,0 0-1,-1 1 0,0-1 0,1-1 0,-1 1 0,-1 0 1,1-1-1,-1 0 0,1 0 0,-1 0 0,0-1 1,0 1-1,-7 1 0,-11 4-349,0 0 1,-49 7-1,59-13-94,-10 2-6388</inkml:trace>
  <inkml:trace contextRef="#ctx0" brushRef="#br0" timeOffset="13889.64">6601 420 24575,'-24'0'0,"-1"1"0,1 0 0,-46 11 0,58-9 0,0 1 0,1 0 0,-1 1 0,1 0 0,1 1 0,-1 0 0,1 1 0,0 0 0,-17 16 0,6-2 0,0 2 0,1 0 0,2 1 0,0 1 0,2 1 0,1 0 0,-15 35 0,28-56 0,-54 132 0,50-116 0,1 0 0,0 1 0,2-1 0,-2 40 0,5-59 0,-1 50 0,7 61 0,-3-95 0,0-2 0,0 1 0,2 0 0,0-1 0,1 0 0,1 0 0,13 23 0,-5-12 0,2 1 0,37 50 0,-49-71 0,1-1 0,0 0 0,0 0 0,0 0 0,1-1 0,0 0 0,0 0 0,0-1 0,1 1 0,-1-2 0,1 1 0,12 3 0,19-1 0,0-1 0,0-2 0,1-2 0,-1-2 0,40-5 0,-68 5 0,8-1 0,1-1 0,0-1 0,-1 0 0,0-2 0,0 0 0,0-1 0,-1-1 0,0-1 0,0 0 0,-1-1 0,-1-1 0,0-1 0,0 0 0,25-27 0,-26 23 0,0-1 0,-2 0 0,0-1 0,-1 0 0,0-1 0,-2 0 0,0-1 0,-2 0 0,0-1 0,-1 0 0,-1 0 0,-1 0 0,2-25 0,-2-3 0,-2 0 0,-2-1 0,-2 1 0,-13-83 0,11 124 0,0 1 0,0-1 0,0 0 0,-1 1 0,-1 0 0,1 0 0,-1 0 0,0 0 0,0 1 0,-1 0 0,0 0 0,0 0 0,-1 1 0,0 0 0,1 0 0,-2 1 0,1-1 0,0 2 0,-16-7 0,-11-2 0,0 1 0,0 1 0,-46-6 0,62 13-91,-1 2 0,1 0 0,0 1 0,-1 1 0,1 0 0,0 2 0,0 0 0,0 1 0,1 1 0,-1 0 0,1 1 0,0 1 0,1 1 0,-28 16 0,22-10-6735</inkml:trace>
  <inkml:trace contextRef="#ctx0" brushRef="#br0" timeOffset="15494.64">8038 525 24575,'-12'0'0,"1"0"0,-1 1 0,0 1 0,0-1 0,1 2 0,0 0 0,-1 0 0,1 1 0,0 0 0,0 1 0,1 0 0,0 1 0,0 0 0,0 0 0,-17 16 0,6-6 0,-153 132 0,157-131 0,1 1 0,0 1 0,1 0 0,1 1 0,1 1 0,1 0 0,-13 30 0,2 2 0,14-36 0,1 0 0,1 0 0,1 1 0,-5 21 0,11-38 0,0 1 0,-1-1 0,1 1 0,0 0 0,0-1 0,0 1 0,0 0 0,0-1 0,1 1 0,-1-1 0,0 1 0,1 0 0,-1-1 0,1 1 0,0-1 0,-1 1 0,1-1 0,0 1 0,0-1 0,0 0 0,0 1 0,0-1 0,0 0 0,0 0 0,1 0 0,-1 0 0,0 0 0,1 0 0,-1 0 0,1 0 0,-1-1 0,1 1 0,-1 0 0,4 0 0,4 1 0,1 0 0,0-1 0,-1 0 0,21 0 0,-18-1 0,503-2 0,-132-1 0,-377 2 0,-1 1 0,1 0 0,0 1 0,-1-1 0,1 1 0,0 0 0,-1 1 0,1-1 0,-1 1 0,0 0 0,1 0 0,-1 1 0,0 0 0,0 0 0,-1 0 0,8 6 0,-8-4 0,0 0 0,0 1 0,-1-1 0,1 1 0,-1 0 0,-1 0 0,1 0 0,-1 0 0,0 1 0,0-1 0,-1 1 0,0-1 0,0 14 0,1-3 0,-1 1 0,-1 0 0,0 0 0,-1-1 0,-2 1 0,0-1 0,0 1 0,-2-1 0,-11 29 0,11-36 0,0 0 0,-1 0 0,0-1 0,-1 0 0,0 0 0,-1-1 0,1 0 0,-2 0 0,1-1 0,-1 0 0,0 0 0,0-1 0,-1 0 0,0-1 0,0 0 0,-21 7 0,-29 7 0,-1-3 0,0-3 0,-112 9 0,-196-9 0,293-12 0,-145-5 0,2-10 0,0-10 0,-363-85 0,543 100-119,14 5-37,-1-2 0,1-1 1,1-1-1,-1 0 0,1-2 0,1-1 1,-36-22-1,27 4-6670</inkml:trace>
  <inkml:trace contextRef="#ctx0" brushRef="#br0" timeOffset="16671.1">8730 473 24575,'0'9'0,"0"16"0,5 17 0,1 29 0,-1 20 0,4 16 0,5 4 0,0-4 0,-2-11 0,-4-13 0,-3-16 0,3-19 0,-1-14 0,-1-26 0</inkml:trace>
  <inkml:trace contextRef="#ctx0" brushRef="#br0" timeOffset="17434">8943 683 24575,'0'-9'0,"4"-3"0,12 0 0,19 3 0,24 3 0,18-3 0,11 1 0,3-3 0,-13 1-8191</inkml:trace>
  <inkml:trace contextRef="#ctx0" brushRef="#br0" timeOffset="18036.59">8650 997 24575,'0'5'0,"5"1"0,5-1 0,16 0 0,11-6 0,18-3 0,9-1 0,7 1 0,0 1 0,2 1 0,-2 0 0,-9-3 0,-15-1-8191</inkml:trace>
  <inkml:trace contextRef="#ctx0" brushRef="#br0" timeOffset="18658.14">8783 1469 24575,'14'0'0,"8"0"0,15 0 0,10 0 0,10 0 0,5 0 0,-4 0 0,7 0 0,5 0 0,10 0 0,13-4 0,4-2 0,-4 0 0,-15 2 0,-15 0 0,-14-2 0,-16-5 0,-13-1-8191</inkml:trace>
  <inkml:trace contextRef="#ctx0" brushRef="#br0" timeOffset="20710.36">10779 1076 24575,'15'-9'0,"0"0"0,0-1 0,-2-1 0,1 0 0,-1 0 0,-1-2 0,0 0 0,-1 0 0,19-29 0,1-11 0,37-80 0,-58 106 0,0 0 0,-2-1 0,-1-1 0,-1 1 0,-2-1 0,0 0 0,-2 0 0,-2 0 0,0 0 0,-7-38 0,7 64 0,0 1 0,0-1 0,-1 0 0,0 0 0,1 1 0,-1-1 0,0 1 0,0-1 0,-1 1 0,1-1 0,0 1 0,-1 0 0,0-1 0,1 1 0,-1 0 0,0 0 0,0 0 0,0 0 0,0 1 0,-1-1 0,-1-1 0,-1 1 0,1 0 0,0 1 0,-1 0 0,1-1 0,-1 2 0,1-1 0,-1 0 0,1 1 0,-1 0 0,0 0 0,-8 1 0,2 1 0,0 0 0,0 1 0,0 0 0,0 0 0,1 1 0,-1 1 0,1 0 0,0 0 0,-16 12 0,13-5 0,1 0 0,1 0 0,0 1 0,1 0 0,0 1 0,1 0 0,0 1 0,2 0 0,-1 0 0,2 1 0,0-1 0,1 1 0,1 1 0,-4 27 0,1 16 0,4 1 0,6 106 0,0-75 0,-2-52 0,2 0 0,2-1 0,18 76 0,-14-88 0,0 0 0,2-1 0,1 0 0,1 0 0,2-1 0,22 30 0,-15-23 0,-1 0 0,-2 2 0,-1 0 0,-2 2 0,-1-1 0,19 76 0,-26-70 0,-2 1 0,-2 0 0,-1 0 0,-3 1 0,-1-1 0,-10 56 0,9-87 0,0 1 0,-1-1 0,0 1 0,-1-1 0,0 0 0,-9 16 0,10-23 0,1 0 0,-1-1 0,0 1 0,0-1 0,0 0 0,0 0 0,0 0 0,-1 0 0,0-1 0,1 1 0,-1-1 0,0 0 0,0 0 0,0 0 0,0-1 0,-1 1 0,1-1 0,0 0 0,-1 0 0,-5 0 0,-22 1 0,1-1 0,-1-1 0,-54-9 0,80 7 0,0 1 0,0-2 0,0 1 0,0-1 0,1 0 0,-1 0 0,1-1 0,0 1 0,0-1 0,0 0 0,0 0 0,1-1 0,0 0 0,0 0 0,0 0 0,0 0 0,1 0 0,0-1 0,0 1 0,0-1 0,-2-9 0,-5-12 0,2 0 0,1 0 0,-5-37 0,1-35-682,3-189-1,9 235-6143</inkml:trace>
  <inkml:trace contextRef="#ctx0" brushRef="#br0" timeOffset="21282.45">10487 1286 24575,'0'-5'0,"4"-5"0,11-2 0,26-2 0,5-5 0,4 3 0,3-2 0,6 3 0,10-1 0,17-7 0,3 2 0,-5-2 0,-8 5 0,-16 4-8191</inkml:trace>
  <inkml:trace contextRef="#ctx0" brushRef="#br0" timeOffset="23936.97">11365 683 24575,'-1'29'0,"0"-8"0,1 0 0,1-1 0,0 1 0,9 37 0,-10-55 0,1 1 0,0-1 0,0 0 0,0 0 0,1 1 0,-1-1 0,1 0 0,0 0 0,0 0 0,0 0 0,0-1 0,1 1 0,-1 0 0,1-1 0,-1 0 0,1 1 0,0-1 0,0 0 0,0-1 0,0 1 0,0 0 0,1-1 0,-1 0 0,0 1 0,1-2 0,-1 1 0,1 0 0,-1 0 0,1-1 0,-1 0 0,1 0 0,-1 0 0,1 0 0,-1 0 0,4-2 0,3 1 0,0-2 0,0 1 0,-1-1 0,0-1 0,1 0 0,-1 0 0,0 0 0,-1-1 0,17-12 0,-11 5 0,-1 0 0,0-1 0,-1 0 0,20-27 0,-22 26 0,0-1 0,-1 0 0,-1 0 0,0-1 0,-1 0 0,-1-1 0,0 0 0,6-31 0,-13 74 0,-1-4 0,1 1 0,1 0 0,1-1 0,8 42 0,-8-60 0,0 0 0,0 0 0,0 0 0,0 0 0,1-1 0,-1 1 0,1-1 0,0 1 0,0-1 0,1 1 0,-1-1 0,1 0 0,-1 0 0,1 0 0,0-1 0,0 1 0,1 0 0,-1-1 0,0 0 0,1 0 0,-1 0 0,1 0 0,0-1 0,0 1 0,-1-1 0,1 0 0,0 0 0,0 0 0,0-1 0,0 0 0,0 1 0,0-1 0,1 0 0,5-2 0,-5 1 0,0 0 0,1 0 0,-1-1 0,0 0 0,0 0 0,0 0 0,0 0 0,-1-1 0,1 0 0,0 0 0,-1 0 0,0-1 0,0 1 0,0-1 0,0 0 0,-1 0 0,0 0 0,0-1 0,0 1 0,4-9 0,-2 5 0,-4 7 0,-1 0 0,1 0 0,-1 0 0,1 0 0,0 0 0,-1 0 0,1 0 0,0 0 0,0 0 0,-1 0 0,1 0 0,0 1 0,0-1 0,0 0 0,0 1 0,0-1 0,0 0 0,0 1 0,1-1 0,-1 1 0,0 0 0,0-1 0,0 1 0,1 0 0,-1 0 0,0-1 0,0 1 0,0 0 0,1 0 0,-1 0 0,0 1 0,0-1 0,1 0 0,-1 0 0,0 1 0,0-1 0,0 1 0,0-1 0,0 1 0,0-1 0,1 1 0,-1-1 0,0 1 0,-1 0 0,1 0 0,2 1 0,0 2 0,0 0 0,0 0 0,-1 0 0,1 1 0,-1-1 0,0 0 0,0 1 0,0 0 0,-1-1 0,2 8 0,0 65 0,-3-48 0,-1-25 0,1-10 0,-3-48 0,1-68 0,3 110 0,0 0 0,1-1 0,0 1 0,0 0 0,2 0 0,-1 0 0,8-14 0,-9 23 0,0 0 0,0 0 0,0-1 0,1 1 0,-1 0 0,1 1 0,0-1 0,0 0 0,0 1 0,0 0 0,1 0 0,-1 0 0,0 0 0,1 0 0,0 0 0,-1 1 0,1 0 0,0 0 0,0 0 0,0 0 0,-1 1 0,1-1 0,0 1 0,0 0 0,0 0 0,0 0 0,5 1 0,-2 0 0,-1 1 0,1-1 0,-1 1 0,1 0 0,-1 0 0,0 1 0,1-1 0,-1 2 0,-1-1 0,1 1 0,0-1 0,-1 1 0,0 1 0,0-1 0,5 7 0,2 6 0,-1 1 0,0 0 0,-2 0 0,11 28 0,-11-22 0,26 42 0,-35-65 0,1 0 0,0 1 0,-1-1 0,1 0 0,0 0 0,0 0 0,0 0 0,0 0 0,0 0 0,0 0 0,0-1 0,1 1 0,-1 0 0,0 0 0,0-1 0,1 1 0,-1-1 0,0 1 0,1-1 0,-1 0 0,1 1 0,-1-1 0,0 0 0,1 0 0,-1 0 0,1 0 0,-1 0 0,0 0 0,1 0 0,-1-1 0,1 1 0,-1 0 0,0-1 0,1 1 0,-1-1 0,0 0 0,0 1 0,1-1 0,-1 0 0,0 0 0,0 0 0,0 1 0,0-1 0,0 0 0,2-3 0,5-4 0,0-1 0,-1 0 0,0 0 0,7-12 0,-14 20 0,54-87 0,101-146 0,-128 194 0,-27 40 0,-1 0 0,1 0 0,0 0 0,0 0 0,0 1 0,0-1 0,0 0 0,0 0 0,0 0 0,0 0 0,0 0 0,0 0 0,0 0 0,0 0 0,-1 0 0,1 0 0,0 0 0,0 0 0,0 0 0,0 0 0,0 0 0,0 0 0,0 0 0,0-1 0,0 1 0,0 0 0,0 0 0,0 0 0,0 0 0,-1 0 0,1 0 0,0 0 0,0 0 0,0 0 0,0 0 0,-11 13 0,-14 21 0,18-18 0,0 1 0,0 0 0,2 0 0,0 1 0,2-1 0,-1 1 0,1 18 0,1 2 0,1-1 0,7 52 0,-6-86 0,1-1 0,-1 1 0,0-1 0,1 0 0,0 1 0,-1-1 0,1 1 0,0-1 0,0 0 0,1 0 0,-1 1 0,0-1 0,1 0 0,-1 0 0,4 3 0,-4-4 0,0 0 0,1-1 0,-1 1 0,1 0 0,-1 0 0,1-1 0,-1 1 0,1-1 0,-1 0 0,1 1 0,0-1 0,-1 0 0,1 0 0,-1 0 0,1 0 0,0 0 0,-1 0 0,4-1 0,-1 0 0,1-1 0,-1 1 0,0-1 0,1 0 0,-1-1 0,0 1 0,0-1 0,-1 1 0,1-1 0,0-1 0,-1 1 0,0 0 0,0-1 0,0 1 0,4-7 0,11-28-1365,-3-2-5461</inkml:trace>
  <inkml:trace contextRef="#ctx0" brushRef="#br0" timeOffset="24637.76">12962 79 24575,'0'5'0,"0"14"0,0 9 0,4 13 0,2 8 0,0 5 0,3 2 0,0 1 0,4-1 0,3-1 0,-1-5 0,-2-11-8191</inkml:trace>
  <inkml:trace contextRef="#ctx0" brushRef="#br0" timeOffset="25482.25">12882 551 24575,'28'1'0,"0"-3"0,0 0 0,0-1 0,0-2 0,0-1 0,-1-1 0,0-1 0,-1-1 0,0-2 0,35-18 0,-39 17-151,0-1-1,0-1 0,-1-1 0,-1-1 1,-1 0-1,0-2 0,-1 0 1,18-23-1,-23 23-6674</inkml:trace>
  <inkml:trace contextRef="#ctx0" brushRef="#br0" timeOffset="25881.94">13441 237 24575,'-5'13'0,"-1"9"0,0 15 0,2 4 0,0 1 0,2-3 0,1-4 0,1-2 0,0-4 0,0-1 0,0-2 0,1-9 0,-1-17 0,0-21 0,0-8-8191</inkml:trace>
  <inkml:trace contextRef="#ctx0" brushRef="#br0" timeOffset="26424.12">13414 1 24575,'0'4'0,"0"6"0,0 2-8191</inkml:trace>
  <inkml:trace contextRef="#ctx0" brushRef="#br0" timeOffset="29062.15">13760 237 24575,'1'0'0,"1"1"0,-1-1 0,0 1 0,0-1 0,0 1 0,0 0 0,0-1 0,0 1 0,0 0 0,0 0 0,0 0 0,0 0 0,0 0 0,0 0 0,-1 0 0,1 0 0,0 0 0,-1 0 0,1 0 0,-1 1 0,1-1 0,-1 0 0,1 0 0,-1 1 0,0-1 0,0 0 0,0 3 0,5 42 0,-5-41 0,0 126 0,1 27 0,0-153 0,0 0 0,0 1 0,0-1 0,1-1 0,-1 1 0,1 0 0,0 0 0,1-1 0,-1 1 0,1-1 0,0 1 0,0-1 0,0 0 0,1 0 0,-1-1 0,1 1 0,0-1 0,0 0 0,6 4 0,-7-5 0,0-1 0,0 1 0,0-1 0,0 0 0,0 1 0,1-2 0,-1 1 0,1 0 0,-1-1 0,0 1 0,1-1 0,-1 0 0,1 0 0,-1 0 0,1-1 0,-1 1 0,0-1 0,1 0 0,-1 0 0,0 0 0,0 0 0,1-1 0,-1 1 0,0-1 0,0 0 0,-1 1 0,1-1 0,0-1 0,4-3 0,0-3 0,0 1 0,-1-1 0,0-1 0,0 1 0,-1-1 0,-1 0 0,1-1 0,-2 1 0,1-1 0,-1 1 0,-1-1 0,0 0 0,-1 0 0,1-13 0,-1-23 0,-7-88 0,5 132 0,1-2 0,0 0 0,-1 1 0,1-1 0,-1 0 0,0 1 0,-1-1 0,1 1 0,-1-1 0,0 1 0,0 0 0,0 0 0,-1 0 0,0 0 0,1 0 0,-1 0 0,-1 1 0,1-1 0,-4-2 0,1 2 0,1 1 0,-1 1 0,0-1 0,0 1 0,0 0 0,0 0 0,0 1 0,-1 0 0,1 0 0,0 0 0,-1 1 0,1 0 0,-8 0 0,2 0 0,0 1 0,0 0 0,0 1 0,0 0 0,0 0 0,0 1 0,-19 8 0,25-8 0,0 1 0,0 0 0,1 0 0,-1 0 0,1 1 0,0-1 0,0 1 0,0 0 0,1 1 0,0-1 0,0 1 0,0 0 0,1 0 0,-5 11 0,6-13 0,0 1 0,0-1 0,0 0 0,1 1 0,0-1 0,-1 1 0,2 0 0,-1-1 0,1 1 0,-1 0 0,1 0 0,1-1 0,-1 1 0,2 7 0,-1-9 0,1 0 0,0 0 0,-1 0 0,1 0 0,0 0 0,1-1 0,-1 1 0,0-1 0,1 1 0,0-1 0,-1 0 0,1 0 0,0 0 0,0 0 0,0 0 0,0-1 0,1 0 0,-1 1 0,0-1 0,6 1 0,26 6 0,1-2 0,-1-1 0,1-2 0,-1-1 0,1-2 0,51-6 0,-75 4 0,-1-1 0,1 0 0,-1 0 0,0-1 0,0-1 0,0 0 0,17-10 0,31-14 0,-57 28 0,-1 1 0,1-1 0,0 0 0,0 1 0,0-1 0,-1 1 0,1 0 0,0 0 0,0-1 0,0 1 0,0 0 0,0 1 0,0-1 0,0 0 0,-1 0 0,1 1 0,0-1 0,0 1 0,0 0 0,-1-1 0,1 1 0,0 0 0,-1 0 0,2 1 0,0 1 0,-1 0 0,1-1 0,-1 1 0,0 0 0,0 0 0,0 0 0,-1 1 0,1-1 0,-1 0 0,0 1 0,2 6 0,1 11 0,-2 0 0,0 0 0,-1 31 0,-2-39 0,2-2 0,-3 47 0,2-56 0,0-1 0,0 1 0,-1 0 0,1-1 0,0 1 0,-1 0 0,1 0 0,-1-1 0,1 1 0,-1-1 0,0 1 0,1 0 0,-1-1 0,0 1 0,0-1 0,0 0 0,-1 1 0,1-1 0,0 0 0,0 0 0,-1 0 0,1 0 0,-1 0 0,-2 2 0,3-3 0,0-1 0,0 1 0,0-1 0,0 1 0,-1-1 0,1 1 0,0-1 0,1 0 0,-1 1 0,0-1 0,0 0 0,0 0 0,0 0 0,0 1 0,1-1 0,-1 0 0,0 0 0,1 0 0,-1 0 0,1 0 0,-1-1 0,1 1 0,0 0 0,-1 0 0,1 0 0,0 0 0,0 0 0,0-2 0,-8-39 0,8 40 0,-6-46 0,0-77 0,6 111 0,1 0 0,0 0 0,1 0 0,0 0 0,1 0 0,1 1 0,0-1 0,1 1 0,1 0 0,9-16 0,-12 24 0,1 1 0,-1 0 0,1 0 0,1 0 0,-1 1 0,0-1 0,1 1 0,0 0 0,0 0 0,0 1 0,0-1 0,0 1 0,0 0 0,1 0 0,-1 1 0,1 0 0,-1 0 0,1 0 0,0 0 0,10 1 0,-10 0 0,1 1 0,0-1 0,-1 1 0,1 0 0,-1 1 0,1 0 0,-1 0 0,1 0 0,-1 1 0,0 0 0,0 0 0,-1 0 0,1 1 0,0-1 0,-1 2 0,0-1 0,5 6 0,-2 1-66,0 0-1,-1 1 0,-1 0 0,0 1 1,0-1-1,-1 1 0,-1 0 0,0 0 1,2 17-1,-2-13-631,4 12-6128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8:36:57.19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1 529 24575,'559'0'0,"-529"-1"0,58-11 0,-57 6 0,56-2 0,28 11-18,-65-1-431,0-1 0,89-11 0,-111 4-6377</inkml:trace>
  <inkml:trace contextRef="#ctx0" brushRef="#br0" timeOffset="1490.01">1006 0 24575,'1'5'0,"0"0"0,0-1 0,0 1 0,0-1 0,1 1 0,0-1 0,0 1 0,0-1 0,0 0 0,1 0 0,-1 0 0,1 0 0,4 4 0,48 46 0,-47-47 0,39 29 0,3-1 0,1-2 0,95 44 0,-135-71 0,22 9 0,-19-8 0,0-1 0,-1 2 0,1 0 0,23 19 0,-33-24 0,-1 1 0,1 0 0,-1 0 0,0 0 0,0 0 0,0 1 0,-1-1 0,1 1 0,-1 0 0,0 0 0,-1 0 0,1 0 0,-1 0 0,0 0 0,0 0 0,0 0 0,-1 0 0,0 1 0,0 5 0,-2 4 0,0 1 0,-1-1 0,0 0 0,-2 0 0,1 0 0,-2 0 0,-11 21 0,-65 98 0,18-31 0,60-97-195,1 0 0,-1-1 0,0 1 0,-1-1 0,1 0 0,-7 5 0,-7 4-6631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8:38:05.01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1429 24575,'1'-20'0,"1"1"0,1-1 0,1 1 0,0-1 0,13-32 0,46-92 0,-51 118 0,-5 13 0,1 0 0,0 0 0,1 1 0,0 0 0,1 0 0,0 1 0,1 0 0,0 1 0,1 0 0,0 1 0,1 0 0,-1 1 0,2 0 0,13-6 0,64-34 0,142-55 0,-180 85 0,0 2 0,1 2 0,0 2 0,87-6 0,1010-9 0,-1135 26 0,0 0 0,0-2 0,23-5 0,-21 4 0,-1 0 0,31-2 0,7 5 0,1-3 0,-1-2 0,74-18 0,-93 17 0,1 1 0,-1 2 0,1 2 0,40 2 0,-41 2 0,0-3 0,0-1 0,0-1 0,48-12 0,-10-1 0,127-12 0,21-3 0,-166 20 0,-25 6 0,0-2 0,35-12 0,8 0 0,-59 17 0,0-1 0,-1-1 0,0 0 0,1-1 0,17-9 0,-31 13-47,0 0 0,0 0 0,0 1 0,0-1 0,0 0 0,0 0 0,0 0 0,0 0 0,0 0-1,-1 0 1,1 0 0,0 0 0,-1 0 0,1 0 0,-1 0 0,1 0 0,-1-1 0,0 1 0,1 0 0,-1 0 0,0-1 0,0 1-1,0 0 1,0 0 0,0-1 0,0 1 0,0 0 0,-1-2 0,-4-20-6779</inkml:trace>
  <inkml:trace contextRef="#ctx0" brushRef="#br0" timeOffset="1203.15">3672 0 24575,'0'1'0,"-1"-1"0,0 0 0,0 1 0,0-1 0,1 1 0,-1-1 0,0 1 0,0-1 0,1 1 0,-1-1 0,1 1 0,-1 0 0,0-1 0,1 1 0,-1 0 0,1-1 0,0 1 0,-1 0 0,1 0 0,-1 0 0,1-1 0,0 1 0,0 0 0,0 0 0,-1 0 0,1 0 0,0 0 0,0-1 0,0 1 0,0 0 0,0 0 0,1 0 0,-1 0 0,0 0 0,0-1 0,0 1 0,1 0 0,-1 0 0,1 0 0,-1 0 0,13 38 0,-4-21 0,1 0 0,1-1 0,0 0 0,2 0 0,0-1 0,0-1 0,22 18 0,-9-12 0,0-1 0,2-1 0,53 27 0,-41-27 0,-2 2 0,0 2 0,-2 1 0,46 39 0,-80-61 0,0 0 0,0 0 0,-1 0 0,1 0 0,0 0 0,-1 0 0,1 1 0,-1-1 0,0 0 0,0 1 0,0-1 0,0 1 0,0-1 0,-1 1 0,1-1 0,-1 1 0,1 0 0,-1-1 0,0 1 0,0 0 0,0-1 0,-1 1 0,1 0 0,-1-1 0,1 1 0,-1-1 0,0 1 0,0-1 0,0 1 0,0-1 0,0 1 0,-1-1 0,1 0 0,-1 0 0,0 0 0,-3 3 0,-7 9 0,-2-1 0,0 0 0,0-2 0,-22 15 0,9-7 0,-43 43 0,51-44 0,0 0 0,-2-1 0,-43 27 0,56-40-273,-1 0 0,0-1 0,0 0 0,-18 4 0,-6-2-6553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18D4F-F180-46A4-9272-AD02F8205A18}" name="staff" displayName="staff" ref="C7:O267" totalsRowShown="0">
  <autoFilter ref="C7:O267" xr:uid="{71B18D4F-F180-46A4-9272-AD02F8205A18}"/>
  <sortState xmlns:xlrd2="http://schemas.microsoft.com/office/spreadsheetml/2017/richdata2" ref="C8:O267">
    <sortCondition ref="C7:C267"/>
  </sortState>
  <tableColumns count="13">
    <tableColumn id="1" xr3:uid="{943DE765-0286-4102-BD68-49CEED7DAF5A}" name="Emp ID"/>
    <tableColumn id="2" xr3:uid="{45228A4A-AEEB-4CEE-80B5-33BA9570C47D}" name="First Name"/>
    <tableColumn id="3" xr3:uid="{C8DF7457-34ED-4E58-88C1-A86E4021A838}" name="Last Name"/>
    <tableColumn id="4" xr3:uid="{E2207B0B-6A69-4386-AECE-731C83A22B09}" name="Gender"/>
    <tableColumn id="5" xr3:uid="{A0FE40DF-D3CE-4E2D-BC14-2FA7A4471C4B}" name="Department"/>
    <tableColumn id="6" xr3:uid="{2AB637B2-7FA6-45AF-AD0F-DD978905CCF9}" name="Salary" dataDxfId="2"/>
    <tableColumn id="7" xr3:uid="{6FB76E53-662C-42FB-B574-9493672B96B4}" name="Salary Bucket"/>
    <tableColumn id="8" xr3:uid="{B5C7CFDA-8B73-433B-9824-947691E010EE}" name="Start Date" dataDxfId="1"/>
    <tableColumn id="9" xr3:uid="{57A3C720-3FC8-49DF-9198-763D95607FD3}" name="FTE"/>
    <tableColumn id="10" xr3:uid="{70CA1560-AEEB-418C-9C34-CD21922D5890}" name="Employee type"/>
    <tableColumn id="11" xr3:uid="{17EB6C09-06EE-4144-83FA-C5CC50C2144F}" name="Work location"/>
    <tableColumn id="12" xr3:uid="{73CAC88D-B4A5-4E5A-B969-2AD1AAC9A5DA}" name="Tenure" dataDxfId="0"/>
    <tableColumn id="13" xr3:uid="{5EDE0C02-206D-4DFD-AA25-E3CA5E6038E2}" name="Wor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06E8-967B-437C-B97A-A3AA7E6942D3}">
  <dimension ref="A1:N265"/>
  <sheetViews>
    <sheetView showGridLines="0" topLeftCell="B4" zoomScale="145" zoomScaleNormal="145" workbookViewId="0">
      <selection activeCell="D15" sqref="D15"/>
    </sheetView>
  </sheetViews>
  <sheetFormatPr defaultRowHeight="15" x14ac:dyDescent="0.25"/>
  <cols>
    <col min="1" max="1" width="1.7109375" customWidth="1"/>
    <col min="2" max="2" width="3.7109375" customWidth="1"/>
    <col min="3" max="3" width="4.5703125" customWidth="1"/>
    <col min="4" max="4" width="48.140625" customWidth="1"/>
    <col min="5" max="5" width="6" customWidth="1"/>
    <col min="6" max="6" width="37.42578125" customWidth="1"/>
    <col min="7" max="7" width="36.140625" bestFit="1" customWidth="1"/>
    <col min="8" max="8" width="11.85546875" bestFit="1" customWidth="1"/>
    <col min="9" max="9" width="14.85546875" customWidth="1"/>
    <col min="10" max="10" width="11.85546875" customWidth="1"/>
    <col min="12" max="12" width="16.42578125" customWidth="1"/>
    <col min="13" max="13" width="15.5703125" customWidth="1"/>
    <col min="14" max="14" width="13.42578125" bestFit="1" customWidth="1"/>
    <col min="15" max="15" width="12.7109375" customWidth="1"/>
  </cols>
  <sheetData>
    <row r="1" spans="1:14" s="2" customFormat="1" ht="52.5" customHeight="1" x14ac:dyDescent="0.25">
      <c r="A1" s="1"/>
      <c r="C1" s="3" t="s">
        <v>739</v>
      </c>
    </row>
    <row r="5" spans="1:14" ht="21" customHeight="1" x14ac:dyDescent="0.25">
      <c r="C5" s="16"/>
      <c r="D5" s="17" t="s">
        <v>758</v>
      </c>
      <c r="E5" s="16"/>
      <c r="F5" s="17" t="s">
        <v>759</v>
      </c>
      <c r="G5" s="17" t="s">
        <v>761</v>
      </c>
    </row>
    <row r="6" spans="1:14" ht="21" customHeight="1" x14ac:dyDescent="0.25">
      <c r="C6" s="10">
        <v>1</v>
      </c>
      <c r="D6" s="11" t="s">
        <v>740</v>
      </c>
      <c r="E6" s="11"/>
      <c r="F6" s="14" t="s">
        <v>741</v>
      </c>
      <c r="G6" s="11" t="s">
        <v>762</v>
      </c>
      <c r="H6" s="5"/>
      <c r="J6" s="6"/>
      <c r="N6" s="4"/>
    </row>
    <row r="7" spans="1:14" ht="21" customHeight="1" x14ac:dyDescent="0.25">
      <c r="C7" s="12">
        <v>2</v>
      </c>
      <c r="D7" s="13" t="s">
        <v>742</v>
      </c>
      <c r="E7" s="13"/>
      <c r="F7" s="15" t="s">
        <v>743</v>
      </c>
      <c r="G7" s="13"/>
      <c r="H7" s="5"/>
      <c r="J7" s="6"/>
      <c r="N7" s="4"/>
    </row>
    <row r="8" spans="1:14" ht="21" customHeight="1" x14ac:dyDescent="0.25">
      <c r="C8" s="12">
        <v>3</v>
      </c>
      <c r="D8" s="13" t="s">
        <v>744</v>
      </c>
      <c r="E8" s="13"/>
      <c r="F8" s="15" t="s">
        <v>745</v>
      </c>
      <c r="G8" s="13" t="s">
        <v>763</v>
      </c>
      <c r="H8" s="5"/>
      <c r="J8" s="6"/>
      <c r="N8" s="4"/>
    </row>
    <row r="9" spans="1:14" ht="21" customHeight="1" x14ac:dyDescent="0.25">
      <c r="C9" s="12">
        <v>4</v>
      </c>
      <c r="D9" s="13" t="s">
        <v>746</v>
      </c>
      <c r="E9" s="13"/>
      <c r="F9" s="15" t="s">
        <v>747</v>
      </c>
      <c r="G9" s="13"/>
      <c r="H9" s="5"/>
      <c r="J9" s="6"/>
      <c r="N9" s="4"/>
    </row>
    <row r="10" spans="1:14" ht="21" customHeight="1" x14ac:dyDescent="0.25">
      <c r="C10" s="12">
        <v>5</v>
      </c>
      <c r="D10" s="13" t="s">
        <v>748</v>
      </c>
      <c r="E10" s="13"/>
      <c r="F10" s="15" t="s">
        <v>751</v>
      </c>
      <c r="G10" s="25" t="s">
        <v>764</v>
      </c>
      <c r="H10" s="5"/>
      <c r="J10" s="6"/>
      <c r="N10" s="4"/>
    </row>
    <row r="11" spans="1:14" ht="21" customHeight="1" x14ac:dyDescent="0.25">
      <c r="C11" s="12">
        <v>6</v>
      </c>
      <c r="D11" s="13" t="s">
        <v>749</v>
      </c>
      <c r="E11" s="13"/>
      <c r="F11" s="15" t="s">
        <v>750</v>
      </c>
      <c r="G11" s="13"/>
      <c r="H11" s="5"/>
      <c r="J11" s="6"/>
      <c r="N11" s="4"/>
    </row>
    <row r="12" spans="1:14" ht="21" customHeight="1" x14ac:dyDescent="0.25">
      <c r="C12" s="12">
        <v>7</v>
      </c>
      <c r="D12" s="13" t="s">
        <v>749</v>
      </c>
      <c r="E12" s="13"/>
      <c r="F12" s="15" t="s">
        <v>760</v>
      </c>
      <c r="G12" s="25" t="s">
        <v>765</v>
      </c>
      <c r="H12" s="5"/>
      <c r="J12" s="6"/>
      <c r="N12" s="4"/>
    </row>
    <row r="13" spans="1:14" ht="21" customHeight="1" x14ac:dyDescent="0.25">
      <c r="C13" s="18">
        <v>8</v>
      </c>
      <c r="D13" s="19" t="s">
        <v>752</v>
      </c>
      <c r="E13" s="19"/>
      <c r="F13" s="20" t="s">
        <v>753</v>
      </c>
      <c r="G13" s="19"/>
      <c r="H13" s="5"/>
      <c r="J13" s="6"/>
      <c r="N13" s="4"/>
    </row>
    <row r="14" spans="1:14" ht="21" customHeight="1" x14ac:dyDescent="0.25">
      <c r="C14" s="18">
        <v>9</v>
      </c>
      <c r="D14" s="19" t="s">
        <v>754</v>
      </c>
      <c r="E14" s="19"/>
      <c r="F14" s="20" t="s">
        <v>755</v>
      </c>
      <c r="G14" s="19" t="s">
        <v>766</v>
      </c>
      <c r="H14" s="5"/>
      <c r="J14" s="6"/>
      <c r="N14" s="4"/>
    </row>
    <row r="15" spans="1:14" ht="45" x14ac:dyDescent="0.25">
      <c r="C15" s="21">
        <v>10</v>
      </c>
      <c r="D15" s="22" t="s">
        <v>756</v>
      </c>
      <c r="E15" s="23"/>
      <c r="F15" s="24" t="s">
        <v>757</v>
      </c>
      <c r="G15" s="22" t="s">
        <v>767</v>
      </c>
      <c r="H15" s="5"/>
      <c r="J15" s="6"/>
      <c r="N15" s="4"/>
    </row>
    <row r="16" spans="1:14" x14ac:dyDescent="0.25">
      <c r="H16" s="5"/>
      <c r="J16" s="6"/>
      <c r="N16" s="4"/>
    </row>
    <row r="17" spans="8:14" x14ac:dyDescent="0.25">
      <c r="H17" s="5"/>
      <c r="J17" s="6"/>
      <c r="N17" s="4"/>
    </row>
    <row r="18" spans="8:14" x14ac:dyDescent="0.25">
      <c r="H18" s="5"/>
      <c r="J18" s="6"/>
      <c r="N18" s="4"/>
    </row>
    <row r="19" spans="8:14" x14ac:dyDescent="0.25">
      <c r="H19" s="5"/>
      <c r="J19" s="6"/>
      <c r="N19" s="4"/>
    </row>
    <row r="20" spans="8:14" x14ac:dyDescent="0.25">
      <c r="H20" s="5"/>
      <c r="J20" s="6"/>
      <c r="N20" s="4"/>
    </row>
    <row r="21" spans="8:14" x14ac:dyDescent="0.25">
      <c r="H21" s="5"/>
      <c r="J21" s="6"/>
      <c r="N21" s="4"/>
    </row>
    <row r="22" spans="8:14" x14ac:dyDescent="0.25">
      <c r="H22" s="5"/>
      <c r="J22" s="6"/>
      <c r="N22" s="4"/>
    </row>
    <row r="23" spans="8:14" x14ac:dyDescent="0.25">
      <c r="H23" s="5"/>
      <c r="J23" s="6"/>
      <c r="N23" s="4"/>
    </row>
    <row r="24" spans="8:14" x14ac:dyDescent="0.25">
      <c r="H24" s="5"/>
      <c r="J24" s="6"/>
      <c r="N24" s="4"/>
    </row>
    <row r="25" spans="8:14" x14ac:dyDescent="0.25">
      <c r="H25" s="5"/>
      <c r="J25" s="6"/>
      <c r="N25" s="4"/>
    </row>
    <row r="26" spans="8:14" x14ac:dyDescent="0.25">
      <c r="H26" s="5"/>
      <c r="J26" s="6"/>
      <c r="N26" s="4"/>
    </row>
    <row r="27" spans="8:14" x14ac:dyDescent="0.25">
      <c r="H27" s="5"/>
      <c r="J27" s="6"/>
      <c r="N27" s="4"/>
    </row>
    <row r="28" spans="8:14" x14ac:dyDescent="0.25">
      <c r="H28" s="5"/>
      <c r="J28" s="6"/>
      <c r="N28" s="4"/>
    </row>
    <row r="29" spans="8:14" x14ac:dyDescent="0.25">
      <c r="H29" s="5"/>
      <c r="J29" s="6"/>
      <c r="N29" s="4"/>
    </row>
    <row r="30" spans="8:14" x14ac:dyDescent="0.25">
      <c r="H30" s="5"/>
      <c r="J30" s="6"/>
      <c r="N30" s="4"/>
    </row>
    <row r="31" spans="8:14" x14ac:dyDescent="0.25">
      <c r="H31" s="5"/>
      <c r="J31" s="6"/>
      <c r="N31" s="4"/>
    </row>
    <row r="32" spans="8:14" x14ac:dyDescent="0.25">
      <c r="H32" s="5"/>
      <c r="J32" s="6"/>
      <c r="N32" s="4"/>
    </row>
    <row r="33" spans="8:14" x14ac:dyDescent="0.25">
      <c r="H33" s="5"/>
      <c r="J33" s="6"/>
      <c r="N33" s="4"/>
    </row>
    <row r="34" spans="8:14" x14ac:dyDescent="0.25">
      <c r="H34" s="5"/>
      <c r="J34" s="6"/>
      <c r="N34" s="4"/>
    </row>
    <row r="35" spans="8:14" x14ac:dyDescent="0.25">
      <c r="H35" s="5"/>
      <c r="J35" s="6"/>
      <c r="N35" s="4"/>
    </row>
    <row r="36" spans="8:14" x14ac:dyDescent="0.25">
      <c r="H36" s="5"/>
      <c r="J36" s="6"/>
      <c r="N36" s="4"/>
    </row>
    <row r="37" spans="8:14" x14ac:dyDescent="0.25">
      <c r="H37" s="5"/>
      <c r="J37" s="6"/>
      <c r="N37" s="4"/>
    </row>
    <row r="38" spans="8:14" x14ac:dyDescent="0.25">
      <c r="H38" s="5"/>
      <c r="J38" s="6"/>
      <c r="N38" s="4"/>
    </row>
    <row r="39" spans="8:14" x14ac:dyDescent="0.25">
      <c r="H39" s="5"/>
      <c r="J39" s="6"/>
      <c r="N39" s="4"/>
    </row>
    <row r="40" spans="8:14" x14ac:dyDescent="0.25">
      <c r="H40" s="5"/>
      <c r="J40" s="6"/>
      <c r="N40" s="4"/>
    </row>
    <row r="41" spans="8:14" x14ac:dyDescent="0.25">
      <c r="H41" s="5"/>
      <c r="J41" s="6"/>
      <c r="N41" s="4"/>
    </row>
    <row r="42" spans="8:14" x14ac:dyDescent="0.25">
      <c r="H42" s="5"/>
      <c r="J42" s="6"/>
      <c r="N42" s="4"/>
    </row>
    <row r="43" spans="8:14" x14ac:dyDescent="0.25">
      <c r="H43" s="5"/>
      <c r="J43" s="6"/>
      <c r="N43" s="4"/>
    </row>
    <row r="44" spans="8:14" x14ac:dyDescent="0.25">
      <c r="H44" s="5"/>
      <c r="J44" s="6"/>
      <c r="N44" s="4"/>
    </row>
    <row r="45" spans="8:14" x14ac:dyDescent="0.25">
      <c r="H45" s="5"/>
      <c r="J45" s="6"/>
      <c r="N45" s="4"/>
    </row>
    <row r="46" spans="8:14" x14ac:dyDescent="0.25">
      <c r="H46" s="5"/>
      <c r="J46" s="6"/>
      <c r="N46" s="4"/>
    </row>
    <row r="47" spans="8:14" x14ac:dyDescent="0.25">
      <c r="H47" s="5"/>
      <c r="J47" s="6"/>
      <c r="N47" s="4"/>
    </row>
    <row r="48" spans="8:14" x14ac:dyDescent="0.25">
      <c r="H48" s="5"/>
      <c r="J48" s="6"/>
      <c r="N48" s="4"/>
    </row>
    <row r="49" spans="8:14" x14ac:dyDescent="0.25">
      <c r="H49" s="5"/>
      <c r="J49" s="6"/>
      <c r="N49" s="4"/>
    </row>
    <row r="50" spans="8:14" x14ac:dyDescent="0.25">
      <c r="H50" s="5"/>
      <c r="J50" s="6"/>
      <c r="N50" s="4"/>
    </row>
    <row r="51" spans="8:14" x14ac:dyDescent="0.25">
      <c r="H51" s="5"/>
      <c r="J51" s="6"/>
      <c r="N51" s="4"/>
    </row>
    <row r="52" spans="8:14" x14ac:dyDescent="0.25">
      <c r="H52" s="5"/>
      <c r="J52" s="6"/>
      <c r="N52" s="4"/>
    </row>
    <row r="53" spans="8:14" x14ac:dyDescent="0.25">
      <c r="H53" s="5"/>
      <c r="J53" s="6"/>
      <c r="N53" s="4"/>
    </row>
    <row r="54" spans="8:14" x14ac:dyDescent="0.25">
      <c r="H54" s="5"/>
      <c r="J54" s="6"/>
      <c r="N54" s="4"/>
    </row>
    <row r="55" spans="8:14" x14ac:dyDescent="0.25">
      <c r="H55" s="5"/>
      <c r="J55" s="6"/>
      <c r="N55" s="4"/>
    </row>
    <row r="56" spans="8:14" x14ac:dyDescent="0.25">
      <c r="H56" s="5"/>
      <c r="J56" s="6"/>
      <c r="N56" s="4"/>
    </row>
    <row r="57" spans="8:14" x14ac:dyDescent="0.25">
      <c r="H57" s="5"/>
      <c r="J57" s="6"/>
      <c r="N57" s="4"/>
    </row>
    <row r="58" spans="8:14" x14ac:dyDescent="0.25">
      <c r="H58" s="5"/>
      <c r="J58" s="6"/>
      <c r="N58" s="4"/>
    </row>
    <row r="59" spans="8:14" x14ac:dyDescent="0.25">
      <c r="H59" s="5"/>
      <c r="J59" s="6"/>
      <c r="N59" s="4"/>
    </row>
    <row r="60" spans="8:14" x14ac:dyDescent="0.25">
      <c r="H60" s="5"/>
      <c r="J60" s="6"/>
      <c r="N60" s="4"/>
    </row>
    <row r="61" spans="8:14" x14ac:dyDescent="0.25">
      <c r="H61" s="5"/>
      <c r="J61" s="6"/>
      <c r="N61" s="4"/>
    </row>
    <row r="62" spans="8:14" x14ac:dyDescent="0.25">
      <c r="H62" s="5"/>
      <c r="J62" s="6"/>
      <c r="N62" s="4"/>
    </row>
    <row r="63" spans="8:14" x14ac:dyDescent="0.25">
      <c r="H63" s="5"/>
      <c r="J63" s="6"/>
      <c r="N63" s="4"/>
    </row>
    <row r="64" spans="8:14" x14ac:dyDescent="0.25">
      <c r="H64" s="5"/>
      <c r="J64" s="6"/>
      <c r="N64" s="4"/>
    </row>
    <row r="65" spans="8:14" x14ac:dyDescent="0.25">
      <c r="H65" s="5"/>
      <c r="J65" s="6"/>
      <c r="N65" s="4"/>
    </row>
    <row r="66" spans="8:14" x14ac:dyDescent="0.25">
      <c r="H66" s="5"/>
      <c r="J66" s="6"/>
      <c r="N66" s="4"/>
    </row>
    <row r="67" spans="8:14" x14ac:dyDescent="0.25">
      <c r="H67" s="5"/>
      <c r="J67" s="6"/>
      <c r="N67" s="4"/>
    </row>
    <row r="68" spans="8:14" x14ac:dyDescent="0.25">
      <c r="H68" s="5"/>
      <c r="J68" s="6"/>
      <c r="N68" s="4"/>
    </row>
    <row r="69" spans="8:14" x14ac:dyDescent="0.25">
      <c r="H69" s="5"/>
      <c r="J69" s="6"/>
      <c r="N69" s="4"/>
    </row>
    <row r="70" spans="8:14" x14ac:dyDescent="0.25">
      <c r="H70" s="5"/>
      <c r="J70" s="6"/>
      <c r="N70" s="4"/>
    </row>
    <row r="71" spans="8:14" x14ac:dyDescent="0.25">
      <c r="H71" s="5"/>
      <c r="J71" s="6"/>
      <c r="N71" s="4"/>
    </row>
    <row r="72" spans="8:14" x14ac:dyDescent="0.25">
      <c r="H72" s="5"/>
      <c r="J72" s="6"/>
      <c r="N72" s="4"/>
    </row>
    <row r="73" spans="8:14" x14ac:dyDescent="0.25">
      <c r="H73" s="5"/>
      <c r="J73" s="6"/>
      <c r="N73" s="4"/>
    </row>
    <row r="74" spans="8:14" x14ac:dyDescent="0.25">
      <c r="H74" s="5"/>
      <c r="J74" s="6"/>
      <c r="N74" s="4"/>
    </row>
    <row r="75" spans="8:14" x14ac:dyDescent="0.25">
      <c r="H75" s="5"/>
      <c r="J75" s="6"/>
      <c r="N75" s="4"/>
    </row>
    <row r="76" spans="8:14" x14ac:dyDescent="0.25">
      <c r="H76" s="5"/>
      <c r="J76" s="6"/>
      <c r="N76" s="4"/>
    </row>
    <row r="77" spans="8:14" x14ac:dyDescent="0.25">
      <c r="H77" s="5"/>
      <c r="J77" s="6"/>
      <c r="N77" s="4"/>
    </row>
    <row r="78" spans="8:14" x14ac:dyDescent="0.25">
      <c r="H78" s="5"/>
      <c r="J78" s="6"/>
      <c r="N78" s="4"/>
    </row>
    <row r="79" spans="8:14" x14ac:dyDescent="0.25">
      <c r="H79" s="5"/>
      <c r="J79" s="6"/>
      <c r="N79" s="4"/>
    </row>
    <row r="80" spans="8:14" x14ac:dyDescent="0.25">
      <c r="H80" s="5"/>
      <c r="J80" s="6"/>
      <c r="N80" s="4"/>
    </row>
    <row r="81" spans="8:14" x14ac:dyDescent="0.25">
      <c r="H81" s="5"/>
      <c r="J81" s="6"/>
      <c r="N81" s="4"/>
    </row>
    <row r="82" spans="8:14" x14ac:dyDescent="0.25">
      <c r="H82" s="5"/>
      <c r="J82" s="6"/>
      <c r="N82" s="4"/>
    </row>
    <row r="83" spans="8:14" x14ac:dyDescent="0.25">
      <c r="H83" s="5"/>
      <c r="J83" s="6"/>
      <c r="N83" s="4"/>
    </row>
    <row r="84" spans="8:14" x14ac:dyDescent="0.25">
      <c r="H84" s="5"/>
      <c r="J84" s="6"/>
      <c r="N84" s="4"/>
    </row>
    <row r="85" spans="8:14" x14ac:dyDescent="0.25">
      <c r="H85" s="5"/>
      <c r="J85" s="6"/>
      <c r="N85" s="4"/>
    </row>
    <row r="86" spans="8:14" x14ac:dyDescent="0.25">
      <c r="H86" s="5"/>
      <c r="J86" s="6"/>
      <c r="N86" s="4"/>
    </row>
    <row r="87" spans="8:14" x14ac:dyDescent="0.25">
      <c r="H87" s="5"/>
      <c r="J87" s="6"/>
      <c r="N87" s="4"/>
    </row>
    <row r="88" spans="8:14" x14ac:dyDescent="0.25">
      <c r="H88" s="5"/>
      <c r="J88" s="6"/>
      <c r="N88" s="4"/>
    </row>
    <row r="89" spans="8:14" x14ac:dyDescent="0.25">
      <c r="H89" s="5"/>
      <c r="J89" s="6"/>
      <c r="N89" s="4"/>
    </row>
    <row r="90" spans="8:14" x14ac:dyDescent="0.25">
      <c r="H90" s="5"/>
      <c r="J90" s="6"/>
      <c r="N90" s="4"/>
    </row>
    <row r="91" spans="8:14" x14ac:dyDescent="0.25">
      <c r="H91" s="5"/>
      <c r="J91" s="6"/>
      <c r="N91" s="4"/>
    </row>
    <row r="92" spans="8:14" x14ac:dyDescent="0.25">
      <c r="H92" s="5"/>
      <c r="J92" s="6"/>
      <c r="N92" s="4"/>
    </row>
    <row r="93" spans="8:14" x14ac:dyDescent="0.25">
      <c r="H93" s="5"/>
      <c r="J93" s="6"/>
      <c r="N93" s="4"/>
    </row>
    <row r="94" spans="8:14" x14ac:dyDescent="0.25">
      <c r="H94" s="5"/>
      <c r="J94" s="6"/>
      <c r="N94" s="4"/>
    </row>
    <row r="95" spans="8:14" x14ac:dyDescent="0.25">
      <c r="H95" s="5"/>
      <c r="J95" s="6"/>
      <c r="N95" s="4"/>
    </row>
    <row r="96" spans="8:14" x14ac:dyDescent="0.25">
      <c r="H96" s="5"/>
      <c r="J96" s="6"/>
      <c r="N96" s="4"/>
    </row>
    <row r="97" spans="8:14" x14ac:dyDescent="0.25">
      <c r="H97" s="5"/>
      <c r="J97" s="6"/>
      <c r="N97" s="4"/>
    </row>
    <row r="98" spans="8:14" x14ac:dyDescent="0.25">
      <c r="H98" s="5"/>
      <c r="J98" s="6"/>
      <c r="N98" s="4"/>
    </row>
    <row r="99" spans="8:14" x14ac:dyDescent="0.25">
      <c r="H99" s="5"/>
      <c r="J99" s="6"/>
      <c r="N99" s="4"/>
    </row>
    <row r="100" spans="8:14" x14ac:dyDescent="0.25">
      <c r="H100" s="5"/>
      <c r="J100" s="6"/>
      <c r="N100" s="4"/>
    </row>
    <row r="101" spans="8:14" x14ac:dyDescent="0.25">
      <c r="H101" s="5"/>
      <c r="J101" s="6"/>
      <c r="N101" s="4"/>
    </row>
    <row r="102" spans="8:14" x14ac:dyDescent="0.25">
      <c r="H102" s="5"/>
      <c r="J102" s="6"/>
      <c r="N102" s="4"/>
    </row>
    <row r="103" spans="8:14" x14ac:dyDescent="0.25">
      <c r="H103" s="5"/>
      <c r="J103" s="6"/>
      <c r="N103" s="4"/>
    </row>
    <row r="104" spans="8:14" x14ac:dyDescent="0.25">
      <c r="H104" s="5"/>
      <c r="J104" s="6"/>
      <c r="N104" s="4"/>
    </row>
    <row r="105" spans="8:14" x14ac:dyDescent="0.25">
      <c r="H105" s="5"/>
      <c r="J105" s="6"/>
      <c r="N105" s="4"/>
    </row>
    <row r="106" spans="8:14" x14ac:dyDescent="0.25">
      <c r="H106" s="5"/>
      <c r="J106" s="6"/>
      <c r="N106" s="4"/>
    </row>
    <row r="107" spans="8:14" x14ac:dyDescent="0.25">
      <c r="H107" s="5"/>
      <c r="J107" s="6"/>
      <c r="N107" s="4"/>
    </row>
    <row r="108" spans="8:14" x14ac:dyDescent="0.25">
      <c r="H108" s="5"/>
      <c r="J108" s="6"/>
      <c r="N108" s="4"/>
    </row>
    <row r="109" spans="8:14" x14ac:dyDescent="0.25">
      <c r="H109" s="5"/>
      <c r="J109" s="6"/>
      <c r="N109" s="4"/>
    </row>
    <row r="110" spans="8:14" x14ac:dyDescent="0.25">
      <c r="H110" s="5"/>
      <c r="J110" s="6"/>
      <c r="N110" s="4"/>
    </row>
    <row r="111" spans="8:14" x14ac:dyDescent="0.25">
      <c r="H111" s="5"/>
      <c r="J111" s="6"/>
      <c r="N111" s="4"/>
    </row>
    <row r="112" spans="8:14" x14ac:dyDescent="0.25">
      <c r="H112" s="5"/>
      <c r="J112" s="6"/>
      <c r="N112" s="4"/>
    </row>
    <row r="113" spans="8:14" x14ac:dyDescent="0.25">
      <c r="H113" s="5"/>
      <c r="J113" s="6"/>
      <c r="N113" s="4"/>
    </row>
    <row r="114" spans="8:14" x14ac:dyDescent="0.25">
      <c r="H114" s="5"/>
      <c r="J114" s="6"/>
      <c r="N114" s="4"/>
    </row>
    <row r="115" spans="8:14" x14ac:dyDescent="0.25">
      <c r="H115" s="5"/>
      <c r="J115" s="6"/>
      <c r="N115" s="4"/>
    </row>
    <row r="116" spans="8:14" x14ac:dyDescent="0.25">
      <c r="H116" s="5"/>
      <c r="J116" s="6"/>
      <c r="N116" s="4"/>
    </row>
    <row r="117" spans="8:14" x14ac:dyDescent="0.25">
      <c r="H117" s="5"/>
      <c r="J117" s="6"/>
      <c r="N117" s="4"/>
    </row>
    <row r="118" spans="8:14" x14ac:dyDescent="0.25">
      <c r="H118" s="5"/>
      <c r="J118" s="6"/>
      <c r="N118" s="4"/>
    </row>
    <row r="119" spans="8:14" x14ac:dyDescent="0.25">
      <c r="H119" s="5"/>
      <c r="J119" s="6"/>
      <c r="N119" s="4"/>
    </row>
    <row r="120" spans="8:14" x14ac:dyDescent="0.25">
      <c r="H120" s="5"/>
      <c r="J120" s="6"/>
      <c r="N120" s="4"/>
    </row>
    <row r="121" spans="8:14" x14ac:dyDescent="0.25">
      <c r="H121" s="5"/>
      <c r="J121" s="6"/>
      <c r="N121" s="4"/>
    </row>
    <row r="122" spans="8:14" x14ac:dyDescent="0.25">
      <c r="H122" s="5"/>
      <c r="J122" s="6"/>
      <c r="N122" s="4"/>
    </row>
    <row r="123" spans="8:14" x14ac:dyDescent="0.25">
      <c r="H123" s="5"/>
      <c r="J123" s="6"/>
      <c r="N123" s="4"/>
    </row>
    <row r="124" spans="8:14" x14ac:dyDescent="0.25">
      <c r="H124" s="5"/>
      <c r="J124" s="6"/>
      <c r="N124" s="4"/>
    </row>
    <row r="125" spans="8:14" x14ac:dyDescent="0.25">
      <c r="H125" s="5"/>
      <c r="J125" s="6"/>
      <c r="N125" s="4"/>
    </row>
    <row r="126" spans="8:14" x14ac:dyDescent="0.25">
      <c r="H126" s="5"/>
      <c r="J126" s="6"/>
      <c r="N126" s="4"/>
    </row>
    <row r="127" spans="8:14" x14ac:dyDescent="0.25">
      <c r="H127" s="5"/>
      <c r="J127" s="6"/>
      <c r="N127" s="4"/>
    </row>
    <row r="128" spans="8:14" x14ac:dyDescent="0.25">
      <c r="H128" s="5"/>
      <c r="J128" s="6"/>
      <c r="N128" s="4"/>
    </row>
    <row r="129" spans="8:14" x14ac:dyDescent="0.25">
      <c r="H129" s="5"/>
      <c r="J129" s="6"/>
      <c r="N129" s="4"/>
    </row>
    <row r="130" spans="8:14" x14ac:dyDescent="0.25">
      <c r="H130" s="5"/>
      <c r="J130" s="6"/>
      <c r="N130" s="4"/>
    </row>
    <row r="131" spans="8:14" x14ac:dyDescent="0.25">
      <c r="H131" s="5"/>
      <c r="J131" s="6"/>
      <c r="N131" s="4"/>
    </row>
    <row r="132" spans="8:14" x14ac:dyDescent="0.25">
      <c r="H132" s="5"/>
      <c r="J132" s="6"/>
      <c r="N132" s="4"/>
    </row>
    <row r="133" spans="8:14" x14ac:dyDescent="0.25">
      <c r="H133" s="5"/>
      <c r="J133" s="6"/>
      <c r="N133" s="4"/>
    </row>
    <row r="134" spans="8:14" x14ac:dyDescent="0.25">
      <c r="H134" s="5"/>
      <c r="J134" s="6"/>
      <c r="N134" s="4"/>
    </row>
    <row r="135" spans="8:14" x14ac:dyDescent="0.25">
      <c r="H135" s="5"/>
      <c r="J135" s="6"/>
      <c r="N135" s="4"/>
    </row>
    <row r="136" spans="8:14" x14ac:dyDescent="0.25">
      <c r="H136" s="5"/>
      <c r="J136" s="6"/>
      <c r="N136" s="4"/>
    </row>
    <row r="137" spans="8:14" x14ac:dyDescent="0.25">
      <c r="H137" s="5"/>
      <c r="J137" s="6"/>
      <c r="N137" s="4"/>
    </row>
    <row r="138" spans="8:14" x14ac:dyDescent="0.25">
      <c r="H138" s="5"/>
      <c r="J138" s="6"/>
      <c r="N138" s="4"/>
    </row>
    <row r="139" spans="8:14" x14ac:dyDescent="0.25">
      <c r="H139" s="5"/>
      <c r="J139" s="6"/>
      <c r="N139" s="4"/>
    </row>
    <row r="140" spans="8:14" x14ac:dyDescent="0.25">
      <c r="H140" s="5"/>
      <c r="J140" s="6"/>
      <c r="N140" s="4"/>
    </row>
    <row r="141" spans="8:14" x14ac:dyDescent="0.25">
      <c r="H141" s="5"/>
      <c r="J141" s="6"/>
      <c r="N141" s="4"/>
    </row>
    <row r="142" spans="8:14" x14ac:dyDescent="0.25">
      <c r="H142" s="5"/>
      <c r="J142" s="6"/>
      <c r="N142" s="4"/>
    </row>
    <row r="143" spans="8:14" x14ac:dyDescent="0.25">
      <c r="H143" s="5"/>
      <c r="J143" s="6"/>
      <c r="N143" s="4"/>
    </row>
    <row r="144" spans="8:14" x14ac:dyDescent="0.25">
      <c r="H144" s="5"/>
      <c r="J144" s="6"/>
      <c r="N144" s="4"/>
    </row>
    <row r="145" spans="8:14" x14ac:dyDescent="0.25">
      <c r="H145" s="5"/>
      <c r="J145" s="6"/>
      <c r="N145" s="4"/>
    </row>
    <row r="146" spans="8:14" x14ac:dyDescent="0.25">
      <c r="H146" s="5"/>
      <c r="J146" s="6"/>
      <c r="N146" s="4"/>
    </row>
    <row r="147" spans="8:14" x14ac:dyDescent="0.25">
      <c r="H147" s="5"/>
      <c r="J147" s="6"/>
      <c r="N147" s="4"/>
    </row>
    <row r="148" spans="8:14" x14ac:dyDescent="0.25">
      <c r="H148" s="5"/>
      <c r="J148" s="6"/>
      <c r="N148" s="4"/>
    </row>
    <row r="149" spans="8:14" x14ac:dyDescent="0.25">
      <c r="H149" s="5"/>
      <c r="J149" s="6"/>
      <c r="N149" s="4"/>
    </row>
    <row r="150" spans="8:14" x14ac:dyDescent="0.25">
      <c r="H150" s="5"/>
      <c r="J150" s="6"/>
      <c r="N150" s="4"/>
    </row>
    <row r="151" spans="8:14" x14ac:dyDescent="0.25">
      <c r="H151" s="5"/>
      <c r="J151" s="6"/>
      <c r="N151" s="4"/>
    </row>
    <row r="152" spans="8:14" x14ac:dyDescent="0.25">
      <c r="H152" s="5"/>
      <c r="J152" s="6"/>
      <c r="N152" s="4"/>
    </row>
    <row r="153" spans="8:14" x14ac:dyDescent="0.25">
      <c r="H153" s="5"/>
      <c r="J153" s="6"/>
      <c r="N153" s="4"/>
    </row>
    <row r="154" spans="8:14" x14ac:dyDescent="0.25">
      <c r="H154" s="5"/>
      <c r="J154" s="6"/>
      <c r="N154" s="4"/>
    </row>
    <row r="155" spans="8:14" x14ac:dyDescent="0.25">
      <c r="H155" s="5"/>
      <c r="J155" s="6"/>
      <c r="N155" s="4"/>
    </row>
    <row r="156" spans="8:14" x14ac:dyDescent="0.25">
      <c r="H156" s="5"/>
      <c r="J156" s="6"/>
      <c r="N156" s="4"/>
    </row>
    <row r="157" spans="8:14" x14ac:dyDescent="0.25">
      <c r="H157" s="5"/>
      <c r="J157" s="6"/>
      <c r="N157" s="4"/>
    </row>
    <row r="158" spans="8:14" x14ac:dyDescent="0.25">
      <c r="H158" s="5"/>
      <c r="J158" s="6"/>
      <c r="N158" s="4"/>
    </row>
    <row r="159" spans="8:14" x14ac:dyDescent="0.25">
      <c r="H159" s="5"/>
      <c r="J159" s="6"/>
      <c r="N159" s="4"/>
    </row>
    <row r="160" spans="8:14" x14ac:dyDescent="0.25">
      <c r="H160" s="5"/>
      <c r="J160" s="6"/>
      <c r="N160" s="4"/>
    </row>
    <row r="161" spans="8:14" x14ac:dyDescent="0.25">
      <c r="H161" s="5"/>
      <c r="J161" s="6"/>
      <c r="N161" s="4"/>
    </row>
    <row r="162" spans="8:14" x14ac:dyDescent="0.25">
      <c r="H162" s="5"/>
      <c r="J162" s="6"/>
      <c r="N162" s="4"/>
    </row>
    <row r="163" spans="8:14" x14ac:dyDescent="0.25">
      <c r="H163" s="5"/>
      <c r="J163" s="6"/>
      <c r="N163" s="4"/>
    </row>
    <row r="164" spans="8:14" x14ac:dyDescent="0.25">
      <c r="H164" s="5"/>
      <c r="J164" s="6"/>
      <c r="N164" s="4"/>
    </row>
    <row r="165" spans="8:14" x14ac:dyDescent="0.25">
      <c r="H165" s="5"/>
      <c r="J165" s="6"/>
      <c r="N165" s="4"/>
    </row>
    <row r="166" spans="8:14" x14ac:dyDescent="0.25">
      <c r="H166" s="5"/>
      <c r="J166" s="6"/>
      <c r="N166" s="4"/>
    </row>
    <row r="167" spans="8:14" x14ac:dyDescent="0.25">
      <c r="H167" s="5"/>
      <c r="J167" s="6"/>
      <c r="N167" s="4"/>
    </row>
    <row r="168" spans="8:14" x14ac:dyDescent="0.25">
      <c r="H168" s="5"/>
      <c r="J168" s="6"/>
      <c r="N168" s="4"/>
    </row>
    <row r="169" spans="8:14" x14ac:dyDescent="0.25">
      <c r="H169" s="5"/>
      <c r="J169" s="6"/>
      <c r="N169" s="4"/>
    </row>
    <row r="170" spans="8:14" x14ac:dyDescent="0.25">
      <c r="H170" s="5"/>
      <c r="J170" s="6"/>
      <c r="N170" s="4"/>
    </row>
    <row r="171" spans="8:14" x14ac:dyDescent="0.25">
      <c r="H171" s="5"/>
      <c r="J171" s="6"/>
      <c r="N171" s="4"/>
    </row>
    <row r="172" spans="8:14" x14ac:dyDescent="0.25">
      <c r="H172" s="5"/>
      <c r="J172" s="6"/>
      <c r="N172" s="4"/>
    </row>
    <row r="173" spans="8:14" x14ac:dyDescent="0.25">
      <c r="H173" s="5"/>
      <c r="J173" s="6"/>
      <c r="N173" s="4"/>
    </row>
    <row r="174" spans="8:14" x14ac:dyDescent="0.25">
      <c r="H174" s="5"/>
      <c r="J174" s="6"/>
      <c r="N174" s="4"/>
    </row>
    <row r="175" spans="8:14" x14ac:dyDescent="0.25">
      <c r="H175" s="5"/>
      <c r="J175" s="6"/>
      <c r="N175" s="4"/>
    </row>
    <row r="176" spans="8:14" x14ac:dyDescent="0.25">
      <c r="H176" s="5"/>
      <c r="J176" s="6"/>
      <c r="N176" s="4"/>
    </row>
    <row r="177" spans="8:14" x14ac:dyDescent="0.25">
      <c r="H177" s="5"/>
      <c r="J177" s="6"/>
      <c r="N177" s="4"/>
    </row>
    <row r="178" spans="8:14" x14ac:dyDescent="0.25">
      <c r="H178" s="5"/>
      <c r="J178" s="6"/>
      <c r="N178" s="4"/>
    </row>
    <row r="179" spans="8:14" x14ac:dyDescent="0.25">
      <c r="H179" s="5"/>
      <c r="J179" s="6"/>
      <c r="N179" s="4"/>
    </row>
    <row r="180" spans="8:14" x14ac:dyDescent="0.25">
      <c r="H180" s="5"/>
      <c r="J180" s="6"/>
      <c r="N180" s="4"/>
    </row>
    <row r="181" spans="8:14" x14ac:dyDescent="0.25">
      <c r="H181" s="5"/>
      <c r="J181" s="6"/>
      <c r="N181" s="4"/>
    </row>
    <row r="182" spans="8:14" x14ac:dyDescent="0.25">
      <c r="H182" s="5"/>
      <c r="J182" s="6"/>
      <c r="N182" s="4"/>
    </row>
    <row r="183" spans="8:14" x14ac:dyDescent="0.25">
      <c r="H183" s="5"/>
      <c r="J183" s="6"/>
      <c r="N183" s="4"/>
    </row>
    <row r="184" spans="8:14" x14ac:dyDescent="0.25">
      <c r="H184" s="5"/>
      <c r="J184" s="6"/>
      <c r="N184" s="4"/>
    </row>
    <row r="185" spans="8:14" x14ac:dyDescent="0.25">
      <c r="H185" s="5"/>
      <c r="J185" s="6"/>
      <c r="N185" s="4"/>
    </row>
    <row r="186" spans="8:14" x14ac:dyDescent="0.25">
      <c r="H186" s="5"/>
      <c r="J186" s="6"/>
      <c r="N186" s="4"/>
    </row>
    <row r="187" spans="8:14" x14ac:dyDescent="0.25">
      <c r="H187" s="5"/>
      <c r="J187" s="6"/>
      <c r="N187" s="4"/>
    </row>
    <row r="188" spans="8:14" x14ac:dyDescent="0.25">
      <c r="H188" s="5"/>
      <c r="J188" s="6"/>
      <c r="N188" s="4"/>
    </row>
    <row r="189" spans="8:14" x14ac:dyDescent="0.25">
      <c r="H189" s="5"/>
      <c r="J189" s="6"/>
      <c r="N189" s="4"/>
    </row>
    <row r="190" spans="8:14" x14ac:dyDescent="0.25">
      <c r="H190" s="5"/>
      <c r="J190" s="6"/>
      <c r="N190" s="4"/>
    </row>
    <row r="191" spans="8:14" x14ac:dyDescent="0.25">
      <c r="H191" s="5"/>
      <c r="J191" s="6"/>
      <c r="N191" s="4"/>
    </row>
    <row r="192" spans="8:14" x14ac:dyDescent="0.25">
      <c r="H192" s="5"/>
      <c r="J192" s="6"/>
      <c r="N192" s="4"/>
    </row>
    <row r="193" spans="8:14" x14ac:dyDescent="0.25">
      <c r="H193" s="5"/>
      <c r="J193" s="6"/>
      <c r="N193" s="4"/>
    </row>
    <row r="194" spans="8:14" x14ac:dyDescent="0.25">
      <c r="H194" s="5"/>
      <c r="J194" s="6"/>
      <c r="N194" s="4"/>
    </row>
    <row r="195" spans="8:14" x14ac:dyDescent="0.25">
      <c r="H195" s="5"/>
      <c r="J195" s="6"/>
      <c r="N195" s="4"/>
    </row>
    <row r="196" spans="8:14" x14ac:dyDescent="0.25">
      <c r="H196" s="5"/>
      <c r="J196" s="6"/>
      <c r="N196" s="4"/>
    </row>
    <row r="197" spans="8:14" x14ac:dyDescent="0.25">
      <c r="H197" s="5"/>
      <c r="J197" s="6"/>
      <c r="N197" s="4"/>
    </row>
    <row r="198" spans="8:14" x14ac:dyDescent="0.25">
      <c r="H198" s="5"/>
      <c r="J198" s="6"/>
      <c r="N198" s="4"/>
    </row>
    <row r="199" spans="8:14" x14ac:dyDescent="0.25">
      <c r="H199" s="5"/>
      <c r="J199" s="6"/>
      <c r="N199" s="4"/>
    </row>
    <row r="200" spans="8:14" x14ac:dyDescent="0.25">
      <c r="H200" s="5"/>
      <c r="J200" s="6"/>
      <c r="N200" s="4"/>
    </row>
    <row r="201" spans="8:14" x14ac:dyDescent="0.25">
      <c r="H201" s="5"/>
      <c r="J201" s="6"/>
      <c r="N201" s="4"/>
    </row>
    <row r="202" spans="8:14" x14ac:dyDescent="0.25">
      <c r="H202" s="5"/>
      <c r="J202" s="6"/>
      <c r="N202" s="4"/>
    </row>
    <row r="203" spans="8:14" x14ac:dyDescent="0.25">
      <c r="H203" s="5"/>
      <c r="J203" s="6"/>
      <c r="N203" s="4"/>
    </row>
    <row r="204" spans="8:14" x14ac:dyDescent="0.25">
      <c r="H204" s="5"/>
      <c r="J204" s="6"/>
      <c r="N204" s="4"/>
    </row>
    <row r="205" spans="8:14" x14ac:dyDescent="0.25">
      <c r="H205" s="5"/>
      <c r="J205" s="6"/>
      <c r="N205" s="4"/>
    </row>
    <row r="206" spans="8:14" x14ac:dyDescent="0.25">
      <c r="H206" s="5"/>
      <c r="J206" s="6"/>
      <c r="N206" s="4"/>
    </row>
    <row r="207" spans="8:14" x14ac:dyDescent="0.25">
      <c r="H207" s="5"/>
      <c r="J207" s="6"/>
      <c r="N207" s="4"/>
    </row>
    <row r="208" spans="8:14" x14ac:dyDescent="0.25">
      <c r="H208" s="5"/>
      <c r="J208" s="6"/>
      <c r="N208" s="4"/>
    </row>
    <row r="209" spans="8:14" x14ac:dyDescent="0.25">
      <c r="H209" s="5"/>
      <c r="J209" s="6"/>
      <c r="N209" s="4"/>
    </row>
    <row r="210" spans="8:14" x14ac:dyDescent="0.25">
      <c r="H210" s="5"/>
      <c r="J210" s="6"/>
      <c r="N210" s="4"/>
    </row>
    <row r="211" spans="8:14" x14ac:dyDescent="0.25">
      <c r="H211" s="5"/>
      <c r="J211" s="6"/>
      <c r="N211" s="4"/>
    </row>
    <row r="212" spans="8:14" x14ac:dyDescent="0.25">
      <c r="H212" s="5"/>
      <c r="J212" s="6"/>
      <c r="N212" s="4"/>
    </row>
    <row r="213" spans="8:14" x14ac:dyDescent="0.25">
      <c r="H213" s="5"/>
      <c r="J213" s="6"/>
      <c r="N213" s="4"/>
    </row>
    <row r="214" spans="8:14" x14ac:dyDescent="0.25">
      <c r="H214" s="5"/>
      <c r="J214" s="6"/>
      <c r="N214" s="4"/>
    </row>
    <row r="215" spans="8:14" x14ac:dyDescent="0.25">
      <c r="H215" s="5"/>
      <c r="J215" s="6"/>
      <c r="N215" s="4"/>
    </row>
    <row r="216" spans="8:14" x14ac:dyDescent="0.25">
      <c r="H216" s="5"/>
      <c r="J216" s="6"/>
      <c r="N216" s="4"/>
    </row>
    <row r="217" spans="8:14" x14ac:dyDescent="0.25">
      <c r="H217" s="5"/>
      <c r="J217" s="6"/>
      <c r="N217" s="4"/>
    </row>
    <row r="218" spans="8:14" x14ac:dyDescent="0.25">
      <c r="H218" s="5"/>
      <c r="J218" s="6"/>
      <c r="N218" s="4"/>
    </row>
    <row r="219" spans="8:14" x14ac:dyDescent="0.25">
      <c r="H219" s="5"/>
      <c r="J219" s="6"/>
      <c r="N219" s="4"/>
    </row>
    <row r="220" spans="8:14" x14ac:dyDescent="0.25">
      <c r="H220" s="5"/>
      <c r="J220" s="6"/>
      <c r="N220" s="4"/>
    </row>
    <row r="221" spans="8:14" x14ac:dyDescent="0.25">
      <c r="H221" s="5"/>
      <c r="J221" s="6"/>
      <c r="N221" s="4"/>
    </row>
    <row r="222" spans="8:14" x14ac:dyDescent="0.25">
      <c r="H222" s="5"/>
      <c r="J222" s="6"/>
      <c r="N222" s="4"/>
    </row>
    <row r="223" spans="8:14" x14ac:dyDescent="0.25">
      <c r="H223" s="5"/>
      <c r="J223" s="6"/>
      <c r="N223" s="4"/>
    </row>
    <row r="224" spans="8:14" x14ac:dyDescent="0.25">
      <c r="H224" s="5"/>
      <c r="J224" s="6"/>
      <c r="N224" s="4"/>
    </row>
    <row r="225" spans="8:14" x14ac:dyDescent="0.25">
      <c r="H225" s="5"/>
      <c r="J225" s="6"/>
      <c r="N225" s="4"/>
    </row>
    <row r="226" spans="8:14" x14ac:dyDescent="0.25">
      <c r="H226" s="5"/>
      <c r="J226" s="6"/>
      <c r="N226" s="4"/>
    </row>
    <row r="227" spans="8:14" x14ac:dyDescent="0.25">
      <c r="H227" s="5"/>
      <c r="J227" s="6"/>
      <c r="N227" s="4"/>
    </row>
    <row r="228" spans="8:14" x14ac:dyDescent="0.25">
      <c r="H228" s="5"/>
      <c r="J228" s="6"/>
      <c r="N228" s="4"/>
    </row>
    <row r="229" spans="8:14" x14ac:dyDescent="0.25">
      <c r="H229" s="5"/>
      <c r="J229" s="6"/>
      <c r="N229" s="4"/>
    </row>
    <row r="230" spans="8:14" x14ac:dyDescent="0.25">
      <c r="H230" s="5"/>
      <c r="J230" s="6"/>
      <c r="N230" s="4"/>
    </row>
    <row r="231" spans="8:14" x14ac:dyDescent="0.25">
      <c r="H231" s="5"/>
      <c r="J231" s="6"/>
      <c r="N231" s="4"/>
    </row>
    <row r="232" spans="8:14" x14ac:dyDescent="0.25">
      <c r="H232" s="5"/>
      <c r="J232" s="6"/>
      <c r="N232" s="4"/>
    </row>
    <row r="233" spans="8:14" x14ac:dyDescent="0.25">
      <c r="H233" s="5"/>
      <c r="J233" s="6"/>
      <c r="N233" s="4"/>
    </row>
    <row r="234" spans="8:14" x14ac:dyDescent="0.25">
      <c r="H234" s="5"/>
      <c r="J234" s="6"/>
      <c r="N234" s="4"/>
    </row>
    <row r="235" spans="8:14" x14ac:dyDescent="0.25">
      <c r="H235" s="5"/>
      <c r="J235" s="6"/>
      <c r="N235" s="4"/>
    </row>
    <row r="236" spans="8:14" x14ac:dyDescent="0.25">
      <c r="H236" s="5"/>
      <c r="J236" s="6"/>
      <c r="N236" s="4"/>
    </row>
    <row r="237" spans="8:14" x14ac:dyDescent="0.25">
      <c r="H237" s="5"/>
      <c r="J237" s="6"/>
      <c r="N237" s="4"/>
    </row>
    <row r="238" spans="8:14" x14ac:dyDescent="0.25">
      <c r="H238" s="5"/>
      <c r="J238" s="6"/>
      <c r="N238" s="4"/>
    </row>
    <row r="239" spans="8:14" x14ac:dyDescent="0.25">
      <c r="H239" s="5"/>
      <c r="J239" s="6"/>
      <c r="N239" s="4"/>
    </row>
    <row r="240" spans="8:14" x14ac:dyDescent="0.25">
      <c r="H240" s="5"/>
      <c r="J240" s="6"/>
      <c r="N240" s="4"/>
    </row>
    <row r="241" spans="8:14" x14ac:dyDescent="0.25">
      <c r="H241" s="5"/>
      <c r="J241" s="6"/>
      <c r="N241" s="4"/>
    </row>
    <row r="242" spans="8:14" x14ac:dyDescent="0.25">
      <c r="H242" s="5"/>
      <c r="J242" s="6"/>
      <c r="N242" s="4"/>
    </row>
    <row r="243" spans="8:14" x14ac:dyDescent="0.25">
      <c r="H243" s="5"/>
      <c r="J243" s="6"/>
      <c r="N243" s="4"/>
    </row>
    <row r="244" spans="8:14" x14ac:dyDescent="0.25">
      <c r="H244" s="5"/>
      <c r="J244" s="6"/>
      <c r="N244" s="4"/>
    </row>
    <row r="245" spans="8:14" x14ac:dyDescent="0.25">
      <c r="H245" s="5"/>
      <c r="J245" s="6"/>
      <c r="N245" s="4"/>
    </row>
    <row r="246" spans="8:14" x14ac:dyDescent="0.25">
      <c r="H246" s="5"/>
      <c r="J246" s="6"/>
      <c r="N246" s="4"/>
    </row>
    <row r="247" spans="8:14" x14ac:dyDescent="0.25">
      <c r="H247" s="5"/>
      <c r="J247" s="6"/>
      <c r="N247" s="4"/>
    </row>
    <row r="248" spans="8:14" x14ac:dyDescent="0.25">
      <c r="H248" s="5"/>
      <c r="J248" s="6"/>
      <c r="N248" s="4"/>
    </row>
    <row r="249" spans="8:14" x14ac:dyDescent="0.25">
      <c r="H249" s="5"/>
      <c r="J249" s="6"/>
      <c r="N249" s="4"/>
    </row>
    <row r="250" spans="8:14" x14ac:dyDescent="0.25">
      <c r="H250" s="5"/>
      <c r="J250" s="6"/>
      <c r="N250" s="4"/>
    </row>
    <row r="251" spans="8:14" x14ac:dyDescent="0.25">
      <c r="H251" s="5"/>
      <c r="J251" s="6"/>
      <c r="N251" s="4"/>
    </row>
    <row r="252" spans="8:14" x14ac:dyDescent="0.25">
      <c r="H252" s="5"/>
      <c r="J252" s="6"/>
      <c r="N252" s="4"/>
    </row>
    <row r="253" spans="8:14" x14ac:dyDescent="0.25">
      <c r="H253" s="5"/>
      <c r="J253" s="6"/>
      <c r="N253" s="4"/>
    </row>
    <row r="254" spans="8:14" x14ac:dyDescent="0.25">
      <c r="H254" s="5"/>
      <c r="J254" s="6"/>
      <c r="N254" s="4"/>
    </row>
    <row r="255" spans="8:14" x14ac:dyDescent="0.25">
      <c r="H255" s="5"/>
      <c r="J255" s="6"/>
      <c r="N255" s="4"/>
    </row>
    <row r="256" spans="8:14" x14ac:dyDescent="0.25">
      <c r="H256" s="5"/>
      <c r="J256" s="6"/>
      <c r="N256" s="4"/>
    </row>
    <row r="257" spans="8:14" x14ac:dyDescent="0.25">
      <c r="H257" s="5"/>
      <c r="J257" s="6"/>
      <c r="N257" s="4"/>
    </row>
    <row r="258" spans="8:14" x14ac:dyDescent="0.25">
      <c r="H258" s="5"/>
      <c r="J258" s="6"/>
      <c r="N258" s="4"/>
    </row>
    <row r="259" spans="8:14" x14ac:dyDescent="0.25">
      <c r="H259" s="5"/>
      <c r="J259" s="6"/>
      <c r="N259" s="4"/>
    </row>
    <row r="260" spans="8:14" x14ac:dyDescent="0.25">
      <c r="H260" s="5"/>
      <c r="J260" s="6"/>
      <c r="N260" s="4"/>
    </row>
    <row r="261" spans="8:14" x14ac:dyDescent="0.25">
      <c r="H261" s="5"/>
      <c r="J261" s="6"/>
      <c r="N261" s="4"/>
    </row>
    <row r="262" spans="8:14" x14ac:dyDescent="0.25">
      <c r="H262" s="5"/>
      <c r="J262" s="6"/>
      <c r="N262" s="4"/>
    </row>
    <row r="263" spans="8:14" x14ac:dyDescent="0.25">
      <c r="H263" s="5"/>
      <c r="J263" s="6"/>
      <c r="N263" s="4"/>
    </row>
    <row r="264" spans="8:14" x14ac:dyDescent="0.25">
      <c r="H264" s="5"/>
      <c r="J264" s="6"/>
      <c r="N264" s="4"/>
    </row>
    <row r="265" spans="8:14" x14ac:dyDescent="0.25">
      <c r="H265" s="5"/>
      <c r="J265" s="6"/>
      <c r="N265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O267"/>
  <sheetViews>
    <sheetView showGridLines="0" topLeftCell="A13" zoomScale="178" workbookViewId="0">
      <selection activeCell="J16" sqref="J1:J1048576"/>
    </sheetView>
  </sheetViews>
  <sheetFormatPr defaultRowHeight="15" x14ac:dyDescent="0.25"/>
  <cols>
    <col min="1" max="1" width="1.7109375" customWidth="1"/>
    <col min="2" max="2" width="3.7109375" customWidth="1"/>
    <col min="3" max="3" width="12.5703125" customWidth="1"/>
    <col min="4" max="4" width="13.85546875" bestFit="1" customWidth="1"/>
    <col min="5" max="5" width="14.85546875" bestFit="1" customWidth="1"/>
    <col min="6" max="6" width="13.7109375" bestFit="1" customWidth="1"/>
    <col min="7" max="7" width="25.85546875" bestFit="1" customWidth="1"/>
    <col min="8" max="8" width="11.85546875" bestFit="1" customWidth="1"/>
    <col min="9" max="9" width="13" customWidth="1"/>
    <col min="10" max="10" width="14.5703125" style="6" customWidth="1"/>
    <col min="12" max="12" width="16.42578125" customWidth="1"/>
    <col min="13" max="13" width="23.85546875" bestFit="1" customWidth="1"/>
    <col min="14" max="14" width="13.42578125" bestFit="1" customWidth="1"/>
    <col min="15" max="15" width="12.7109375" customWidth="1"/>
  </cols>
  <sheetData>
    <row r="1" spans="1:15" s="2" customFormat="1" ht="52.5" customHeight="1" x14ac:dyDescent="0.25">
      <c r="A1" s="1"/>
      <c r="C1" s="3" t="s">
        <v>739</v>
      </c>
      <c r="J1" s="40"/>
    </row>
    <row r="7" spans="1:15" x14ac:dyDescent="0.25">
      <c r="C7" t="s">
        <v>0</v>
      </c>
      <c r="D7" t="s">
        <v>1</v>
      </c>
      <c r="E7" t="s">
        <v>2</v>
      </c>
      <c r="F7" t="s">
        <v>3</v>
      </c>
      <c r="G7" t="s">
        <v>4</v>
      </c>
      <c r="H7" s="8" t="s">
        <v>5</v>
      </c>
      <c r="I7" t="s">
        <v>6</v>
      </c>
      <c r="J7" s="6" t="s">
        <v>7</v>
      </c>
      <c r="K7" s="8" t="s">
        <v>8</v>
      </c>
      <c r="L7" t="s">
        <v>9</v>
      </c>
      <c r="M7" t="s">
        <v>10</v>
      </c>
      <c r="N7" s="7" t="s">
        <v>738</v>
      </c>
      <c r="O7" t="s">
        <v>11</v>
      </c>
    </row>
    <row r="8" spans="1:15" x14ac:dyDescent="0.25">
      <c r="C8" t="s">
        <v>627</v>
      </c>
      <c r="D8" t="s">
        <v>628</v>
      </c>
      <c r="E8" t="s">
        <v>629</v>
      </c>
      <c r="F8" t="s">
        <v>24</v>
      </c>
      <c r="G8" t="s">
        <v>36</v>
      </c>
      <c r="H8" s="5">
        <v>96135.75</v>
      </c>
      <c r="I8" t="s">
        <v>26</v>
      </c>
      <c r="J8" s="6">
        <v>44025</v>
      </c>
      <c r="K8">
        <v>0.3</v>
      </c>
      <c r="L8" t="s">
        <v>18</v>
      </c>
      <c r="M8" t="s">
        <v>45</v>
      </c>
      <c r="N8" s="9">
        <v>3.9424657534246577</v>
      </c>
      <c r="O8" t="s">
        <v>28</v>
      </c>
    </row>
    <row r="9" spans="1:15" x14ac:dyDescent="0.25">
      <c r="C9" t="s">
        <v>309</v>
      </c>
      <c r="D9" t="s">
        <v>310</v>
      </c>
      <c r="E9" t="s">
        <v>311</v>
      </c>
      <c r="F9" t="s">
        <v>24</v>
      </c>
      <c r="G9" t="s">
        <v>794</v>
      </c>
      <c r="H9" s="5">
        <v>70649.460000000006</v>
      </c>
      <c r="I9" t="s">
        <v>26</v>
      </c>
      <c r="J9" s="6">
        <v>43843</v>
      </c>
      <c r="K9">
        <v>1</v>
      </c>
      <c r="L9" t="s">
        <v>18</v>
      </c>
      <c r="M9" t="s">
        <v>41</v>
      </c>
      <c r="N9" s="9">
        <v>4.441095890410959</v>
      </c>
      <c r="O9" t="s">
        <v>20</v>
      </c>
    </row>
    <row r="10" spans="1:15" x14ac:dyDescent="0.25">
      <c r="C10" t="s">
        <v>608</v>
      </c>
      <c r="D10" t="s">
        <v>283</v>
      </c>
      <c r="E10" t="s">
        <v>284</v>
      </c>
      <c r="F10" t="s">
        <v>24</v>
      </c>
      <c r="G10" t="s">
        <v>794</v>
      </c>
      <c r="H10" s="5">
        <v>80695.740000000005</v>
      </c>
      <c r="I10" t="s">
        <v>26</v>
      </c>
      <c r="J10" s="6">
        <v>43360</v>
      </c>
      <c r="K10">
        <v>1</v>
      </c>
      <c r="L10" t="s">
        <v>18</v>
      </c>
      <c r="M10" t="s">
        <v>72</v>
      </c>
      <c r="N10" s="9">
        <v>5.7643835616438359</v>
      </c>
      <c r="O10" t="s">
        <v>20</v>
      </c>
    </row>
    <row r="11" spans="1:15" x14ac:dyDescent="0.25">
      <c r="C11" t="s">
        <v>608</v>
      </c>
      <c r="D11" t="s">
        <v>283</v>
      </c>
      <c r="E11" t="s">
        <v>284</v>
      </c>
      <c r="F11" t="s">
        <v>24</v>
      </c>
      <c r="G11" t="s">
        <v>25</v>
      </c>
      <c r="H11" s="5">
        <v>80695.740000000005</v>
      </c>
      <c r="I11" t="s">
        <v>26</v>
      </c>
      <c r="J11" s="6">
        <v>43360</v>
      </c>
      <c r="K11">
        <v>1</v>
      </c>
      <c r="L11" t="s">
        <v>18</v>
      </c>
      <c r="M11" t="s">
        <v>72</v>
      </c>
      <c r="N11" s="9">
        <v>5.7643835616438359</v>
      </c>
      <c r="O11" t="s">
        <v>20</v>
      </c>
    </row>
    <row r="12" spans="1:15" x14ac:dyDescent="0.25"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s="5">
        <v>120000</v>
      </c>
      <c r="I12" t="s">
        <v>17</v>
      </c>
      <c r="J12" s="6">
        <v>43416</v>
      </c>
      <c r="K12">
        <v>1</v>
      </c>
      <c r="L12" t="s">
        <v>18</v>
      </c>
      <c r="M12" t="s">
        <v>19</v>
      </c>
      <c r="N12" s="9">
        <v>5.6109589041095891</v>
      </c>
      <c r="O12" t="s">
        <v>20</v>
      </c>
    </row>
    <row r="13" spans="1:15" x14ac:dyDescent="0.25">
      <c r="C13" t="s">
        <v>645</v>
      </c>
      <c r="D13" t="s">
        <v>646</v>
      </c>
      <c r="E13" t="s">
        <v>647</v>
      </c>
      <c r="F13" t="s">
        <v>24</v>
      </c>
      <c r="G13" t="s">
        <v>54</v>
      </c>
      <c r="H13" s="5">
        <v>67905.8</v>
      </c>
      <c r="I13" t="s">
        <v>26</v>
      </c>
      <c r="J13" s="6">
        <v>44194</v>
      </c>
      <c r="K13">
        <v>1</v>
      </c>
      <c r="L13" t="s">
        <v>18</v>
      </c>
      <c r="M13" t="s">
        <v>19</v>
      </c>
      <c r="N13" s="9">
        <v>3.4794520547945207</v>
      </c>
      <c r="O13" t="s">
        <v>20</v>
      </c>
    </row>
    <row r="14" spans="1:15" x14ac:dyDescent="0.25">
      <c r="C14" t="s">
        <v>59</v>
      </c>
      <c r="D14" t="s">
        <v>60</v>
      </c>
      <c r="E14" t="s">
        <v>61</v>
      </c>
      <c r="F14" t="s">
        <v>24</v>
      </c>
      <c r="G14" t="s">
        <v>25</v>
      </c>
      <c r="H14" s="5">
        <v>68980.52</v>
      </c>
      <c r="I14" t="s">
        <v>26</v>
      </c>
      <c r="J14" s="6">
        <v>43494</v>
      </c>
      <c r="K14">
        <v>0.8</v>
      </c>
      <c r="L14" t="s">
        <v>18</v>
      </c>
      <c r="M14" t="s">
        <v>19</v>
      </c>
      <c r="N14" s="9">
        <v>5.397260273972603</v>
      </c>
      <c r="O14" t="s">
        <v>28</v>
      </c>
    </row>
    <row r="15" spans="1:15" x14ac:dyDescent="0.25">
      <c r="C15" t="s">
        <v>225</v>
      </c>
      <c r="D15" t="s">
        <v>226</v>
      </c>
      <c r="E15" t="s">
        <v>227</v>
      </c>
      <c r="F15" t="s">
        <v>24</v>
      </c>
      <c r="G15" t="s">
        <v>131</v>
      </c>
      <c r="H15" s="5">
        <v>63705.4</v>
      </c>
      <c r="I15" t="s">
        <v>26</v>
      </c>
      <c r="J15" s="6">
        <v>43682</v>
      </c>
      <c r="K15">
        <v>1</v>
      </c>
      <c r="L15" t="s">
        <v>18</v>
      </c>
      <c r="M15" t="s">
        <v>41</v>
      </c>
      <c r="N15" s="9">
        <v>4.882191780821918</v>
      </c>
      <c r="O15" t="s">
        <v>20</v>
      </c>
    </row>
    <row r="16" spans="1:15" x14ac:dyDescent="0.25">
      <c r="C16" t="s">
        <v>504</v>
      </c>
      <c r="D16" t="s">
        <v>505</v>
      </c>
      <c r="E16" t="s">
        <v>506</v>
      </c>
      <c r="F16" t="s">
        <v>24</v>
      </c>
      <c r="G16" t="s">
        <v>101</v>
      </c>
      <c r="H16" s="5">
        <v>114177.23</v>
      </c>
      <c r="I16" t="s">
        <v>17</v>
      </c>
      <c r="J16" s="6">
        <v>43908</v>
      </c>
      <c r="K16">
        <v>1</v>
      </c>
      <c r="L16" t="s">
        <v>18</v>
      </c>
      <c r="M16" t="s">
        <v>45</v>
      </c>
      <c r="N16" s="9">
        <v>4.2630136986301368</v>
      </c>
      <c r="O16" t="s">
        <v>20</v>
      </c>
    </row>
    <row r="17" spans="3:15" x14ac:dyDescent="0.25">
      <c r="C17" t="s">
        <v>596</v>
      </c>
      <c r="D17" t="s">
        <v>597</v>
      </c>
      <c r="E17" t="s">
        <v>598</v>
      </c>
      <c r="F17" t="s">
        <v>15</v>
      </c>
      <c r="G17" t="s">
        <v>131</v>
      </c>
      <c r="H17" s="5">
        <v>29774.76</v>
      </c>
      <c r="I17" t="s">
        <v>65</v>
      </c>
      <c r="J17" s="6">
        <v>44105</v>
      </c>
      <c r="K17">
        <v>1</v>
      </c>
      <c r="L17" t="s">
        <v>18</v>
      </c>
      <c r="M17" t="s">
        <v>45</v>
      </c>
      <c r="N17" s="9">
        <v>3.7232876712328768</v>
      </c>
      <c r="O17" t="s">
        <v>20</v>
      </c>
    </row>
    <row r="18" spans="3:15" x14ac:dyDescent="0.25">
      <c r="C18" t="s">
        <v>98</v>
      </c>
      <c r="D18" t="s">
        <v>99</v>
      </c>
      <c r="E18" t="s">
        <v>100</v>
      </c>
      <c r="F18" t="s">
        <v>15</v>
      </c>
      <c r="G18" t="s">
        <v>101</v>
      </c>
      <c r="H18" s="5">
        <v>52963.65</v>
      </c>
      <c r="I18" t="s">
        <v>26</v>
      </c>
      <c r="J18" s="6">
        <v>44288</v>
      </c>
      <c r="K18">
        <v>0.3</v>
      </c>
      <c r="L18" t="s">
        <v>18</v>
      </c>
      <c r="M18" t="s">
        <v>72</v>
      </c>
      <c r="N18" s="9">
        <v>3.2219178082191782</v>
      </c>
      <c r="O18" t="s">
        <v>28</v>
      </c>
    </row>
    <row r="19" spans="3:15" x14ac:dyDescent="0.25">
      <c r="C19" t="s">
        <v>94</v>
      </c>
      <c r="D19" t="s">
        <v>95</v>
      </c>
      <c r="E19" t="s">
        <v>96</v>
      </c>
      <c r="F19" t="s">
        <v>15</v>
      </c>
      <c r="G19" t="s">
        <v>97</v>
      </c>
      <c r="H19" s="5">
        <v>50310.09</v>
      </c>
      <c r="I19" t="s">
        <v>26</v>
      </c>
      <c r="J19" s="6">
        <v>44285</v>
      </c>
      <c r="K19">
        <v>0.4</v>
      </c>
      <c r="L19" t="s">
        <v>18</v>
      </c>
      <c r="M19" t="s">
        <v>41</v>
      </c>
      <c r="N19" s="9">
        <v>3.2301369863013698</v>
      </c>
      <c r="O19" t="s">
        <v>28</v>
      </c>
    </row>
    <row r="20" spans="3:15" x14ac:dyDescent="0.25">
      <c r="C20" t="s">
        <v>291</v>
      </c>
      <c r="D20" t="s">
        <v>292</v>
      </c>
      <c r="E20" t="s">
        <v>293</v>
      </c>
      <c r="F20" t="s">
        <v>24</v>
      </c>
      <c r="G20" t="s">
        <v>58</v>
      </c>
      <c r="H20" s="5">
        <v>84309.95</v>
      </c>
      <c r="I20" t="s">
        <v>26</v>
      </c>
      <c r="J20" s="6">
        <v>44501</v>
      </c>
      <c r="K20">
        <v>1</v>
      </c>
      <c r="L20" t="s">
        <v>18</v>
      </c>
      <c r="M20" t="s">
        <v>19</v>
      </c>
      <c r="N20" s="9">
        <v>2.6383561643835618</v>
      </c>
      <c r="O20" t="s">
        <v>20</v>
      </c>
    </row>
    <row r="21" spans="3:15" x14ac:dyDescent="0.25">
      <c r="C21" t="s">
        <v>590</v>
      </c>
      <c r="D21" t="s">
        <v>591</v>
      </c>
      <c r="E21" t="s">
        <v>592</v>
      </c>
      <c r="F21" t="s">
        <v>15</v>
      </c>
      <c r="G21" t="s">
        <v>101</v>
      </c>
      <c r="H21" s="5">
        <v>35936.31</v>
      </c>
      <c r="I21" t="s">
        <v>65</v>
      </c>
      <c r="J21" s="6">
        <v>43241</v>
      </c>
      <c r="K21">
        <v>1</v>
      </c>
      <c r="L21" t="s">
        <v>18</v>
      </c>
      <c r="M21" t="s">
        <v>84</v>
      </c>
      <c r="N21" s="9">
        <v>6.0904109589041093</v>
      </c>
      <c r="O21" t="s">
        <v>20</v>
      </c>
    </row>
    <row r="22" spans="3:15" x14ac:dyDescent="0.25">
      <c r="C22" t="s">
        <v>276</v>
      </c>
      <c r="D22" t="s">
        <v>277</v>
      </c>
      <c r="E22" t="s">
        <v>278</v>
      </c>
      <c r="F22" t="s">
        <v>15</v>
      </c>
      <c r="G22" t="s">
        <v>16</v>
      </c>
      <c r="H22" s="5">
        <v>112645.99</v>
      </c>
      <c r="I22" t="s">
        <v>17</v>
      </c>
      <c r="J22" s="6">
        <v>43759</v>
      </c>
      <c r="K22">
        <v>0.6</v>
      </c>
      <c r="L22" t="s">
        <v>18</v>
      </c>
      <c r="M22" t="s">
        <v>27</v>
      </c>
      <c r="N22" s="9">
        <v>4.6712328767123283</v>
      </c>
      <c r="O22" t="s">
        <v>28</v>
      </c>
    </row>
    <row r="23" spans="3:15" x14ac:dyDescent="0.25">
      <c r="C23" t="s">
        <v>294</v>
      </c>
      <c r="D23" t="s">
        <v>295</v>
      </c>
      <c r="E23" t="s">
        <v>296</v>
      </c>
      <c r="F23" t="s">
        <v>15</v>
      </c>
      <c r="G23" t="s">
        <v>101</v>
      </c>
      <c r="H23" s="5">
        <v>91645.04</v>
      </c>
      <c r="I23" t="s">
        <v>26</v>
      </c>
      <c r="J23" s="6">
        <v>44223</v>
      </c>
      <c r="K23">
        <v>1</v>
      </c>
      <c r="L23" t="s">
        <v>18</v>
      </c>
      <c r="M23" t="s">
        <v>77</v>
      </c>
      <c r="N23" s="9">
        <v>3.4</v>
      </c>
      <c r="O23" t="s">
        <v>20</v>
      </c>
    </row>
    <row r="24" spans="3:15" x14ac:dyDescent="0.25">
      <c r="C24" t="s">
        <v>548</v>
      </c>
      <c r="D24" t="s">
        <v>549</v>
      </c>
      <c r="E24" t="s">
        <v>550</v>
      </c>
      <c r="F24" t="s">
        <v>24</v>
      </c>
      <c r="G24" t="s">
        <v>16</v>
      </c>
      <c r="H24" s="5">
        <v>97105.19</v>
      </c>
      <c r="I24" t="s">
        <v>26</v>
      </c>
      <c r="J24" s="6">
        <v>44425</v>
      </c>
      <c r="K24">
        <v>1</v>
      </c>
      <c r="L24" t="s">
        <v>18</v>
      </c>
      <c r="M24" t="s">
        <v>72</v>
      </c>
      <c r="N24" s="9">
        <v>2.8465753424657536</v>
      </c>
      <c r="O24" t="s">
        <v>20</v>
      </c>
    </row>
    <row r="25" spans="3:15" x14ac:dyDescent="0.25">
      <c r="C25" t="s">
        <v>698</v>
      </c>
      <c r="D25" t="s">
        <v>699</v>
      </c>
      <c r="E25" t="s">
        <v>700</v>
      </c>
      <c r="F25" t="s">
        <v>15</v>
      </c>
      <c r="G25" t="s">
        <v>32</v>
      </c>
      <c r="H25" s="5">
        <v>84742.86</v>
      </c>
      <c r="I25" t="s">
        <v>26</v>
      </c>
      <c r="J25" s="6">
        <v>44098</v>
      </c>
      <c r="K25">
        <v>1</v>
      </c>
      <c r="L25" t="s">
        <v>18</v>
      </c>
      <c r="M25" t="s">
        <v>77</v>
      </c>
      <c r="N25" s="9">
        <v>3.7424657534246575</v>
      </c>
      <c r="O25" t="s">
        <v>20</v>
      </c>
    </row>
    <row r="26" spans="3:15" x14ac:dyDescent="0.25">
      <c r="C26" t="s">
        <v>246</v>
      </c>
      <c r="D26" t="s">
        <v>247</v>
      </c>
      <c r="E26" t="s">
        <v>248</v>
      </c>
      <c r="F26" t="s">
        <v>15</v>
      </c>
      <c r="G26" t="s">
        <v>25</v>
      </c>
      <c r="H26" s="5">
        <v>85918.61</v>
      </c>
      <c r="I26" t="s">
        <v>26</v>
      </c>
      <c r="J26" s="6">
        <v>43136</v>
      </c>
      <c r="K26">
        <v>1</v>
      </c>
      <c r="L26" t="s">
        <v>18</v>
      </c>
      <c r="M26" t="s">
        <v>72</v>
      </c>
      <c r="N26" s="9">
        <v>6.3780821917808215</v>
      </c>
      <c r="O26" t="s">
        <v>20</v>
      </c>
    </row>
    <row r="27" spans="3:15" x14ac:dyDescent="0.25">
      <c r="C27" t="s">
        <v>609</v>
      </c>
      <c r="D27" t="s">
        <v>610</v>
      </c>
      <c r="E27" t="s">
        <v>611</v>
      </c>
      <c r="F27" t="s">
        <v>24</v>
      </c>
      <c r="G27" t="s">
        <v>124</v>
      </c>
      <c r="H27" s="5">
        <v>72502.61</v>
      </c>
      <c r="I27" t="s">
        <v>26</v>
      </c>
      <c r="J27" s="6">
        <v>44235</v>
      </c>
      <c r="K27">
        <v>1</v>
      </c>
      <c r="L27" t="s">
        <v>18</v>
      </c>
      <c r="M27" t="s">
        <v>45</v>
      </c>
      <c r="N27" s="9">
        <v>3.3671232876712329</v>
      </c>
      <c r="O27" t="s">
        <v>20</v>
      </c>
    </row>
    <row r="28" spans="3:15" x14ac:dyDescent="0.25">
      <c r="C28" t="s">
        <v>666</v>
      </c>
      <c r="D28" t="s">
        <v>667</v>
      </c>
      <c r="E28" t="s">
        <v>668</v>
      </c>
      <c r="F28" t="s">
        <v>15</v>
      </c>
      <c r="G28" t="s">
        <v>32</v>
      </c>
      <c r="H28" s="5">
        <v>77096.05</v>
      </c>
      <c r="I28" t="s">
        <v>26</v>
      </c>
      <c r="J28" s="6">
        <v>43217</v>
      </c>
      <c r="K28">
        <v>1</v>
      </c>
      <c r="L28" t="s">
        <v>18</v>
      </c>
      <c r="M28" t="s">
        <v>84</v>
      </c>
      <c r="N28" s="9">
        <v>6.1561643835616442</v>
      </c>
      <c r="O28" t="s">
        <v>20</v>
      </c>
    </row>
    <row r="29" spans="3:15" x14ac:dyDescent="0.25">
      <c r="C29" t="s">
        <v>141</v>
      </c>
      <c r="D29" t="s">
        <v>142</v>
      </c>
      <c r="E29" t="s">
        <v>143</v>
      </c>
      <c r="F29" t="s">
        <v>24</v>
      </c>
      <c r="G29" t="s">
        <v>58</v>
      </c>
      <c r="H29" s="5">
        <v>50449.46</v>
      </c>
      <c r="I29" t="s">
        <v>26</v>
      </c>
      <c r="J29" s="6">
        <v>43418</v>
      </c>
      <c r="K29">
        <v>0.8</v>
      </c>
      <c r="L29" t="s">
        <v>18</v>
      </c>
      <c r="M29" t="s">
        <v>77</v>
      </c>
      <c r="N29" s="9">
        <v>5.6054794520547944</v>
      </c>
      <c r="O29" t="s">
        <v>28</v>
      </c>
    </row>
    <row r="30" spans="3:15" x14ac:dyDescent="0.25">
      <c r="C30" t="s">
        <v>672</v>
      </c>
      <c r="D30" t="s">
        <v>673</v>
      </c>
      <c r="E30" t="s">
        <v>674</v>
      </c>
      <c r="F30" t="s">
        <v>15</v>
      </c>
      <c r="G30" t="s">
        <v>97</v>
      </c>
      <c r="H30" s="5">
        <v>48525.71</v>
      </c>
      <c r="I30" t="s">
        <v>65</v>
      </c>
      <c r="J30" s="6">
        <v>43264</v>
      </c>
      <c r="K30">
        <v>1</v>
      </c>
      <c r="L30" t="s">
        <v>18</v>
      </c>
      <c r="M30" t="s">
        <v>41</v>
      </c>
      <c r="N30" s="9">
        <v>6.0273972602739727</v>
      </c>
      <c r="O30" t="s">
        <v>20</v>
      </c>
    </row>
    <row r="31" spans="3:15" x14ac:dyDescent="0.25">
      <c r="C31" t="s">
        <v>389</v>
      </c>
      <c r="D31" t="s">
        <v>390</v>
      </c>
      <c r="E31" t="s">
        <v>391</v>
      </c>
      <c r="F31" t="s">
        <v>15</v>
      </c>
      <c r="G31" t="s">
        <v>101</v>
      </c>
      <c r="H31" s="5">
        <v>36547.58</v>
      </c>
      <c r="I31" t="s">
        <v>65</v>
      </c>
      <c r="J31" s="6">
        <v>43416</v>
      </c>
      <c r="K31">
        <v>1</v>
      </c>
      <c r="L31" t="s">
        <v>18</v>
      </c>
      <c r="M31" t="s">
        <v>19</v>
      </c>
      <c r="N31" s="9">
        <v>5.6109589041095891</v>
      </c>
      <c r="O31" t="s">
        <v>20</v>
      </c>
    </row>
    <row r="32" spans="3:15" x14ac:dyDescent="0.25">
      <c r="C32" t="s">
        <v>389</v>
      </c>
      <c r="D32" t="s">
        <v>390</v>
      </c>
      <c r="E32" t="s">
        <v>391</v>
      </c>
      <c r="F32" t="s">
        <v>15</v>
      </c>
      <c r="G32" t="s">
        <v>101</v>
      </c>
      <c r="H32" s="5">
        <v>36547.58</v>
      </c>
      <c r="I32" t="s">
        <v>65</v>
      </c>
      <c r="J32" s="6">
        <v>43416</v>
      </c>
      <c r="K32">
        <v>1</v>
      </c>
      <c r="L32" t="s">
        <v>18</v>
      </c>
      <c r="M32" t="s">
        <v>19</v>
      </c>
      <c r="N32" s="9">
        <v>5.6109589041095891</v>
      </c>
      <c r="O32" t="s">
        <v>20</v>
      </c>
    </row>
    <row r="33" spans="3:15" x14ac:dyDescent="0.25">
      <c r="C33" t="s">
        <v>336</v>
      </c>
      <c r="D33" t="s">
        <v>337</v>
      </c>
      <c r="E33" t="s">
        <v>338</v>
      </c>
      <c r="F33" t="s">
        <v>15</v>
      </c>
      <c r="G33" t="s">
        <v>124</v>
      </c>
      <c r="H33" s="5">
        <v>115191.38</v>
      </c>
      <c r="I33" t="s">
        <v>17</v>
      </c>
      <c r="J33" s="6">
        <v>44004</v>
      </c>
      <c r="K33">
        <v>1</v>
      </c>
      <c r="L33" t="s">
        <v>18</v>
      </c>
      <c r="M33" t="s">
        <v>41</v>
      </c>
      <c r="N33" s="9">
        <v>4</v>
      </c>
      <c r="O33" t="s">
        <v>20</v>
      </c>
    </row>
    <row r="34" spans="3:15" x14ac:dyDescent="0.25">
      <c r="C34" t="s">
        <v>533</v>
      </c>
      <c r="D34" t="s">
        <v>534</v>
      </c>
      <c r="E34" t="s">
        <v>535</v>
      </c>
      <c r="F34" t="s">
        <v>24</v>
      </c>
      <c r="G34" t="s">
        <v>16</v>
      </c>
      <c r="H34" s="5">
        <v>58861.19</v>
      </c>
      <c r="I34" t="s">
        <v>26</v>
      </c>
      <c r="J34" s="6">
        <v>43654</v>
      </c>
      <c r="K34">
        <v>1</v>
      </c>
      <c r="L34" t="s">
        <v>18</v>
      </c>
      <c r="M34" t="s">
        <v>72</v>
      </c>
      <c r="N34" s="9">
        <v>4.9589041095890414</v>
      </c>
      <c r="O34" t="s">
        <v>20</v>
      </c>
    </row>
    <row r="35" spans="3:15" x14ac:dyDescent="0.25">
      <c r="C35" t="s">
        <v>342</v>
      </c>
      <c r="D35" t="s">
        <v>343</v>
      </c>
      <c r="E35" t="s">
        <v>344</v>
      </c>
      <c r="F35" t="s">
        <v>24</v>
      </c>
      <c r="G35" t="s">
        <v>50</v>
      </c>
      <c r="H35" s="5">
        <v>75974.990000000005</v>
      </c>
      <c r="I35" t="s">
        <v>26</v>
      </c>
      <c r="J35" s="6">
        <v>44172</v>
      </c>
      <c r="K35">
        <v>1</v>
      </c>
      <c r="L35" t="s">
        <v>18</v>
      </c>
      <c r="M35" t="s">
        <v>19</v>
      </c>
      <c r="N35" s="9">
        <v>3.5397260273972604</v>
      </c>
      <c r="O35" t="s">
        <v>20</v>
      </c>
    </row>
    <row r="36" spans="3:15" x14ac:dyDescent="0.25">
      <c r="C36" t="s">
        <v>392</v>
      </c>
      <c r="D36" t="s">
        <v>393</v>
      </c>
      <c r="E36" t="s">
        <v>394</v>
      </c>
      <c r="F36" t="s">
        <v>15</v>
      </c>
      <c r="G36" t="s">
        <v>101</v>
      </c>
      <c r="H36" s="5">
        <v>95954.02</v>
      </c>
      <c r="I36" t="s">
        <v>26</v>
      </c>
      <c r="J36" s="6">
        <v>43567</v>
      </c>
      <c r="K36">
        <v>0.3</v>
      </c>
      <c r="L36" t="s">
        <v>18</v>
      </c>
      <c r="M36" t="s">
        <v>41</v>
      </c>
      <c r="N36" s="9">
        <v>5.1972602739726028</v>
      </c>
      <c r="O36" t="s">
        <v>28</v>
      </c>
    </row>
    <row r="37" spans="3:15" x14ac:dyDescent="0.25">
      <c r="C37" t="s">
        <v>189</v>
      </c>
      <c r="D37" t="s">
        <v>190</v>
      </c>
      <c r="E37" t="s">
        <v>191</v>
      </c>
      <c r="F37" t="s">
        <v>24</v>
      </c>
      <c r="G37" t="s">
        <v>36</v>
      </c>
      <c r="H37" s="5">
        <v>102934.09</v>
      </c>
      <c r="I37" t="s">
        <v>17</v>
      </c>
      <c r="J37" s="6">
        <v>44315</v>
      </c>
      <c r="K37">
        <v>1</v>
      </c>
      <c r="L37" t="s">
        <v>18</v>
      </c>
      <c r="M37" t="s">
        <v>41</v>
      </c>
      <c r="N37" s="9">
        <v>3.1479452054794521</v>
      </c>
      <c r="O37" t="s">
        <v>20</v>
      </c>
    </row>
    <row r="38" spans="3:15" x14ac:dyDescent="0.25">
      <c r="C38" t="s">
        <v>575</v>
      </c>
      <c r="D38" t="s">
        <v>319</v>
      </c>
      <c r="E38" t="s">
        <v>320</v>
      </c>
      <c r="F38" t="s">
        <v>24</v>
      </c>
      <c r="G38" t="s">
        <v>105</v>
      </c>
      <c r="H38" s="5">
        <v>41934.71</v>
      </c>
      <c r="I38" t="s">
        <v>65</v>
      </c>
      <c r="J38" s="6">
        <v>43780</v>
      </c>
      <c r="K38">
        <v>1</v>
      </c>
      <c r="L38" t="s">
        <v>18</v>
      </c>
      <c r="M38" t="s">
        <v>19</v>
      </c>
      <c r="N38" s="9">
        <v>4.6136986301369864</v>
      </c>
      <c r="O38" t="s">
        <v>20</v>
      </c>
    </row>
    <row r="39" spans="3:15" x14ac:dyDescent="0.25">
      <c r="C39" t="s">
        <v>121</v>
      </c>
      <c r="D39" t="s">
        <v>122</v>
      </c>
      <c r="E39" t="s">
        <v>123</v>
      </c>
      <c r="F39" t="s">
        <v>15</v>
      </c>
      <c r="G39" t="s">
        <v>124</v>
      </c>
      <c r="H39" s="5">
        <v>104335.03999999999</v>
      </c>
      <c r="I39" t="s">
        <v>17</v>
      </c>
      <c r="J39" s="6">
        <v>43874</v>
      </c>
      <c r="K39">
        <v>1</v>
      </c>
      <c r="L39" t="s">
        <v>18</v>
      </c>
      <c r="M39" t="s">
        <v>72</v>
      </c>
      <c r="N39" s="9">
        <v>4.3561643835616435</v>
      </c>
      <c r="O39" t="s">
        <v>20</v>
      </c>
    </row>
    <row r="40" spans="3:15" x14ac:dyDescent="0.25">
      <c r="C40" t="s">
        <v>445</v>
      </c>
      <c r="D40" t="s">
        <v>446</v>
      </c>
      <c r="E40" t="s">
        <v>447</v>
      </c>
      <c r="F40" t="s">
        <v>24</v>
      </c>
      <c r="G40" t="s">
        <v>32</v>
      </c>
      <c r="H40" s="5">
        <v>81897.789999999994</v>
      </c>
      <c r="I40" t="s">
        <v>26</v>
      </c>
      <c r="J40" s="6">
        <v>43146</v>
      </c>
      <c r="K40">
        <v>1</v>
      </c>
      <c r="L40" t="s">
        <v>18</v>
      </c>
      <c r="M40" t="s">
        <v>77</v>
      </c>
      <c r="N40" s="9">
        <v>6.3506849315068497</v>
      </c>
      <c r="O40" t="s">
        <v>20</v>
      </c>
    </row>
    <row r="41" spans="3:15" x14ac:dyDescent="0.25">
      <c r="C41" t="s">
        <v>707</v>
      </c>
      <c r="D41" t="s">
        <v>708</v>
      </c>
      <c r="E41" t="s">
        <v>709</v>
      </c>
      <c r="F41" t="s">
        <v>24</v>
      </c>
      <c r="G41" t="s">
        <v>16</v>
      </c>
      <c r="H41" s="5">
        <v>78378.2</v>
      </c>
      <c r="I41" t="s">
        <v>26</v>
      </c>
      <c r="J41" s="6">
        <v>43465</v>
      </c>
      <c r="K41">
        <v>0.4</v>
      </c>
      <c r="L41" t="s">
        <v>18</v>
      </c>
      <c r="M41" t="s">
        <v>19</v>
      </c>
      <c r="N41" s="9">
        <v>5.4767123287671229</v>
      </c>
      <c r="O41" t="s">
        <v>28</v>
      </c>
    </row>
    <row r="42" spans="3:15" x14ac:dyDescent="0.25">
      <c r="C42" t="s">
        <v>115</v>
      </c>
      <c r="D42" t="s">
        <v>116</v>
      </c>
      <c r="E42" t="s">
        <v>117</v>
      </c>
      <c r="F42" t="s">
        <v>24</v>
      </c>
      <c r="G42" t="s">
        <v>97</v>
      </c>
      <c r="H42" s="5">
        <v>61994.76</v>
      </c>
      <c r="I42" t="s">
        <v>26</v>
      </c>
      <c r="J42" s="6">
        <v>43794</v>
      </c>
      <c r="K42">
        <v>0.3</v>
      </c>
      <c r="L42" t="s">
        <v>18</v>
      </c>
      <c r="M42" t="s">
        <v>41</v>
      </c>
      <c r="N42" s="9">
        <v>4.5753424657534243</v>
      </c>
      <c r="O42" t="s">
        <v>28</v>
      </c>
    </row>
    <row r="43" spans="3:15" x14ac:dyDescent="0.25">
      <c r="C43" t="s">
        <v>216</v>
      </c>
      <c r="D43" t="s">
        <v>217</v>
      </c>
      <c r="E43" t="s">
        <v>218</v>
      </c>
      <c r="F43" t="s">
        <v>15</v>
      </c>
      <c r="G43" t="s">
        <v>54</v>
      </c>
      <c r="H43" s="5">
        <v>37362.300000000003</v>
      </c>
      <c r="I43" t="s">
        <v>65</v>
      </c>
      <c r="J43" s="6">
        <v>43642</v>
      </c>
      <c r="K43">
        <v>1</v>
      </c>
      <c r="L43" t="s">
        <v>18</v>
      </c>
      <c r="M43" t="s">
        <v>77</v>
      </c>
      <c r="N43" s="9">
        <v>4.9917808219178079</v>
      </c>
      <c r="O43" t="s">
        <v>20</v>
      </c>
    </row>
    <row r="44" spans="3:15" x14ac:dyDescent="0.25">
      <c r="C44" t="s">
        <v>560</v>
      </c>
      <c r="D44" t="s">
        <v>561</v>
      </c>
      <c r="E44" t="s">
        <v>562</v>
      </c>
      <c r="F44" t="s">
        <v>24</v>
      </c>
      <c r="G44" t="s">
        <v>36</v>
      </c>
      <c r="H44" s="5">
        <v>84745.93</v>
      </c>
      <c r="I44" t="s">
        <v>26</v>
      </c>
      <c r="J44" s="6">
        <v>43707</v>
      </c>
      <c r="K44">
        <v>1</v>
      </c>
      <c r="L44" t="s">
        <v>18</v>
      </c>
      <c r="M44" t="s">
        <v>45</v>
      </c>
      <c r="N44" s="9">
        <v>4.8136986301369866</v>
      </c>
      <c r="O44" t="s">
        <v>20</v>
      </c>
    </row>
    <row r="45" spans="3:15" x14ac:dyDescent="0.25">
      <c r="C45" t="s">
        <v>273</v>
      </c>
      <c r="D45" t="s">
        <v>274</v>
      </c>
      <c r="E45" t="s">
        <v>275</v>
      </c>
      <c r="F45" t="s">
        <v>15</v>
      </c>
      <c r="G45" t="s">
        <v>105</v>
      </c>
      <c r="H45" s="5">
        <v>32192.15</v>
      </c>
      <c r="I45" t="s">
        <v>65</v>
      </c>
      <c r="J45" s="6">
        <v>44473</v>
      </c>
      <c r="K45">
        <v>1</v>
      </c>
      <c r="L45" t="s">
        <v>18</v>
      </c>
      <c r="M45" t="s">
        <v>41</v>
      </c>
      <c r="N45" s="9">
        <v>2.7150684931506848</v>
      </c>
      <c r="O45" t="s">
        <v>20</v>
      </c>
    </row>
    <row r="46" spans="3:15" x14ac:dyDescent="0.25">
      <c r="C46" t="s">
        <v>642</v>
      </c>
      <c r="D46" t="s">
        <v>643</v>
      </c>
      <c r="E46" t="s">
        <v>644</v>
      </c>
      <c r="F46" t="s">
        <v>15</v>
      </c>
      <c r="G46" t="s">
        <v>50</v>
      </c>
      <c r="H46" s="5">
        <v>36714.379999999997</v>
      </c>
      <c r="I46" t="s">
        <v>65</v>
      </c>
      <c r="J46" s="6">
        <v>44175</v>
      </c>
      <c r="K46">
        <v>1</v>
      </c>
      <c r="L46" t="s">
        <v>18</v>
      </c>
      <c r="M46" t="s">
        <v>84</v>
      </c>
      <c r="N46" s="9">
        <v>3.5315068493150683</v>
      </c>
      <c r="O46" t="s">
        <v>20</v>
      </c>
    </row>
    <row r="47" spans="3:15" x14ac:dyDescent="0.25">
      <c r="C47" t="s">
        <v>118</v>
      </c>
      <c r="D47" t="s">
        <v>119</v>
      </c>
      <c r="E47" t="s">
        <v>120</v>
      </c>
      <c r="F47" t="s">
        <v>24</v>
      </c>
      <c r="G47" t="s">
        <v>32</v>
      </c>
      <c r="H47" s="5">
        <v>89690.38</v>
      </c>
      <c r="I47" t="s">
        <v>26</v>
      </c>
      <c r="J47" s="6">
        <v>43206</v>
      </c>
      <c r="K47">
        <v>1</v>
      </c>
      <c r="L47" t="s">
        <v>18</v>
      </c>
      <c r="M47" t="s">
        <v>45</v>
      </c>
      <c r="N47" s="9">
        <v>6.1863013698630134</v>
      </c>
      <c r="O47" t="s">
        <v>20</v>
      </c>
    </row>
    <row r="48" spans="3:15" x14ac:dyDescent="0.25">
      <c r="C48" t="s">
        <v>469</v>
      </c>
      <c r="D48" t="s">
        <v>470</v>
      </c>
      <c r="E48" t="s">
        <v>471</v>
      </c>
      <c r="F48" t="s">
        <v>24</v>
      </c>
      <c r="G48" t="s">
        <v>105</v>
      </c>
      <c r="H48" s="5">
        <v>39535.49</v>
      </c>
      <c r="I48" t="s">
        <v>65</v>
      </c>
      <c r="J48" s="6">
        <v>43397</v>
      </c>
      <c r="K48">
        <v>0.3</v>
      </c>
      <c r="L48" t="s">
        <v>18</v>
      </c>
      <c r="M48" t="s">
        <v>19</v>
      </c>
      <c r="N48" s="9">
        <v>5.6630136986301371</v>
      </c>
      <c r="O48" t="s">
        <v>28</v>
      </c>
    </row>
    <row r="49" spans="3:15" x14ac:dyDescent="0.25">
      <c r="C49" t="s">
        <v>102</v>
      </c>
      <c r="D49" t="s">
        <v>103</v>
      </c>
      <c r="E49" t="s">
        <v>104</v>
      </c>
      <c r="F49" t="s">
        <v>15</v>
      </c>
      <c r="G49" t="s">
        <v>105</v>
      </c>
      <c r="H49" s="5">
        <v>62195.47</v>
      </c>
      <c r="I49" t="s">
        <v>26</v>
      </c>
      <c r="J49" s="6">
        <v>44434</v>
      </c>
      <c r="K49">
        <v>1</v>
      </c>
      <c r="L49" t="s">
        <v>18</v>
      </c>
      <c r="M49" t="s">
        <v>19</v>
      </c>
      <c r="N49" s="9">
        <v>2.8219178082191783</v>
      </c>
      <c r="O49" t="s">
        <v>20</v>
      </c>
    </row>
    <row r="50" spans="3:15" x14ac:dyDescent="0.25">
      <c r="C50" t="s">
        <v>721</v>
      </c>
      <c r="D50" t="s">
        <v>220</v>
      </c>
      <c r="E50" t="s">
        <v>221</v>
      </c>
      <c r="F50" t="s">
        <v>15</v>
      </c>
      <c r="G50" t="s">
        <v>97</v>
      </c>
      <c r="H50" s="5">
        <v>72876.91</v>
      </c>
      <c r="I50" t="s">
        <v>26</v>
      </c>
      <c r="J50" s="6">
        <v>43837</v>
      </c>
      <c r="K50">
        <v>1</v>
      </c>
      <c r="L50" t="s">
        <v>18</v>
      </c>
      <c r="M50" t="s">
        <v>19</v>
      </c>
      <c r="N50" s="9">
        <v>4.4575342465753423</v>
      </c>
      <c r="O50" t="s">
        <v>20</v>
      </c>
    </row>
    <row r="51" spans="3:15" x14ac:dyDescent="0.25">
      <c r="C51" t="s">
        <v>321</v>
      </c>
      <c r="D51" t="s">
        <v>322</v>
      </c>
      <c r="E51" t="s">
        <v>323</v>
      </c>
      <c r="F51" t="s">
        <v>15</v>
      </c>
      <c r="G51" t="s">
        <v>131</v>
      </c>
      <c r="H51" s="5">
        <v>66572.58</v>
      </c>
      <c r="I51" t="s">
        <v>26</v>
      </c>
      <c r="J51" s="6">
        <v>44193</v>
      </c>
      <c r="K51">
        <v>1</v>
      </c>
      <c r="L51" t="s">
        <v>18</v>
      </c>
      <c r="M51" t="s">
        <v>84</v>
      </c>
      <c r="N51" s="9">
        <v>3.4821917808219176</v>
      </c>
      <c r="O51" t="s">
        <v>20</v>
      </c>
    </row>
    <row r="52" spans="3:15" x14ac:dyDescent="0.25">
      <c r="C52" t="s">
        <v>321</v>
      </c>
      <c r="D52" t="s">
        <v>713</v>
      </c>
      <c r="E52" t="s">
        <v>714</v>
      </c>
      <c r="F52" t="s">
        <v>15</v>
      </c>
      <c r="G52" t="s">
        <v>131</v>
      </c>
      <c r="H52" s="5">
        <v>66572.58</v>
      </c>
      <c r="I52" t="s">
        <v>26</v>
      </c>
      <c r="J52" s="6">
        <v>44193</v>
      </c>
      <c r="K52">
        <v>1</v>
      </c>
      <c r="L52" t="s">
        <v>18</v>
      </c>
      <c r="M52" t="s">
        <v>84</v>
      </c>
      <c r="N52" s="9">
        <v>3.4821917808219176</v>
      </c>
      <c r="O52" t="s">
        <v>20</v>
      </c>
    </row>
    <row r="53" spans="3:15" x14ac:dyDescent="0.25">
      <c r="C53" t="s">
        <v>198</v>
      </c>
      <c r="D53" t="s">
        <v>199</v>
      </c>
      <c r="E53" t="s">
        <v>200</v>
      </c>
      <c r="F53" t="s">
        <v>24</v>
      </c>
      <c r="G53" t="s">
        <v>97</v>
      </c>
      <c r="H53" s="5">
        <v>35943.620000000003</v>
      </c>
      <c r="I53" t="s">
        <v>65</v>
      </c>
      <c r="J53" s="6">
        <v>44078</v>
      </c>
      <c r="K53">
        <v>1</v>
      </c>
      <c r="L53" t="s">
        <v>18</v>
      </c>
      <c r="M53" t="s">
        <v>72</v>
      </c>
      <c r="N53" s="9">
        <v>3.7972602739726029</v>
      </c>
      <c r="O53" t="s">
        <v>20</v>
      </c>
    </row>
    <row r="54" spans="3:15" x14ac:dyDescent="0.25">
      <c r="C54" t="s">
        <v>501</v>
      </c>
      <c r="D54" t="s">
        <v>502</v>
      </c>
      <c r="E54" t="s">
        <v>503</v>
      </c>
      <c r="F54" t="s">
        <v>15</v>
      </c>
      <c r="G54" t="s">
        <v>101</v>
      </c>
      <c r="H54" s="5">
        <v>119022.49</v>
      </c>
      <c r="I54" t="s">
        <v>17</v>
      </c>
      <c r="J54" s="6">
        <v>44431</v>
      </c>
      <c r="K54">
        <v>1</v>
      </c>
      <c r="L54" t="s">
        <v>18</v>
      </c>
      <c r="M54" t="s">
        <v>77</v>
      </c>
      <c r="N54" s="9">
        <v>2.8301369863013699</v>
      </c>
      <c r="O54" t="s">
        <v>20</v>
      </c>
    </row>
    <row r="55" spans="3:15" x14ac:dyDescent="0.25">
      <c r="C55" t="s">
        <v>258</v>
      </c>
      <c r="D55" t="s">
        <v>259</v>
      </c>
      <c r="E55" t="s">
        <v>260</v>
      </c>
      <c r="F55" t="s">
        <v>15</v>
      </c>
      <c r="G55" t="s">
        <v>54</v>
      </c>
      <c r="H55" s="5">
        <v>65699.02</v>
      </c>
      <c r="I55" t="s">
        <v>26</v>
      </c>
      <c r="J55" s="6">
        <v>43951</v>
      </c>
      <c r="K55">
        <v>1</v>
      </c>
      <c r="L55" t="s">
        <v>18</v>
      </c>
      <c r="M55" t="s">
        <v>72</v>
      </c>
      <c r="N55" s="9">
        <v>4.1452054794520548</v>
      </c>
      <c r="O55" t="s">
        <v>20</v>
      </c>
    </row>
    <row r="56" spans="3:15" x14ac:dyDescent="0.25">
      <c r="C56" t="s">
        <v>728</v>
      </c>
      <c r="D56" t="s">
        <v>729</v>
      </c>
      <c r="E56" t="s">
        <v>730</v>
      </c>
      <c r="F56" t="s">
        <v>24</v>
      </c>
      <c r="G56" t="s">
        <v>105</v>
      </c>
      <c r="H56" s="5">
        <v>47551.89</v>
      </c>
      <c r="I56" t="s">
        <v>65</v>
      </c>
      <c r="J56" s="6">
        <v>43468</v>
      </c>
      <c r="K56">
        <v>1</v>
      </c>
      <c r="L56" t="s">
        <v>18</v>
      </c>
      <c r="M56" t="s">
        <v>77</v>
      </c>
      <c r="N56" s="9">
        <v>5.4684931506849317</v>
      </c>
      <c r="O56" t="s">
        <v>20</v>
      </c>
    </row>
    <row r="57" spans="3:15" x14ac:dyDescent="0.25">
      <c r="C57" t="s">
        <v>282</v>
      </c>
      <c r="D57" t="s">
        <v>283</v>
      </c>
      <c r="E57" t="s">
        <v>284</v>
      </c>
      <c r="F57" t="s">
        <v>24</v>
      </c>
      <c r="G57" t="s">
        <v>25</v>
      </c>
      <c r="H57" s="5">
        <v>80695.740000000005</v>
      </c>
      <c r="I57" t="s">
        <v>26</v>
      </c>
      <c r="J57" s="6">
        <v>43787</v>
      </c>
      <c r="K57">
        <v>0.8</v>
      </c>
      <c r="L57" t="s">
        <v>18</v>
      </c>
      <c r="M57" t="s">
        <v>72</v>
      </c>
      <c r="N57" s="9">
        <v>4.5945205479452058</v>
      </c>
      <c r="O57" t="s">
        <v>28</v>
      </c>
    </row>
    <row r="58" spans="3:15" x14ac:dyDescent="0.25">
      <c r="C58" t="s">
        <v>413</v>
      </c>
      <c r="D58" t="s">
        <v>414</v>
      </c>
      <c r="E58" t="s">
        <v>415</v>
      </c>
      <c r="F58" t="s">
        <v>24</v>
      </c>
      <c r="G58" t="s">
        <v>58</v>
      </c>
      <c r="H58" s="5">
        <v>92336.08</v>
      </c>
      <c r="I58" t="s">
        <v>26</v>
      </c>
      <c r="J58" s="6">
        <v>44431</v>
      </c>
      <c r="K58">
        <v>1</v>
      </c>
      <c r="L58" t="s">
        <v>18</v>
      </c>
      <c r="M58" t="s">
        <v>41</v>
      </c>
      <c r="N58" s="9">
        <v>2.8301369863013699</v>
      </c>
      <c r="O58" t="s">
        <v>20</v>
      </c>
    </row>
    <row r="59" spans="3:15" x14ac:dyDescent="0.25">
      <c r="C59" t="s">
        <v>69</v>
      </c>
      <c r="D59" t="s">
        <v>70</v>
      </c>
      <c r="E59" t="s">
        <v>71</v>
      </c>
      <c r="F59" t="s">
        <v>24</v>
      </c>
      <c r="G59" t="s">
        <v>25</v>
      </c>
      <c r="H59" s="5">
        <v>69192.850000000006</v>
      </c>
      <c r="I59" t="s">
        <v>26</v>
      </c>
      <c r="J59" s="6">
        <v>44305</v>
      </c>
      <c r="K59">
        <v>1</v>
      </c>
      <c r="L59" t="s">
        <v>18</v>
      </c>
      <c r="M59" t="s">
        <v>72</v>
      </c>
      <c r="N59" s="9">
        <v>3.1753424657534248</v>
      </c>
      <c r="O59" t="s">
        <v>20</v>
      </c>
    </row>
    <row r="60" spans="3:15" x14ac:dyDescent="0.25">
      <c r="C60" t="s">
        <v>46</v>
      </c>
      <c r="D60" t="s">
        <v>47</v>
      </c>
      <c r="E60" t="s">
        <v>48</v>
      </c>
      <c r="F60" t="s">
        <v>49</v>
      </c>
      <c r="G60" t="s">
        <v>50</v>
      </c>
      <c r="H60" s="5">
        <v>104802.63</v>
      </c>
      <c r="I60" t="s">
        <v>17</v>
      </c>
      <c r="J60" s="6">
        <v>44502</v>
      </c>
      <c r="K60">
        <v>1</v>
      </c>
      <c r="L60" t="s">
        <v>18</v>
      </c>
      <c r="M60" t="s">
        <v>41</v>
      </c>
      <c r="N60" s="9">
        <v>2.6356164383561644</v>
      </c>
      <c r="O60" t="s">
        <v>20</v>
      </c>
    </row>
    <row r="61" spans="3:15" x14ac:dyDescent="0.25">
      <c r="C61" t="s">
        <v>21</v>
      </c>
      <c r="D61" t="s">
        <v>22</v>
      </c>
      <c r="E61" t="s">
        <v>23</v>
      </c>
      <c r="F61" t="s">
        <v>24</v>
      </c>
      <c r="G61" t="s">
        <v>25</v>
      </c>
      <c r="H61" s="5">
        <v>98000</v>
      </c>
      <c r="I61" t="s">
        <v>26</v>
      </c>
      <c r="J61" s="6">
        <v>43710</v>
      </c>
      <c r="K61">
        <v>0.9</v>
      </c>
      <c r="L61" t="s">
        <v>18</v>
      </c>
      <c r="M61" t="s">
        <v>27</v>
      </c>
      <c r="N61" s="9">
        <v>4.8054794520547945</v>
      </c>
      <c r="O61" t="s">
        <v>28</v>
      </c>
    </row>
    <row r="62" spans="3:15" x14ac:dyDescent="0.25">
      <c r="C62" t="s">
        <v>624</v>
      </c>
      <c r="D62" t="s">
        <v>625</v>
      </c>
      <c r="E62" t="s">
        <v>626</v>
      </c>
      <c r="F62" t="s">
        <v>24</v>
      </c>
      <c r="G62" t="s">
        <v>105</v>
      </c>
      <c r="H62" s="5">
        <v>77045.440000000002</v>
      </c>
      <c r="I62" t="s">
        <v>26</v>
      </c>
      <c r="J62" s="6">
        <v>43636</v>
      </c>
      <c r="K62">
        <v>1</v>
      </c>
      <c r="L62" t="s">
        <v>18</v>
      </c>
      <c r="M62" t="s">
        <v>19</v>
      </c>
      <c r="N62" s="9">
        <v>5.0082191780821921</v>
      </c>
      <c r="O62" t="s">
        <v>20</v>
      </c>
    </row>
    <row r="63" spans="3:15" x14ac:dyDescent="0.25">
      <c r="C63" t="s">
        <v>434</v>
      </c>
      <c r="D63" t="s">
        <v>435</v>
      </c>
      <c r="E63" t="s">
        <v>436</v>
      </c>
      <c r="F63" t="s">
        <v>15</v>
      </c>
      <c r="G63" t="s">
        <v>25</v>
      </c>
      <c r="H63" s="5">
        <v>110042.37</v>
      </c>
      <c r="I63" t="s">
        <v>17</v>
      </c>
      <c r="J63" s="6">
        <v>43914</v>
      </c>
      <c r="K63">
        <v>1</v>
      </c>
      <c r="L63" t="s">
        <v>18</v>
      </c>
      <c r="M63" t="s">
        <v>72</v>
      </c>
      <c r="N63" s="9">
        <v>4.2465753424657535</v>
      </c>
      <c r="O63" t="s">
        <v>20</v>
      </c>
    </row>
    <row r="64" spans="3:15" x14ac:dyDescent="0.25">
      <c r="C64" t="s">
        <v>578</v>
      </c>
      <c r="D64" t="s">
        <v>579</v>
      </c>
      <c r="E64" t="s">
        <v>580</v>
      </c>
      <c r="F64" t="s">
        <v>15</v>
      </c>
      <c r="G64" t="s">
        <v>58</v>
      </c>
      <c r="H64" s="5">
        <v>62281.24</v>
      </c>
      <c r="I64" t="s">
        <v>26</v>
      </c>
      <c r="J64" s="6">
        <v>43272</v>
      </c>
      <c r="K64">
        <v>1</v>
      </c>
      <c r="L64" t="s">
        <v>18</v>
      </c>
      <c r="M64" t="s">
        <v>19</v>
      </c>
      <c r="N64" s="9">
        <v>6.0054794520547947</v>
      </c>
      <c r="O64" t="s">
        <v>20</v>
      </c>
    </row>
    <row r="65" spans="3:15" x14ac:dyDescent="0.25">
      <c r="C65" t="s">
        <v>510</v>
      </c>
      <c r="D65" t="s">
        <v>511</v>
      </c>
      <c r="E65" t="s">
        <v>512</v>
      </c>
      <c r="F65" t="s">
        <v>24</v>
      </c>
      <c r="G65" t="s">
        <v>36</v>
      </c>
      <c r="H65" s="5">
        <v>86010.54</v>
      </c>
      <c r="I65" t="s">
        <v>26</v>
      </c>
      <c r="J65" s="6">
        <v>43164</v>
      </c>
      <c r="K65">
        <v>1</v>
      </c>
      <c r="L65" t="s">
        <v>18</v>
      </c>
      <c r="M65" t="s">
        <v>84</v>
      </c>
      <c r="N65" s="9">
        <v>6.3013698630136989</v>
      </c>
      <c r="O65" t="s">
        <v>20</v>
      </c>
    </row>
    <row r="66" spans="3:15" x14ac:dyDescent="0.25">
      <c r="C66" t="s">
        <v>42</v>
      </c>
      <c r="D66" t="s">
        <v>43</v>
      </c>
      <c r="E66" t="s">
        <v>44</v>
      </c>
      <c r="F66" t="s">
        <v>15</v>
      </c>
      <c r="G66" t="s">
        <v>16</v>
      </c>
      <c r="H66" s="5">
        <v>118976.16</v>
      </c>
      <c r="I66" t="s">
        <v>17</v>
      </c>
      <c r="J66" s="6">
        <v>44120</v>
      </c>
      <c r="K66">
        <v>1</v>
      </c>
      <c r="L66" t="s">
        <v>18</v>
      </c>
      <c r="M66" t="s">
        <v>45</v>
      </c>
      <c r="N66" s="9">
        <v>3.6821917808219178</v>
      </c>
      <c r="O66" t="s">
        <v>20</v>
      </c>
    </row>
    <row r="67" spans="3:15" x14ac:dyDescent="0.25">
      <c r="C67" t="s">
        <v>605</v>
      </c>
      <c r="D67" t="s">
        <v>606</v>
      </c>
      <c r="E67" t="s">
        <v>607</v>
      </c>
      <c r="F67" t="s">
        <v>24</v>
      </c>
      <c r="G67" t="s">
        <v>32</v>
      </c>
      <c r="H67" s="5">
        <v>71229.42</v>
      </c>
      <c r="I67" t="s">
        <v>26</v>
      </c>
      <c r="J67" s="6">
        <v>44166</v>
      </c>
      <c r="K67">
        <v>1</v>
      </c>
      <c r="L67" t="s">
        <v>18</v>
      </c>
      <c r="M67" t="s">
        <v>41</v>
      </c>
      <c r="N67" s="9">
        <v>3.5561643835616437</v>
      </c>
      <c r="O67" t="s">
        <v>20</v>
      </c>
    </row>
    <row r="68" spans="3:15" x14ac:dyDescent="0.25">
      <c r="C68" t="s">
        <v>657</v>
      </c>
      <c r="D68" t="s">
        <v>658</v>
      </c>
      <c r="E68" t="s">
        <v>659</v>
      </c>
      <c r="F68" t="s">
        <v>24</v>
      </c>
      <c r="G68" t="s">
        <v>131</v>
      </c>
      <c r="H68" s="5">
        <v>61213.01</v>
      </c>
      <c r="I68" t="s">
        <v>26</v>
      </c>
      <c r="J68" s="6">
        <v>44365</v>
      </c>
      <c r="K68">
        <v>1</v>
      </c>
      <c r="L68" t="s">
        <v>18</v>
      </c>
      <c r="M68" t="s">
        <v>84</v>
      </c>
      <c r="N68" s="9">
        <v>3.010958904109589</v>
      </c>
      <c r="O68" t="s">
        <v>20</v>
      </c>
    </row>
    <row r="69" spans="3:15" x14ac:dyDescent="0.25">
      <c r="C69" t="s">
        <v>186</v>
      </c>
      <c r="D69" t="s">
        <v>187</v>
      </c>
      <c r="E69" t="s">
        <v>188</v>
      </c>
      <c r="F69" t="s">
        <v>15</v>
      </c>
      <c r="G69" t="s">
        <v>54</v>
      </c>
      <c r="H69" s="5">
        <v>40753.54</v>
      </c>
      <c r="I69" t="s">
        <v>65</v>
      </c>
      <c r="J69" s="6">
        <v>43152</v>
      </c>
      <c r="K69">
        <v>0.6</v>
      </c>
      <c r="L69" t="s">
        <v>18</v>
      </c>
      <c r="M69" t="s">
        <v>45</v>
      </c>
      <c r="N69" s="9">
        <v>6.3342465753424655</v>
      </c>
      <c r="O69" t="s">
        <v>28</v>
      </c>
    </row>
    <row r="70" spans="3:15" x14ac:dyDescent="0.25">
      <c r="C70" t="s">
        <v>318</v>
      </c>
      <c r="D70" t="s">
        <v>319</v>
      </c>
      <c r="E70" t="s">
        <v>320</v>
      </c>
      <c r="F70" t="s">
        <v>24</v>
      </c>
      <c r="G70" t="s">
        <v>105</v>
      </c>
      <c r="H70" s="5">
        <v>41934.71</v>
      </c>
      <c r="I70" t="s">
        <v>65</v>
      </c>
      <c r="J70" s="6">
        <v>43943</v>
      </c>
      <c r="K70">
        <v>1</v>
      </c>
      <c r="L70" t="s">
        <v>18</v>
      </c>
      <c r="M70" t="s">
        <v>19</v>
      </c>
      <c r="N70" s="9">
        <v>4.1671232876712327</v>
      </c>
      <c r="O70" t="s">
        <v>20</v>
      </c>
    </row>
    <row r="71" spans="3:15" x14ac:dyDescent="0.25">
      <c r="C71" t="s">
        <v>339</v>
      </c>
      <c r="D71" t="s">
        <v>340</v>
      </c>
      <c r="E71" t="s">
        <v>341</v>
      </c>
      <c r="F71" t="s">
        <v>24</v>
      </c>
      <c r="G71" t="s">
        <v>131</v>
      </c>
      <c r="H71" s="5">
        <v>111049.84</v>
      </c>
      <c r="I71" t="s">
        <v>17</v>
      </c>
      <c r="J71" s="6">
        <v>44393</v>
      </c>
      <c r="K71">
        <v>1</v>
      </c>
      <c r="L71" t="s">
        <v>18</v>
      </c>
      <c r="M71" t="s">
        <v>45</v>
      </c>
      <c r="N71" s="9">
        <v>2.9342465753424656</v>
      </c>
      <c r="O71" t="s">
        <v>20</v>
      </c>
    </row>
    <row r="72" spans="3:15" x14ac:dyDescent="0.25">
      <c r="C72" t="s">
        <v>55</v>
      </c>
      <c r="D72" t="s">
        <v>56</v>
      </c>
      <c r="E72" t="s">
        <v>57</v>
      </c>
      <c r="F72" t="s">
        <v>15</v>
      </c>
      <c r="G72" t="s">
        <v>58</v>
      </c>
      <c r="H72" s="5">
        <v>74279.009999999995</v>
      </c>
      <c r="I72" t="s">
        <v>26</v>
      </c>
      <c r="J72" s="6">
        <v>43466</v>
      </c>
      <c r="K72">
        <v>1</v>
      </c>
      <c r="L72" t="s">
        <v>18</v>
      </c>
      <c r="M72" t="s">
        <v>45</v>
      </c>
      <c r="N72" s="9">
        <v>5.4739726027397264</v>
      </c>
      <c r="O72" t="s">
        <v>20</v>
      </c>
    </row>
    <row r="73" spans="3:15" x14ac:dyDescent="0.25">
      <c r="C73" t="s">
        <v>78</v>
      </c>
      <c r="D73" t="s">
        <v>79</v>
      </c>
      <c r="E73" t="s">
        <v>80</v>
      </c>
      <c r="F73" t="s">
        <v>15</v>
      </c>
      <c r="G73" t="s">
        <v>50</v>
      </c>
      <c r="H73" s="5">
        <v>54137.05</v>
      </c>
      <c r="I73" t="s">
        <v>26</v>
      </c>
      <c r="J73" s="6">
        <v>43763</v>
      </c>
      <c r="K73">
        <v>1</v>
      </c>
      <c r="L73" t="s">
        <v>18</v>
      </c>
      <c r="M73" t="s">
        <v>19</v>
      </c>
      <c r="N73" s="9">
        <v>4.6602739726027398</v>
      </c>
      <c r="O73" t="s">
        <v>20</v>
      </c>
    </row>
    <row r="74" spans="3:15" x14ac:dyDescent="0.25">
      <c r="C74" t="s">
        <v>365</v>
      </c>
      <c r="D74" t="s">
        <v>366</v>
      </c>
      <c r="E74" t="s">
        <v>367</v>
      </c>
      <c r="F74" t="s">
        <v>24</v>
      </c>
      <c r="G74" t="s">
        <v>32</v>
      </c>
      <c r="H74" s="5">
        <v>89690.38</v>
      </c>
      <c r="I74" t="s">
        <v>26</v>
      </c>
      <c r="J74" s="6">
        <v>43213</v>
      </c>
      <c r="K74">
        <v>1</v>
      </c>
      <c r="L74" t="s">
        <v>18</v>
      </c>
      <c r="M74" t="s">
        <v>41</v>
      </c>
      <c r="N74" s="9">
        <v>6.1671232876712327</v>
      </c>
      <c r="O74" t="s">
        <v>20</v>
      </c>
    </row>
    <row r="75" spans="3:15" x14ac:dyDescent="0.25">
      <c r="C75" t="s">
        <v>210</v>
      </c>
      <c r="D75" t="s">
        <v>211</v>
      </c>
      <c r="E75" t="s">
        <v>212</v>
      </c>
      <c r="F75" t="s">
        <v>24</v>
      </c>
      <c r="G75" t="s">
        <v>124</v>
      </c>
      <c r="H75" s="5">
        <v>38438.239999999998</v>
      </c>
      <c r="I75" t="s">
        <v>65</v>
      </c>
      <c r="J75" s="6">
        <v>43962</v>
      </c>
      <c r="K75">
        <v>1</v>
      </c>
      <c r="L75" t="s">
        <v>18</v>
      </c>
      <c r="M75" t="s">
        <v>84</v>
      </c>
      <c r="N75" s="9">
        <v>4.1150684931506847</v>
      </c>
      <c r="O75" t="s">
        <v>20</v>
      </c>
    </row>
    <row r="76" spans="3:15" x14ac:dyDescent="0.25">
      <c r="C76" t="s">
        <v>210</v>
      </c>
      <c r="D76" t="s">
        <v>490</v>
      </c>
      <c r="E76" t="s">
        <v>491</v>
      </c>
      <c r="F76" t="s">
        <v>24</v>
      </c>
      <c r="G76" t="s">
        <v>124</v>
      </c>
      <c r="H76" s="5">
        <v>38438.239999999998</v>
      </c>
      <c r="I76" t="s">
        <v>65</v>
      </c>
      <c r="J76" s="6">
        <v>43962</v>
      </c>
      <c r="K76">
        <v>1</v>
      </c>
      <c r="L76" t="s">
        <v>18</v>
      </c>
      <c r="M76" t="s">
        <v>84</v>
      </c>
      <c r="N76" s="9">
        <v>4.1150684931506847</v>
      </c>
      <c r="O76" t="s">
        <v>20</v>
      </c>
    </row>
    <row r="77" spans="3:15" x14ac:dyDescent="0.25">
      <c r="C77" t="s">
        <v>407</v>
      </c>
      <c r="D77" t="s">
        <v>408</v>
      </c>
      <c r="E77" t="s">
        <v>409</v>
      </c>
      <c r="F77" t="s">
        <v>24</v>
      </c>
      <c r="G77" t="s">
        <v>58</v>
      </c>
      <c r="H77" s="5">
        <v>44447.26</v>
      </c>
      <c r="I77" t="s">
        <v>65</v>
      </c>
      <c r="J77" s="6">
        <v>43846</v>
      </c>
      <c r="K77">
        <v>0.4</v>
      </c>
      <c r="L77" t="s">
        <v>18</v>
      </c>
      <c r="M77" t="s">
        <v>27</v>
      </c>
      <c r="N77" s="9">
        <v>4.4328767123287669</v>
      </c>
      <c r="O77" t="s">
        <v>28</v>
      </c>
    </row>
    <row r="78" spans="3:15" x14ac:dyDescent="0.25">
      <c r="C78" t="s">
        <v>419</v>
      </c>
      <c r="D78" t="s">
        <v>420</v>
      </c>
      <c r="E78" t="s">
        <v>421</v>
      </c>
      <c r="F78" t="s">
        <v>15</v>
      </c>
      <c r="G78" t="s">
        <v>124</v>
      </c>
      <c r="H78" s="5">
        <v>74924.649999999994</v>
      </c>
      <c r="I78" t="s">
        <v>26</v>
      </c>
      <c r="J78" s="6">
        <v>44239</v>
      </c>
      <c r="K78">
        <v>1</v>
      </c>
      <c r="L78" t="s">
        <v>18</v>
      </c>
      <c r="M78" t="s">
        <v>41</v>
      </c>
      <c r="N78" s="9">
        <v>3.3561643835616439</v>
      </c>
      <c r="O78" t="s">
        <v>20</v>
      </c>
    </row>
    <row r="79" spans="3:15" x14ac:dyDescent="0.25">
      <c r="C79" t="s">
        <v>162</v>
      </c>
      <c r="D79" t="s">
        <v>163</v>
      </c>
      <c r="E79" t="s">
        <v>164</v>
      </c>
      <c r="F79" t="s">
        <v>15</v>
      </c>
      <c r="G79" t="s">
        <v>97</v>
      </c>
      <c r="H79" s="5">
        <v>86556.96</v>
      </c>
      <c r="I79" t="s">
        <v>26</v>
      </c>
      <c r="J79" s="6">
        <v>44104</v>
      </c>
      <c r="K79">
        <v>1</v>
      </c>
      <c r="L79" t="s">
        <v>18</v>
      </c>
      <c r="M79" t="s">
        <v>41</v>
      </c>
      <c r="N79" s="9">
        <v>3.7260273972602738</v>
      </c>
      <c r="O79" t="s">
        <v>20</v>
      </c>
    </row>
    <row r="80" spans="3:15" x14ac:dyDescent="0.25">
      <c r="C80" t="s">
        <v>416</v>
      </c>
      <c r="D80" t="s">
        <v>417</v>
      </c>
      <c r="E80" t="s">
        <v>418</v>
      </c>
      <c r="F80" t="s">
        <v>24</v>
      </c>
      <c r="G80" t="s">
        <v>54</v>
      </c>
      <c r="H80" s="5">
        <v>68008.55</v>
      </c>
      <c r="I80" t="s">
        <v>26</v>
      </c>
      <c r="J80" s="6">
        <v>44062</v>
      </c>
      <c r="K80">
        <v>1</v>
      </c>
      <c r="L80" t="s">
        <v>18</v>
      </c>
      <c r="M80" t="s">
        <v>77</v>
      </c>
      <c r="N80" s="9">
        <v>3.8410958904109589</v>
      </c>
      <c r="O80" t="s">
        <v>20</v>
      </c>
    </row>
    <row r="81" spans="3:15" x14ac:dyDescent="0.25">
      <c r="C81" t="s">
        <v>128</v>
      </c>
      <c r="D81" t="s">
        <v>129</v>
      </c>
      <c r="E81" t="s">
        <v>130</v>
      </c>
      <c r="F81" t="s">
        <v>15</v>
      </c>
      <c r="G81" t="s">
        <v>131</v>
      </c>
      <c r="H81" s="5">
        <v>90697.67</v>
      </c>
      <c r="I81" t="s">
        <v>26</v>
      </c>
      <c r="J81" s="6">
        <v>44221</v>
      </c>
      <c r="K81">
        <v>0.8</v>
      </c>
      <c r="L81" t="s">
        <v>18</v>
      </c>
      <c r="M81" t="s">
        <v>27</v>
      </c>
      <c r="N81" s="9">
        <v>3.4054794520547946</v>
      </c>
      <c r="O81" t="s">
        <v>28</v>
      </c>
    </row>
    <row r="82" spans="3:15" x14ac:dyDescent="0.25">
      <c r="C82" t="s">
        <v>183</v>
      </c>
      <c r="D82" t="s">
        <v>184</v>
      </c>
      <c r="E82" t="s">
        <v>185</v>
      </c>
      <c r="F82" t="s">
        <v>24</v>
      </c>
      <c r="G82" t="s">
        <v>16</v>
      </c>
      <c r="H82" s="5">
        <v>44403.77</v>
      </c>
      <c r="I82" t="s">
        <v>65</v>
      </c>
      <c r="J82" s="6">
        <v>43416</v>
      </c>
      <c r="K82">
        <v>1</v>
      </c>
      <c r="L82" t="s">
        <v>18</v>
      </c>
      <c r="M82" t="s">
        <v>41</v>
      </c>
      <c r="N82" s="9">
        <v>5.6109589041095891</v>
      </c>
      <c r="O82" t="s">
        <v>20</v>
      </c>
    </row>
    <row r="83" spans="3:15" x14ac:dyDescent="0.25">
      <c r="C83" t="s">
        <v>351</v>
      </c>
      <c r="D83" t="s">
        <v>352</v>
      </c>
      <c r="E83" t="s">
        <v>353</v>
      </c>
      <c r="F83" t="s">
        <v>15</v>
      </c>
      <c r="G83" t="s">
        <v>101</v>
      </c>
      <c r="H83" s="5">
        <v>49915.14</v>
      </c>
      <c r="I83" t="s">
        <v>65</v>
      </c>
      <c r="J83" s="6">
        <v>43550</v>
      </c>
      <c r="K83">
        <v>1</v>
      </c>
      <c r="L83" t="s">
        <v>18</v>
      </c>
      <c r="M83" t="s">
        <v>19</v>
      </c>
      <c r="N83" s="9">
        <v>5.2438356164383562</v>
      </c>
      <c r="O83" t="s">
        <v>20</v>
      </c>
    </row>
    <row r="84" spans="3:15" x14ac:dyDescent="0.25">
      <c r="C84" t="s">
        <v>147</v>
      </c>
      <c r="D84" t="s">
        <v>148</v>
      </c>
      <c r="E84" t="s">
        <v>149</v>
      </c>
      <c r="F84" t="s">
        <v>15</v>
      </c>
      <c r="G84" t="s">
        <v>131</v>
      </c>
      <c r="H84" s="5">
        <v>113616.23</v>
      </c>
      <c r="I84" t="s">
        <v>17</v>
      </c>
      <c r="J84" s="6">
        <v>43255</v>
      </c>
      <c r="K84">
        <v>1</v>
      </c>
      <c r="L84" t="s">
        <v>18</v>
      </c>
      <c r="M84" t="s">
        <v>19</v>
      </c>
      <c r="N84" s="9">
        <v>6.0520547945205481</v>
      </c>
      <c r="O84" t="s">
        <v>20</v>
      </c>
    </row>
    <row r="85" spans="3:15" x14ac:dyDescent="0.25">
      <c r="C85" t="s">
        <v>192</v>
      </c>
      <c r="D85" t="s">
        <v>193</v>
      </c>
      <c r="E85" t="s">
        <v>194</v>
      </c>
      <c r="F85" t="s">
        <v>15</v>
      </c>
      <c r="G85" t="s">
        <v>105</v>
      </c>
      <c r="H85" s="5">
        <v>68860.399999999994</v>
      </c>
      <c r="I85" t="s">
        <v>26</v>
      </c>
      <c r="J85" s="6">
        <v>43508</v>
      </c>
      <c r="K85">
        <v>0.4</v>
      </c>
      <c r="L85" t="s">
        <v>18</v>
      </c>
      <c r="M85" t="s">
        <v>72</v>
      </c>
      <c r="N85" s="9">
        <v>5.3589041095890408</v>
      </c>
      <c r="O85" t="s">
        <v>28</v>
      </c>
    </row>
    <row r="86" spans="3:15" x14ac:dyDescent="0.25">
      <c r="C86" t="s">
        <v>348</v>
      </c>
      <c r="D86" t="s">
        <v>349</v>
      </c>
      <c r="E86" t="s">
        <v>350</v>
      </c>
      <c r="F86" t="s">
        <v>15</v>
      </c>
      <c r="G86" t="s">
        <v>25</v>
      </c>
      <c r="H86" s="5">
        <v>71371.37</v>
      </c>
      <c r="I86" t="s">
        <v>26</v>
      </c>
      <c r="J86" s="6">
        <v>43392</v>
      </c>
      <c r="K86">
        <v>1</v>
      </c>
      <c r="L86" t="s">
        <v>18</v>
      </c>
      <c r="M86" t="s">
        <v>41</v>
      </c>
      <c r="N86" s="9">
        <v>5.6767123287671231</v>
      </c>
      <c r="O86" t="s">
        <v>20</v>
      </c>
    </row>
    <row r="87" spans="3:15" x14ac:dyDescent="0.25">
      <c r="C87" t="s">
        <v>566</v>
      </c>
      <c r="D87" t="s">
        <v>567</v>
      </c>
      <c r="E87" t="s">
        <v>568</v>
      </c>
      <c r="F87" t="s">
        <v>24</v>
      </c>
      <c r="G87" t="s">
        <v>32</v>
      </c>
      <c r="H87" s="5">
        <v>32269.91</v>
      </c>
      <c r="I87" t="s">
        <v>65</v>
      </c>
      <c r="J87" s="6">
        <v>43346</v>
      </c>
      <c r="K87">
        <v>1</v>
      </c>
      <c r="L87" t="s">
        <v>18</v>
      </c>
      <c r="M87" t="s">
        <v>19</v>
      </c>
      <c r="N87" s="9">
        <v>5.8027397260273972</v>
      </c>
      <c r="O87" t="s">
        <v>20</v>
      </c>
    </row>
    <row r="88" spans="3:15" x14ac:dyDescent="0.25">
      <c r="C88" t="s">
        <v>431</v>
      </c>
      <c r="D88" t="s">
        <v>432</v>
      </c>
      <c r="E88" t="s">
        <v>433</v>
      </c>
      <c r="F88" t="s">
        <v>15</v>
      </c>
      <c r="G88" t="s">
        <v>124</v>
      </c>
      <c r="H88" s="5">
        <v>31241.24</v>
      </c>
      <c r="I88" t="s">
        <v>65</v>
      </c>
      <c r="J88" s="6">
        <v>43725</v>
      </c>
      <c r="K88">
        <v>1</v>
      </c>
      <c r="L88" t="s">
        <v>18</v>
      </c>
      <c r="M88" t="s">
        <v>19</v>
      </c>
      <c r="N88" s="9">
        <v>4.7643835616438359</v>
      </c>
      <c r="O88" t="s">
        <v>20</v>
      </c>
    </row>
    <row r="89" spans="3:15" x14ac:dyDescent="0.25">
      <c r="C89" t="s">
        <v>51</v>
      </c>
      <c r="D89" t="s">
        <v>52</v>
      </c>
      <c r="E89" t="s">
        <v>53</v>
      </c>
      <c r="F89" t="s">
        <v>24</v>
      </c>
      <c r="G89" t="s">
        <v>54</v>
      </c>
      <c r="H89" s="5">
        <v>66017.179999999993</v>
      </c>
      <c r="I89" t="s">
        <v>26</v>
      </c>
      <c r="J89" s="6">
        <v>43643</v>
      </c>
      <c r="K89">
        <v>0.9</v>
      </c>
      <c r="L89" t="s">
        <v>18</v>
      </c>
      <c r="M89" t="s">
        <v>19</v>
      </c>
      <c r="N89" s="9">
        <v>4.9890410958904106</v>
      </c>
      <c r="O89" t="s">
        <v>28</v>
      </c>
    </row>
    <row r="90" spans="3:15" x14ac:dyDescent="0.25">
      <c r="C90" t="s">
        <v>410</v>
      </c>
      <c r="D90" t="s">
        <v>411</v>
      </c>
      <c r="E90" t="s">
        <v>412</v>
      </c>
      <c r="F90" t="s">
        <v>15</v>
      </c>
      <c r="G90" t="s">
        <v>124</v>
      </c>
      <c r="H90" s="5">
        <v>40445.29</v>
      </c>
      <c r="I90" t="s">
        <v>65</v>
      </c>
      <c r="J90" s="6">
        <v>44393</v>
      </c>
      <c r="K90">
        <v>1</v>
      </c>
      <c r="L90" t="s">
        <v>18</v>
      </c>
      <c r="M90" t="s">
        <v>84</v>
      </c>
      <c r="N90" s="9">
        <v>2.9342465753424656</v>
      </c>
      <c r="O90" t="s">
        <v>20</v>
      </c>
    </row>
    <row r="91" spans="3:15" x14ac:dyDescent="0.25">
      <c r="C91" t="s">
        <v>410</v>
      </c>
      <c r="D91" t="s">
        <v>680</v>
      </c>
      <c r="E91" t="s">
        <v>681</v>
      </c>
      <c r="F91" t="s">
        <v>15</v>
      </c>
      <c r="G91" t="s">
        <v>124</v>
      </c>
      <c r="H91" s="5">
        <v>40445.29</v>
      </c>
      <c r="I91" t="s">
        <v>65</v>
      </c>
      <c r="J91" s="6">
        <v>44393</v>
      </c>
      <c r="K91">
        <v>1</v>
      </c>
      <c r="L91" t="s">
        <v>18</v>
      </c>
      <c r="M91" t="s">
        <v>84</v>
      </c>
      <c r="N91" s="9">
        <v>2.9342465753424656</v>
      </c>
      <c r="O91" t="s">
        <v>20</v>
      </c>
    </row>
    <row r="92" spans="3:15" x14ac:dyDescent="0.25">
      <c r="C92" t="s">
        <v>654</v>
      </c>
      <c r="D92" t="s">
        <v>655</v>
      </c>
      <c r="E92" t="s">
        <v>656</v>
      </c>
      <c r="F92" t="s">
        <v>15</v>
      </c>
      <c r="G92" t="s">
        <v>97</v>
      </c>
      <c r="H92" s="5">
        <v>103494.94</v>
      </c>
      <c r="I92" t="s">
        <v>17</v>
      </c>
      <c r="J92" s="6">
        <v>43256</v>
      </c>
      <c r="K92">
        <v>1</v>
      </c>
      <c r="L92" t="s">
        <v>18</v>
      </c>
      <c r="M92" t="s">
        <v>19</v>
      </c>
      <c r="N92" s="9">
        <v>6.0493150684931507</v>
      </c>
      <c r="O92" t="s">
        <v>20</v>
      </c>
    </row>
    <row r="93" spans="3:15" x14ac:dyDescent="0.25">
      <c r="C93" t="s">
        <v>654</v>
      </c>
      <c r="D93" t="s">
        <v>655</v>
      </c>
      <c r="E93" t="s">
        <v>656</v>
      </c>
      <c r="F93" t="s">
        <v>15</v>
      </c>
      <c r="G93" t="s">
        <v>97</v>
      </c>
      <c r="H93" s="5">
        <v>103494.94</v>
      </c>
      <c r="I93" t="s">
        <v>17</v>
      </c>
      <c r="J93" s="6">
        <v>43256</v>
      </c>
      <c r="K93">
        <v>1</v>
      </c>
      <c r="L93" t="s">
        <v>18</v>
      </c>
      <c r="M93" t="s">
        <v>19</v>
      </c>
      <c r="N93" s="9">
        <v>6.0493150684931507</v>
      </c>
      <c r="O93" t="s">
        <v>20</v>
      </c>
    </row>
    <row r="94" spans="3:15" x14ac:dyDescent="0.25">
      <c r="C94" t="s">
        <v>557</v>
      </c>
      <c r="D94" t="s">
        <v>558</v>
      </c>
      <c r="E94" t="s">
        <v>559</v>
      </c>
      <c r="F94" t="s">
        <v>24</v>
      </c>
      <c r="G94" t="s">
        <v>16</v>
      </c>
      <c r="H94" s="5">
        <v>118442.54</v>
      </c>
      <c r="I94" t="s">
        <v>17</v>
      </c>
      <c r="J94" s="6">
        <v>44193</v>
      </c>
      <c r="K94">
        <v>1</v>
      </c>
      <c r="L94" t="s">
        <v>18</v>
      </c>
      <c r="M94" t="s">
        <v>77</v>
      </c>
      <c r="N94" s="9">
        <v>3.4821917808219176</v>
      </c>
      <c r="O94" t="s">
        <v>20</v>
      </c>
    </row>
    <row r="95" spans="3:15" x14ac:dyDescent="0.25">
      <c r="C95" t="s">
        <v>333</v>
      </c>
      <c r="D95" t="s">
        <v>334</v>
      </c>
      <c r="E95" t="s">
        <v>335</v>
      </c>
      <c r="F95" t="s">
        <v>24</v>
      </c>
      <c r="G95" t="s">
        <v>101</v>
      </c>
      <c r="H95" s="5">
        <v>44845.33</v>
      </c>
      <c r="I95" t="s">
        <v>65</v>
      </c>
      <c r="J95" s="6">
        <v>43277</v>
      </c>
      <c r="K95">
        <v>1</v>
      </c>
      <c r="L95" t="s">
        <v>18</v>
      </c>
      <c r="M95" t="s">
        <v>27</v>
      </c>
      <c r="N95" s="9">
        <v>5.9917808219178079</v>
      </c>
      <c r="O95" t="s">
        <v>20</v>
      </c>
    </row>
    <row r="96" spans="3:15" x14ac:dyDescent="0.25">
      <c r="C96" t="s">
        <v>204</v>
      </c>
      <c r="D96" t="s">
        <v>205</v>
      </c>
      <c r="E96" t="s">
        <v>206</v>
      </c>
      <c r="F96" t="s">
        <v>15</v>
      </c>
      <c r="G96" t="s">
        <v>58</v>
      </c>
      <c r="H96" s="5">
        <v>85455.53</v>
      </c>
      <c r="I96" t="s">
        <v>26</v>
      </c>
      <c r="J96" s="6">
        <v>43839</v>
      </c>
      <c r="K96">
        <v>1</v>
      </c>
      <c r="L96" t="s">
        <v>18</v>
      </c>
      <c r="M96" t="s">
        <v>45</v>
      </c>
      <c r="N96" s="9">
        <v>4.4520547945205475</v>
      </c>
      <c r="O96" t="s">
        <v>20</v>
      </c>
    </row>
    <row r="97" spans="3:15" x14ac:dyDescent="0.25">
      <c r="C97" t="s">
        <v>648</v>
      </c>
      <c r="D97" t="s">
        <v>649</v>
      </c>
      <c r="E97" t="s">
        <v>650</v>
      </c>
      <c r="F97" t="s">
        <v>15</v>
      </c>
      <c r="G97" t="s">
        <v>97</v>
      </c>
      <c r="H97" s="5">
        <v>69862.38</v>
      </c>
      <c r="I97" t="s">
        <v>26</v>
      </c>
      <c r="J97" s="6">
        <v>43458</v>
      </c>
      <c r="K97">
        <v>1</v>
      </c>
      <c r="L97" t="s">
        <v>18</v>
      </c>
      <c r="M97" t="s">
        <v>45</v>
      </c>
      <c r="N97" s="9">
        <v>5.4958904109589044</v>
      </c>
      <c r="O97" t="s">
        <v>20</v>
      </c>
    </row>
    <row r="98" spans="3:15" x14ac:dyDescent="0.25">
      <c r="C98" t="s">
        <v>513</v>
      </c>
      <c r="D98" t="s">
        <v>514</v>
      </c>
      <c r="E98" t="s">
        <v>515</v>
      </c>
      <c r="F98" t="s">
        <v>15</v>
      </c>
      <c r="G98" t="s">
        <v>101</v>
      </c>
      <c r="H98" s="5">
        <v>52270.22</v>
      </c>
      <c r="I98" t="s">
        <v>26</v>
      </c>
      <c r="J98" s="6">
        <v>43521</v>
      </c>
      <c r="K98">
        <v>0.3</v>
      </c>
      <c r="L98" t="s">
        <v>18</v>
      </c>
      <c r="M98" t="s">
        <v>84</v>
      </c>
      <c r="N98" s="9">
        <v>5.3232876712328769</v>
      </c>
      <c r="O98" t="s">
        <v>28</v>
      </c>
    </row>
    <row r="99" spans="3:15" x14ac:dyDescent="0.25">
      <c r="C99" t="s">
        <v>633</v>
      </c>
      <c r="D99" t="s">
        <v>634</v>
      </c>
      <c r="E99" t="s">
        <v>635</v>
      </c>
      <c r="F99" t="s">
        <v>24</v>
      </c>
      <c r="G99" t="s">
        <v>36</v>
      </c>
      <c r="H99" s="5">
        <v>99965.97</v>
      </c>
      <c r="I99" t="s">
        <v>26</v>
      </c>
      <c r="J99" s="6">
        <v>43133</v>
      </c>
      <c r="K99">
        <v>1</v>
      </c>
      <c r="L99" t="s">
        <v>18</v>
      </c>
      <c r="M99" t="s">
        <v>19</v>
      </c>
      <c r="N99" s="9">
        <v>6.3863013698630136</v>
      </c>
      <c r="O99" t="s">
        <v>20</v>
      </c>
    </row>
    <row r="100" spans="3:15" x14ac:dyDescent="0.25">
      <c r="C100" t="s">
        <v>213</v>
      </c>
      <c r="D100" t="s">
        <v>214</v>
      </c>
      <c r="E100" t="s">
        <v>215</v>
      </c>
      <c r="F100" t="s">
        <v>15</v>
      </c>
      <c r="G100" t="s">
        <v>16</v>
      </c>
      <c r="H100" s="5">
        <v>50855.53</v>
      </c>
      <c r="I100" t="s">
        <v>26</v>
      </c>
      <c r="J100" s="6">
        <v>44221</v>
      </c>
      <c r="K100">
        <v>1</v>
      </c>
      <c r="L100" t="s">
        <v>18</v>
      </c>
      <c r="M100" t="s">
        <v>45</v>
      </c>
      <c r="N100" s="9">
        <v>3.4054794520547946</v>
      </c>
      <c r="O100" t="s">
        <v>20</v>
      </c>
    </row>
    <row r="101" spans="3:15" x14ac:dyDescent="0.25">
      <c r="C101" t="s">
        <v>132</v>
      </c>
      <c r="D101" t="s">
        <v>133</v>
      </c>
      <c r="E101" t="s">
        <v>134</v>
      </c>
      <c r="F101" t="s">
        <v>15</v>
      </c>
      <c r="G101" t="s">
        <v>25</v>
      </c>
      <c r="H101" s="5">
        <v>90884.32</v>
      </c>
      <c r="I101" t="s">
        <v>26</v>
      </c>
      <c r="J101" s="6">
        <v>43826</v>
      </c>
      <c r="K101">
        <v>1</v>
      </c>
      <c r="L101" t="s">
        <v>18</v>
      </c>
      <c r="M101" t="s">
        <v>72</v>
      </c>
      <c r="N101" s="9">
        <v>4.4876712328767123</v>
      </c>
      <c r="O101" t="s">
        <v>20</v>
      </c>
    </row>
    <row r="102" spans="3:15" x14ac:dyDescent="0.25">
      <c r="C102" t="s">
        <v>132</v>
      </c>
      <c r="D102" t="s">
        <v>133</v>
      </c>
      <c r="E102" t="s">
        <v>134</v>
      </c>
      <c r="F102" t="s">
        <v>15</v>
      </c>
      <c r="G102" t="s">
        <v>25</v>
      </c>
      <c r="H102" s="5">
        <v>90884.32</v>
      </c>
      <c r="I102" t="s">
        <v>26</v>
      </c>
      <c r="J102" s="6">
        <v>43826</v>
      </c>
      <c r="K102">
        <v>1</v>
      </c>
      <c r="L102" t="s">
        <v>18</v>
      </c>
      <c r="M102" t="s">
        <v>72</v>
      </c>
      <c r="N102" s="9">
        <v>4.4876712328767123</v>
      </c>
      <c r="O102" t="s">
        <v>20</v>
      </c>
    </row>
    <row r="103" spans="3:15" x14ac:dyDescent="0.25">
      <c r="C103" t="s">
        <v>685</v>
      </c>
      <c r="D103" t="s">
        <v>686</v>
      </c>
      <c r="E103" t="s">
        <v>687</v>
      </c>
      <c r="F103" t="s">
        <v>24</v>
      </c>
      <c r="G103" t="s">
        <v>36</v>
      </c>
      <c r="H103" s="5">
        <v>56253.81</v>
      </c>
      <c r="I103" t="s">
        <v>26</v>
      </c>
      <c r="J103" s="6">
        <v>44421</v>
      </c>
      <c r="K103">
        <v>1</v>
      </c>
      <c r="L103" t="s">
        <v>18</v>
      </c>
      <c r="M103" t="s">
        <v>77</v>
      </c>
      <c r="N103" s="9">
        <v>2.8575342465753426</v>
      </c>
      <c r="O103" t="s">
        <v>20</v>
      </c>
    </row>
    <row r="104" spans="3:15" x14ac:dyDescent="0.25">
      <c r="C104" t="s">
        <v>688</v>
      </c>
      <c r="D104" t="s">
        <v>689</v>
      </c>
      <c r="E104" t="s">
        <v>690</v>
      </c>
      <c r="F104" t="s">
        <v>24</v>
      </c>
      <c r="G104" t="s">
        <v>124</v>
      </c>
      <c r="H104" s="5">
        <v>51798.25</v>
      </c>
      <c r="I104" t="s">
        <v>26</v>
      </c>
      <c r="J104" s="6">
        <v>43665</v>
      </c>
      <c r="K104">
        <v>1</v>
      </c>
      <c r="L104" t="s">
        <v>18</v>
      </c>
      <c r="M104" t="s">
        <v>41</v>
      </c>
      <c r="N104" s="9">
        <v>4.9287671232876713</v>
      </c>
      <c r="O104" t="s">
        <v>20</v>
      </c>
    </row>
    <row r="105" spans="3:15" x14ac:dyDescent="0.25">
      <c r="C105" t="s">
        <v>682</v>
      </c>
      <c r="D105" t="s">
        <v>683</v>
      </c>
      <c r="E105" t="s">
        <v>684</v>
      </c>
      <c r="F105" t="s">
        <v>24</v>
      </c>
      <c r="G105" t="s">
        <v>16</v>
      </c>
      <c r="H105" s="5">
        <v>114772.32</v>
      </c>
      <c r="I105" t="s">
        <v>17</v>
      </c>
      <c r="J105" s="6">
        <v>44251</v>
      </c>
      <c r="K105">
        <v>1</v>
      </c>
      <c r="L105" t="s">
        <v>18</v>
      </c>
      <c r="M105" t="s">
        <v>72</v>
      </c>
      <c r="N105" s="9">
        <v>3.3232876712328765</v>
      </c>
      <c r="O105" t="s">
        <v>20</v>
      </c>
    </row>
    <row r="106" spans="3:15" x14ac:dyDescent="0.25">
      <c r="C106" t="s">
        <v>451</v>
      </c>
      <c r="D106" t="s">
        <v>452</v>
      </c>
      <c r="E106" t="s">
        <v>453</v>
      </c>
      <c r="F106" t="s">
        <v>15</v>
      </c>
      <c r="G106" t="s">
        <v>54</v>
      </c>
      <c r="H106" s="5">
        <v>89605.13</v>
      </c>
      <c r="I106" t="s">
        <v>26</v>
      </c>
      <c r="J106" s="6">
        <v>43258</v>
      </c>
      <c r="K106">
        <v>1</v>
      </c>
      <c r="L106" t="s">
        <v>18</v>
      </c>
      <c r="M106" t="s">
        <v>27</v>
      </c>
      <c r="N106" s="9">
        <v>6.043835616438356</v>
      </c>
      <c r="O106" t="s">
        <v>20</v>
      </c>
    </row>
    <row r="107" spans="3:15" x14ac:dyDescent="0.25">
      <c r="C107" t="s">
        <v>487</v>
      </c>
      <c r="D107" t="s">
        <v>488</v>
      </c>
      <c r="E107" t="s">
        <v>489</v>
      </c>
      <c r="F107" t="s">
        <v>24</v>
      </c>
      <c r="G107" t="s">
        <v>16</v>
      </c>
      <c r="H107" s="5">
        <v>88425.08</v>
      </c>
      <c r="I107" t="s">
        <v>26</v>
      </c>
      <c r="J107" s="6">
        <v>43662</v>
      </c>
      <c r="K107">
        <v>1</v>
      </c>
      <c r="L107" t="s">
        <v>18</v>
      </c>
      <c r="M107" t="s">
        <v>41</v>
      </c>
      <c r="N107" s="9">
        <v>4.9369863013698634</v>
      </c>
      <c r="O107" t="s">
        <v>20</v>
      </c>
    </row>
    <row r="108" spans="3:15" x14ac:dyDescent="0.25">
      <c r="C108" t="s">
        <v>519</v>
      </c>
      <c r="D108" t="s">
        <v>520</v>
      </c>
      <c r="E108" t="s">
        <v>521</v>
      </c>
      <c r="F108" t="s">
        <v>24</v>
      </c>
      <c r="G108" t="s">
        <v>54</v>
      </c>
      <c r="H108" s="5">
        <v>104903.79</v>
      </c>
      <c r="I108" t="s">
        <v>17</v>
      </c>
      <c r="J108" s="6">
        <v>43649</v>
      </c>
      <c r="K108">
        <v>1</v>
      </c>
      <c r="L108" t="s">
        <v>18</v>
      </c>
      <c r="M108" t="s">
        <v>84</v>
      </c>
      <c r="N108" s="9">
        <v>4.9726027397260273</v>
      </c>
      <c r="O108" t="s">
        <v>20</v>
      </c>
    </row>
    <row r="109" spans="3:15" x14ac:dyDescent="0.25">
      <c r="C109" t="s">
        <v>234</v>
      </c>
      <c r="D109" t="s">
        <v>235</v>
      </c>
      <c r="E109" t="s">
        <v>236</v>
      </c>
      <c r="F109" t="s">
        <v>24</v>
      </c>
      <c r="G109" t="s">
        <v>32</v>
      </c>
      <c r="H109" s="5">
        <v>69057.320000000007</v>
      </c>
      <c r="I109" t="s">
        <v>26</v>
      </c>
      <c r="J109" s="6">
        <v>43390</v>
      </c>
      <c r="K109">
        <v>1</v>
      </c>
      <c r="L109" t="s">
        <v>18</v>
      </c>
      <c r="M109" t="s">
        <v>45</v>
      </c>
      <c r="N109" s="9">
        <v>5.6821917808219178</v>
      </c>
      <c r="O109" t="s">
        <v>20</v>
      </c>
    </row>
    <row r="110" spans="3:15" x14ac:dyDescent="0.25">
      <c r="C110" t="s">
        <v>234</v>
      </c>
      <c r="D110" t="s">
        <v>235</v>
      </c>
      <c r="E110" t="s">
        <v>236</v>
      </c>
      <c r="F110" t="s">
        <v>24</v>
      </c>
      <c r="G110" t="s">
        <v>32</v>
      </c>
      <c r="H110" s="5">
        <v>69057.320000000007</v>
      </c>
      <c r="I110" t="s">
        <v>26</v>
      </c>
      <c r="J110" s="6">
        <v>43390</v>
      </c>
      <c r="K110">
        <v>1</v>
      </c>
      <c r="L110" t="s">
        <v>18</v>
      </c>
      <c r="M110" t="s">
        <v>45</v>
      </c>
      <c r="N110" s="9">
        <v>5.6821917808219178</v>
      </c>
      <c r="O110" t="s">
        <v>20</v>
      </c>
    </row>
    <row r="111" spans="3:15" x14ac:dyDescent="0.25">
      <c r="C111" t="s">
        <v>669</v>
      </c>
      <c r="D111" t="s">
        <v>670</v>
      </c>
      <c r="E111" t="s">
        <v>671</v>
      </c>
      <c r="F111" t="s">
        <v>15</v>
      </c>
      <c r="G111" t="s">
        <v>124</v>
      </c>
      <c r="H111" s="5">
        <v>77743.149999999994</v>
      </c>
      <c r="I111" t="s">
        <v>26</v>
      </c>
      <c r="J111" s="6">
        <v>43920</v>
      </c>
      <c r="K111">
        <v>1</v>
      </c>
      <c r="L111" t="s">
        <v>18</v>
      </c>
      <c r="M111" t="s">
        <v>84</v>
      </c>
      <c r="N111" s="9">
        <v>4.2301369863013702</v>
      </c>
      <c r="O111" t="s">
        <v>20</v>
      </c>
    </row>
    <row r="112" spans="3:15" x14ac:dyDescent="0.25">
      <c r="C112" t="s">
        <v>448</v>
      </c>
      <c r="D112" t="s">
        <v>449</v>
      </c>
      <c r="E112" t="s">
        <v>450</v>
      </c>
      <c r="F112" t="s">
        <v>15</v>
      </c>
      <c r="G112" t="s">
        <v>16</v>
      </c>
      <c r="H112" s="5">
        <v>108872.77</v>
      </c>
      <c r="I112" t="s">
        <v>17</v>
      </c>
      <c r="J112" s="6">
        <v>43521</v>
      </c>
      <c r="K112">
        <v>1</v>
      </c>
      <c r="L112" t="s">
        <v>18</v>
      </c>
      <c r="M112" t="s">
        <v>19</v>
      </c>
      <c r="N112" s="9">
        <v>5.3232876712328769</v>
      </c>
      <c r="O112" t="s">
        <v>20</v>
      </c>
    </row>
    <row r="113" spans="3:15" x14ac:dyDescent="0.25">
      <c r="C113" t="s">
        <v>360</v>
      </c>
      <c r="D113" t="s">
        <v>361</v>
      </c>
      <c r="E113" t="s">
        <v>362</v>
      </c>
      <c r="F113" t="s">
        <v>24</v>
      </c>
      <c r="G113" t="s">
        <v>101</v>
      </c>
      <c r="H113" s="5">
        <v>68887.839999999997</v>
      </c>
      <c r="I113" t="s">
        <v>26</v>
      </c>
      <c r="J113" s="6">
        <v>43297</v>
      </c>
      <c r="K113">
        <v>1</v>
      </c>
      <c r="L113" t="s">
        <v>18</v>
      </c>
      <c r="M113" t="s">
        <v>19</v>
      </c>
      <c r="N113" s="9">
        <v>5.9369863013698634</v>
      </c>
      <c r="O113" t="s">
        <v>20</v>
      </c>
    </row>
    <row r="114" spans="3:15" x14ac:dyDescent="0.25">
      <c r="C114" t="s">
        <v>240</v>
      </c>
      <c r="D114" t="s">
        <v>241</v>
      </c>
      <c r="E114" t="s">
        <v>242</v>
      </c>
      <c r="F114" t="s">
        <v>24</v>
      </c>
      <c r="G114" t="s">
        <v>124</v>
      </c>
      <c r="H114" s="5">
        <v>66865.490000000005</v>
      </c>
      <c r="I114" t="s">
        <v>26</v>
      </c>
      <c r="J114" s="6">
        <v>43514</v>
      </c>
      <c r="K114">
        <v>1</v>
      </c>
      <c r="L114" t="s">
        <v>18</v>
      </c>
      <c r="M114" t="s">
        <v>27</v>
      </c>
      <c r="N114" s="9">
        <v>5.3424657534246576</v>
      </c>
      <c r="O114" t="s">
        <v>20</v>
      </c>
    </row>
    <row r="115" spans="3:15" x14ac:dyDescent="0.25">
      <c r="C115" t="s">
        <v>240</v>
      </c>
      <c r="D115" t="s">
        <v>241</v>
      </c>
      <c r="E115" t="s">
        <v>242</v>
      </c>
      <c r="F115" t="s">
        <v>24</v>
      </c>
      <c r="G115" t="s">
        <v>124</v>
      </c>
      <c r="H115" s="5">
        <v>66865.490000000005</v>
      </c>
      <c r="I115" t="s">
        <v>26</v>
      </c>
      <c r="J115" s="6">
        <v>43514</v>
      </c>
      <c r="K115">
        <v>1</v>
      </c>
      <c r="L115" t="s">
        <v>18</v>
      </c>
      <c r="M115" t="s">
        <v>27</v>
      </c>
      <c r="N115" s="9">
        <v>5.3424657534246576</v>
      </c>
      <c r="O115" t="s">
        <v>20</v>
      </c>
    </row>
    <row r="116" spans="3:15" x14ac:dyDescent="0.25">
      <c r="C116" t="s">
        <v>507</v>
      </c>
      <c r="D116" t="s">
        <v>508</v>
      </c>
      <c r="E116" t="s">
        <v>509</v>
      </c>
      <c r="F116" t="s">
        <v>24</v>
      </c>
      <c r="G116" t="s">
        <v>97</v>
      </c>
      <c r="H116" s="5">
        <v>100731.95</v>
      </c>
      <c r="I116" t="s">
        <v>17</v>
      </c>
      <c r="J116" s="6">
        <v>43936</v>
      </c>
      <c r="K116">
        <v>1</v>
      </c>
      <c r="L116" t="s">
        <v>18</v>
      </c>
      <c r="M116" t="s">
        <v>77</v>
      </c>
      <c r="N116" s="9">
        <v>4.1863013698630134</v>
      </c>
      <c r="O116" t="s">
        <v>20</v>
      </c>
    </row>
    <row r="117" spans="3:15" x14ac:dyDescent="0.25">
      <c r="C117" t="s">
        <v>279</v>
      </c>
      <c r="D117" t="s">
        <v>280</v>
      </c>
      <c r="E117" t="s">
        <v>281</v>
      </c>
      <c r="F117" t="s">
        <v>49</v>
      </c>
      <c r="G117" t="s">
        <v>101</v>
      </c>
      <c r="H117" s="5">
        <v>107107.6</v>
      </c>
      <c r="I117" t="s">
        <v>17</v>
      </c>
      <c r="J117" s="6">
        <v>43325</v>
      </c>
      <c r="K117">
        <v>0.9</v>
      </c>
      <c r="L117" t="s">
        <v>18</v>
      </c>
      <c r="M117" t="s">
        <v>84</v>
      </c>
      <c r="N117" s="9">
        <v>5.86027397260274</v>
      </c>
      <c r="O117" t="s">
        <v>28</v>
      </c>
    </row>
    <row r="118" spans="3:15" x14ac:dyDescent="0.25">
      <c r="C118" t="s">
        <v>630</v>
      </c>
      <c r="D118" t="s">
        <v>631</v>
      </c>
      <c r="E118" t="s">
        <v>632</v>
      </c>
      <c r="F118" t="s">
        <v>24</v>
      </c>
      <c r="G118" t="s">
        <v>105</v>
      </c>
      <c r="H118" s="5">
        <v>102129.37</v>
      </c>
      <c r="I118" t="s">
        <v>17</v>
      </c>
      <c r="J118" s="6">
        <v>44396</v>
      </c>
      <c r="K118">
        <v>1</v>
      </c>
      <c r="L118" t="s">
        <v>18</v>
      </c>
      <c r="M118" t="s">
        <v>72</v>
      </c>
      <c r="N118" s="9">
        <v>2.9260273972602739</v>
      </c>
      <c r="O118" t="s">
        <v>20</v>
      </c>
    </row>
    <row r="119" spans="3:15" x14ac:dyDescent="0.25">
      <c r="C119" t="s">
        <v>312</v>
      </c>
      <c r="D119" t="s">
        <v>313</v>
      </c>
      <c r="E119" t="s">
        <v>314</v>
      </c>
      <c r="F119" t="s">
        <v>24</v>
      </c>
      <c r="G119" t="s">
        <v>131</v>
      </c>
      <c r="H119" s="5">
        <v>75733.740000000005</v>
      </c>
      <c r="I119" t="s">
        <v>26</v>
      </c>
      <c r="J119" s="6">
        <v>44382</v>
      </c>
      <c r="K119">
        <v>1</v>
      </c>
      <c r="L119" t="s">
        <v>18</v>
      </c>
      <c r="M119" t="s">
        <v>41</v>
      </c>
      <c r="N119" s="9">
        <v>2.9643835616438357</v>
      </c>
      <c r="O119" t="s">
        <v>20</v>
      </c>
    </row>
    <row r="120" spans="3:15" x14ac:dyDescent="0.25">
      <c r="C120" t="s">
        <v>735</v>
      </c>
      <c r="D120" t="s">
        <v>736</v>
      </c>
      <c r="E120" t="s">
        <v>737</v>
      </c>
      <c r="F120" t="s">
        <v>24</v>
      </c>
      <c r="G120" t="s">
        <v>105</v>
      </c>
      <c r="H120" s="5">
        <v>78020.39</v>
      </c>
      <c r="I120" t="s">
        <v>26</v>
      </c>
      <c r="J120" s="6">
        <v>43899</v>
      </c>
      <c r="K120">
        <v>1</v>
      </c>
      <c r="L120" t="s">
        <v>18</v>
      </c>
      <c r="M120" t="s">
        <v>19</v>
      </c>
      <c r="N120" s="9">
        <v>4.2876712328767121</v>
      </c>
      <c r="O120" t="s">
        <v>20</v>
      </c>
    </row>
    <row r="121" spans="3:15" x14ac:dyDescent="0.25">
      <c r="C121" t="s">
        <v>395</v>
      </c>
      <c r="D121" t="s">
        <v>396</v>
      </c>
      <c r="E121" t="s">
        <v>397</v>
      </c>
      <c r="F121" t="s">
        <v>24</v>
      </c>
      <c r="G121" t="s">
        <v>36</v>
      </c>
      <c r="H121" s="5">
        <v>95677.9</v>
      </c>
      <c r="I121" t="s">
        <v>26</v>
      </c>
      <c r="J121" s="6">
        <v>44396</v>
      </c>
      <c r="K121">
        <v>0.3</v>
      </c>
      <c r="L121" t="s">
        <v>18</v>
      </c>
      <c r="M121" t="s">
        <v>84</v>
      </c>
      <c r="N121" s="9">
        <v>2.9260273972602739</v>
      </c>
      <c r="O121" t="s">
        <v>28</v>
      </c>
    </row>
    <row r="122" spans="3:15" x14ac:dyDescent="0.25">
      <c r="C122" t="s">
        <v>525</v>
      </c>
      <c r="D122" t="s">
        <v>526</v>
      </c>
      <c r="E122" t="s">
        <v>527</v>
      </c>
      <c r="F122" t="s">
        <v>15</v>
      </c>
      <c r="G122" t="s">
        <v>16</v>
      </c>
      <c r="H122" s="5">
        <v>109143.17</v>
      </c>
      <c r="I122" t="s">
        <v>17</v>
      </c>
      <c r="J122" s="6">
        <v>43945</v>
      </c>
      <c r="K122">
        <v>1</v>
      </c>
      <c r="L122" t="s">
        <v>18</v>
      </c>
      <c r="M122" t="s">
        <v>45</v>
      </c>
      <c r="N122" s="9">
        <v>4.161643835616438</v>
      </c>
      <c r="O122" t="s">
        <v>20</v>
      </c>
    </row>
    <row r="123" spans="3:15" x14ac:dyDescent="0.25">
      <c r="C123" t="s">
        <v>593</v>
      </c>
      <c r="D123" t="s">
        <v>594</v>
      </c>
      <c r="E123" t="s">
        <v>595</v>
      </c>
      <c r="F123" t="s">
        <v>24</v>
      </c>
      <c r="G123" t="s">
        <v>32</v>
      </c>
      <c r="H123" s="5">
        <v>28305.08</v>
      </c>
      <c r="I123" t="s">
        <v>65</v>
      </c>
      <c r="J123" s="6">
        <v>43754</v>
      </c>
      <c r="K123">
        <v>1</v>
      </c>
      <c r="L123" t="s">
        <v>18</v>
      </c>
      <c r="M123" t="s">
        <v>19</v>
      </c>
      <c r="N123" s="9">
        <v>4.6849315068493151</v>
      </c>
      <c r="O123" t="s">
        <v>20</v>
      </c>
    </row>
    <row r="124" spans="3:15" x14ac:dyDescent="0.25">
      <c r="C124" t="s">
        <v>324</v>
      </c>
      <c r="D124" t="s">
        <v>325</v>
      </c>
      <c r="E124" t="s">
        <v>326</v>
      </c>
      <c r="F124" t="s">
        <v>15</v>
      </c>
      <c r="G124" t="s">
        <v>54</v>
      </c>
      <c r="H124" s="5">
        <v>76932.600000000006</v>
      </c>
      <c r="I124" t="s">
        <v>26</v>
      </c>
      <c r="J124" s="6">
        <v>43493</v>
      </c>
      <c r="K124">
        <v>1</v>
      </c>
      <c r="L124" t="s">
        <v>18</v>
      </c>
      <c r="M124" t="s">
        <v>41</v>
      </c>
      <c r="N124" s="9">
        <v>5.4</v>
      </c>
      <c r="O124" t="s">
        <v>20</v>
      </c>
    </row>
    <row r="125" spans="3:15" x14ac:dyDescent="0.25">
      <c r="C125" t="s">
        <v>88</v>
      </c>
      <c r="D125" t="s">
        <v>89</v>
      </c>
      <c r="E125" t="s">
        <v>90</v>
      </c>
      <c r="F125" t="s">
        <v>15</v>
      </c>
      <c r="G125" t="s">
        <v>32</v>
      </c>
      <c r="H125" s="5">
        <v>69913.39</v>
      </c>
      <c r="I125" t="s">
        <v>26</v>
      </c>
      <c r="J125" s="6">
        <v>43584</v>
      </c>
      <c r="K125">
        <v>1</v>
      </c>
      <c r="L125" t="s">
        <v>18</v>
      </c>
      <c r="M125" t="s">
        <v>19</v>
      </c>
      <c r="N125" s="9">
        <v>5.1506849315068495</v>
      </c>
      <c r="O125" t="s">
        <v>20</v>
      </c>
    </row>
    <row r="126" spans="3:15" x14ac:dyDescent="0.25">
      <c r="C126" t="s">
        <v>368</v>
      </c>
      <c r="D126" t="s">
        <v>369</v>
      </c>
      <c r="E126" t="s">
        <v>370</v>
      </c>
      <c r="F126" t="s">
        <v>15</v>
      </c>
      <c r="G126" t="s">
        <v>124</v>
      </c>
      <c r="H126" s="5">
        <v>111229.47</v>
      </c>
      <c r="I126" t="s">
        <v>17</v>
      </c>
      <c r="J126" s="6">
        <v>43402</v>
      </c>
      <c r="K126">
        <v>1</v>
      </c>
      <c r="L126" t="s">
        <v>18</v>
      </c>
      <c r="M126" t="s">
        <v>19</v>
      </c>
      <c r="N126" s="9">
        <v>5.6493150684931503</v>
      </c>
      <c r="O126" t="s">
        <v>20</v>
      </c>
    </row>
    <row r="127" spans="3:15" x14ac:dyDescent="0.25">
      <c r="C127" t="s">
        <v>29</v>
      </c>
      <c r="D127" t="s">
        <v>30</v>
      </c>
      <c r="E127" t="s">
        <v>31</v>
      </c>
      <c r="F127" t="s">
        <v>24</v>
      </c>
      <c r="G127" t="s">
        <v>32</v>
      </c>
      <c r="H127" s="5">
        <v>120000</v>
      </c>
      <c r="I127" t="s">
        <v>17</v>
      </c>
      <c r="J127" s="6">
        <v>43902</v>
      </c>
      <c r="K127">
        <v>0.9</v>
      </c>
      <c r="L127" t="s">
        <v>18</v>
      </c>
      <c r="M127" t="s">
        <v>19</v>
      </c>
      <c r="N127" s="9">
        <v>4.279452054794521</v>
      </c>
      <c r="O127" t="s">
        <v>28</v>
      </c>
    </row>
    <row r="128" spans="3:15" x14ac:dyDescent="0.25">
      <c r="C128" t="s">
        <v>704</v>
      </c>
      <c r="D128" t="s">
        <v>705</v>
      </c>
      <c r="E128" t="s">
        <v>706</v>
      </c>
      <c r="F128" t="s">
        <v>24</v>
      </c>
      <c r="G128" t="s">
        <v>97</v>
      </c>
      <c r="H128" s="5">
        <v>85264.38</v>
      </c>
      <c r="I128" t="s">
        <v>26</v>
      </c>
      <c r="J128" s="6">
        <v>43220</v>
      </c>
      <c r="K128">
        <v>1</v>
      </c>
      <c r="L128" t="s">
        <v>18</v>
      </c>
      <c r="M128" t="s">
        <v>84</v>
      </c>
      <c r="N128" s="9">
        <v>6.1479452054794521</v>
      </c>
      <c r="O128" t="s">
        <v>20</v>
      </c>
    </row>
    <row r="129" spans="3:15" x14ac:dyDescent="0.25">
      <c r="C129" t="s">
        <v>460</v>
      </c>
      <c r="D129" t="s">
        <v>461</v>
      </c>
      <c r="E129" t="s">
        <v>462</v>
      </c>
      <c r="F129" t="s">
        <v>15</v>
      </c>
      <c r="G129" t="s">
        <v>32</v>
      </c>
      <c r="H129" s="5">
        <v>100424.23</v>
      </c>
      <c r="I129" t="s">
        <v>17</v>
      </c>
      <c r="J129" s="6">
        <v>43801</v>
      </c>
      <c r="K129">
        <v>1</v>
      </c>
      <c r="L129" t="s">
        <v>18</v>
      </c>
      <c r="M129" t="s">
        <v>77</v>
      </c>
      <c r="N129" s="9">
        <v>4.5561643835616437</v>
      </c>
      <c r="O129" t="s">
        <v>20</v>
      </c>
    </row>
    <row r="130" spans="3:15" x14ac:dyDescent="0.25">
      <c r="C130" t="s">
        <v>428</v>
      </c>
      <c r="D130" t="s">
        <v>429</v>
      </c>
      <c r="E130" t="s">
        <v>430</v>
      </c>
      <c r="F130" t="s">
        <v>24</v>
      </c>
      <c r="G130" t="s">
        <v>50</v>
      </c>
      <c r="H130" s="5">
        <v>71924.850000000006</v>
      </c>
      <c r="I130" t="s">
        <v>26</v>
      </c>
      <c r="J130" s="6">
        <v>43822</v>
      </c>
      <c r="K130">
        <v>1</v>
      </c>
      <c r="L130" t="s">
        <v>18</v>
      </c>
      <c r="M130" t="s">
        <v>84</v>
      </c>
      <c r="N130" s="9">
        <v>4.4986301369863018</v>
      </c>
      <c r="O130" t="s">
        <v>20</v>
      </c>
    </row>
    <row r="131" spans="3:15" x14ac:dyDescent="0.25">
      <c r="C131" t="s">
        <v>484</v>
      </c>
      <c r="D131" t="s">
        <v>485</v>
      </c>
      <c r="E131" t="s">
        <v>486</v>
      </c>
      <c r="F131" t="s">
        <v>24</v>
      </c>
      <c r="G131" t="s">
        <v>25</v>
      </c>
      <c r="H131" s="5">
        <v>61688.77</v>
      </c>
      <c r="I131" t="s">
        <v>26</v>
      </c>
      <c r="J131" s="6">
        <v>43346</v>
      </c>
      <c r="K131">
        <v>0.9</v>
      </c>
      <c r="L131" t="s">
        <v>18</v>
      </c>
      <c r="M131" t="s">
        <v>84</v>
      </c>
      <c r="N131" s="9">
        <v>5.8027397260273972</v>
      </c>
      <c r="O131" t="s">
        <v>28</v>
      </c>
    </row>
    <row r="132" spans="3:15" x14ac:dyDescent="0.25">
      <c r="C132" t="s">
        <v>285</v>
      </c>
      <c r="D132" t="s">
        <v>286</v>
      </c>
      <c r="E132" t="s">
        <v>287</v>
      </c>
      <c r="F132" t="s">
        <v>24</v>
      </c>
      <c r="G132" t="s">
        <v>124</v>
      </c>
      <c r="H132" s="5">
        <v>75475.929999999993</v>
      </c>
      <c r="I132" t="s">
        <v>26</v>
      </c>
      <c r="J132" s="6">
        <v>43794</v>
      </c>
      <c r="K132">
        <v>1</v>
      </c>
      <c r="L132" t="s">
        <v>18</v>
      </c>
      <c r="M132" t="s">
        <v>19</v>
      </c>
      <c r="N132" s="9">
        <v>4.5753424657534243</v>
      </c>
      <c r="O132" t="s">
        <v>20</v>
      </c>
    </row>
    <row r="133" spans="3:15" x14ac:dyDescent="0.25">
      <c r="C133" t="s">
        <v>81</v>
      </c>
      <c r="D133" t="s">
        <v>82</v>
      </c>
      <c r="E133" t="s">
        <v>83</v>
      </c>
      <c r="F133" t="s">
        <v>24</v>
      </c>
      <c r="G133" t="s">
        <v>36</v>
      </c>
      <c r="H133" s="5">
        <v>37902.35</v>
      </c>
      <c r="I133" t="s">
        <v>65</v>
      </c>
      <c r="J133" s="6">
        <v>43823</v>
      </c>
      <c r="K133">
        <v>1</v>
      </c>
      <c r="L133" t="s">
        <v>18</v>
      </c>
      <c r="M133" t="s">
        <v>84</v>
      </c>
      <c r="N133" s="9">
        <v>4.4958904109589044</v>
      </c>
      <c r="O133" t="s">
        <v>20</v>
      </c>
    </row>
    <row r="134" spans="3:15" x14ac:dyDescent="0.25">
      <c r="C134" t="s">
        <v>81</v>
      </c>
      <c r="D134" t="s">
        <v>437</v>
      </c>
      <c r="E134" t="s">
        <v>438</v>
      </c>
      <c r="F134" t="s">
        <v>24</v>
      </c>
      <c r="G134" t="s">
        <v>36</v>
      </c>
      <c r="H134" s="5">
        <v>37902.35</v>
      </c>
      <c r="I134" t="s">
        <v>65</v>
      </c>
      <c r="J134" s="6">
        <v>43823</v>
      </c>
      <c r="K134">
        <v>1</v>
      </c>
      <c r="L134" t="s">
        <v>18</v>
      </c>
      <c r="M134" t="s">
        <v>84</v>
      </c>
      <c r="N134" s="9">
        <v>4.4958904109589044</v>
      </c>
      <c r="O134" t="s">
        <v>20</v>
      </c>
    </row>
    <row r="135" spans="3:15" x14ac:dyDescent="0.25">
      <c r="C135" t="s">
        <v>174</v>
      </c>
      <c r="D135" t="s">
        <v>175</v>
      </c>
      <c r="E135" t="s">
        <v>176</v>
      </c>
      <c r="F135" t="s">
        <v>24</v>
      </c>
      <c r="G135" t="s">
        <v>50</v>
      </c>
      <c r="H135" s="5">
        <v>63555.73</v>
      </c>
      <c r="I135" t="s">
        <v>26</v>
      </c>
      <c r="J135" s="6">
        <v>44159</v>
      </c>
      <c r="K135">
        <v>1</v>
      </c>
      <c r="L135" t="s">
        <v>18</v>
      </c>
      <c r="M135" t="s">
        <v>84</v>
      </c>
      <c r="N135" s="9">
        <v>3.5753424657534247</v>
      </c>
      <c r="O135" t="s">
        <v>20</v>
      </c>
    </row>
    <row r="136" spans="3:15" x14ac:dyDescent="0.25">
      <c r="C136" t="s">
        <v>612</v>
      </c>
      <c r="D136" t="s">
        <v>613</v>
      </c>
      <c r="E136" t="s">
        <v>614</v>
      </c>
      <c r="F136" t="s">
        <v>24</v>
      </c>
      <c r="G136" t="s">
        <v>124</v>
      </c>
      <c r="H136" s="5">
        <v>68197.899999999994</v>
      </c>
      <c r="I136" t="s">
        <v>26</v>
      </c>
      <c r="J136" s="6">
        <v>44119</v>
      </c>
      <c r="K136">
        <v>1</v>
      </c>
      <c r="L136" t="s">
        <v>18</v>
      </c>
      <c r="M136" t="s">
        <v>77</v>
      </c>
      <c r="N136" s="9">
        <v>3.6849315068493151</v>
      </c>
      <c r="O136" t="s">
        <v>20</v>
      </c>
    </row>
    <row r="137" spans="3:15" x14ac:dyDescent="0.25">
      <c r="C137" t="s">
        <v>639</v>
      </c>
      <c r="D137" t="s">
        <v>640</v>
      </c>
      <c r="E137" t="s">
        <v>641</v>
      </c>
      <c r="F137" t="s">
        <v>24</v>
      </c>
      <c r="G137" t="s">
        <v>16</v>
      </c>
      <c r="H137" s="5">
        <v>94815.28</v>
      </c>
      <c r="I137" t="s">
        <v>26</v>
      </c>
      <c r="J137" s="6">
        <v>43440</v>
      </c>
      <c r="K137">
        <v>1</v>
      </c>
      <c r="L137" t="s">
        <v>18</v>
      </c>
      <c r="M137" t="s">
        <v>27</v>
      </c>
      <c r="N137" s="9">
        <v>5.5452054794520551</v>
      </c>
      <c r="O137" t="s">
        <v>20</v>
      </c>
    </row>
    <row r="138" spans="3:15" x14ac:dyDescent="0.25">
      <c r="C138" t="s">
        <v>91</v>
      </c>
      <c r="D138" t="s">
        <v>92</v>
      </c>
      <c r="E138" t="s">
        <v>93</v>
      </c>
      <c r="F138" t="s">
        <v>15</v>
      </c>
      <c r="G138" t="s">
        <v>58</v>
      </c>
      <c r="H138" s="5">
        <v>52748.63</v>
      </c>
      <c r="I138" t="s">
        <v>26</v>
      </c>
      <c r="J138" s="6">
        <v>43857</v>
      </c>
      <c r="K138">
        <v>1</v>
      </c>
      <c r="L138" t="s">
        <v>18</v>
      </c>
      <c r="M138" t="s">
        <v>84</v>
      </c>
      <c r="N138" s="9">
        <v>4.4027397260273968</v>
      </c>
      <c r="O138" t="s">
        <v>20</v>
      </c>
    </row>
    <row r="139" spans="3:15" x14ac:dyDescent="0.25">
      <c r="C139" t="s">
        <v>551</v>
      </c>
      <c r="D139" t="s">
        <v>552</v>
      </c>
      <c r="E139" t="s">
        <v>553</v>
      </c>
      <c r="F139" t="s">
        <v>24</v>
      </c>
      <c r="G139" t="s">
        <v>32</v>
      </c>
      <c r="H139" s="5">
        <v>109163.39</v>
      </c>
      <c r="I139" t="s">
        <v>17</v>
      </c>
      <c r="J139" s="6">
        <v>44019</v>
      </c>
      <c r="K139">
        <v>0.8</v>
      </c>
      <c r="L139" t="s">
        <v>18</v>
      </c>
      <c r="M139" t="s">
        <v>27</v>
      </c>
      <c r="N139" s="9">
        <v>3.9589041095890409</v>
      </c>
      <c r="O139" t="s">
        <v>28</v>
      </c>
    </row>
    <row r="140" spans="3:15" x14ac:dyDescent="0.25">
      <c r="C140" t="s">
        <v>404</v>
      </c>
      <c r="D140" t="s">
        <v>405</v>
      </c>
      <c r="E140" t="s">
        <v>406</v>
      </c>
      <c r="F140" t="s">
        <v>24</v>
      </c>
      <c r="G140" t="s">
        <v>50</v>
      </c>
      <c r="H140" s="5">
        <v>88034.67</v>
      </c>
      <c r="I140" t="s">
        <v>26</v>
      </c>
      <c r="J140" s="6">
        <v>43669</v>
      </c>
      <c r="K140">
        <v>1</v>
      </c>
      <c r="L140" t="s">
        <v>18</v>
      </c>
      <c r="M140" t="s">
        <v>19</v>
      </c>
      <c r="N140" s="9">
        <v>4.9178082191780819</v>
      </c>
      <c r="O140" t="s">
        <v>20</v>
      </c>
    </row>
    <row r="141" spans="3:15" x14ac:dyDescent="0.25">
      <c r="C141" t="s">
        <v>345</v>
      </c>
      <c r="D141" t="s">
        <v>346</v>
      </c>
      <c r="E141" t="s">
        <v>347</v>
      </c>
      <c r="F141" t="s">
        <v>24</v>
      </c>
      <c r="G141" t="s">
        <v>32</v>
      </c>
      <c r="H141" s="5">
        <v>42161.77</v>
      </c>
      <c r="I141" t="s">
        <v>65</v>
      </c>
      <c r="J141" s="6">
        <v>43494</v>
      </c>
      <c r="K141">
        <v>1</v>
      </c>
      <c r="L141" t="s">
        <v>18</v>
      </c>
      <c r="M141" t="s">
        <v>77</v>
      </c>
      <c r="N141" s="9">
        <v>5.397260273972603</v>
      </c>
      <c r="O141" t="s">
        <v>20</v>
      </c>
    </row>
    <row r="142" spans="3:15" x14ac:dyDescent="0.25">
      <c r="C142" t="s">
        <v>327</v>
      </c>
      <c r="D142" t="s">
        <v>328</v>
      </c>
      <c r="E142" t="s">
        <v>329</v>
      </c>
      <c r="F142" t="s">
        <v>15</v>
      </c>
      <c r="G142" t="s">
        <v>50</v>
      </c>
      <c r="H142" s="5">
        <v>59258.19</v>
      </c>
      <c r="I142" t="s">
        <v>26</v>
      </c>
      <c r="J142" s="6">
        <v>43452</v>
      </c>
      <c r="K142">
        <v>0.8</v>
      </c>
      <c r="L142" t="s">
        <v>18</v>
      </c>
      <c r="M142" t="s">
        <v>27</v>
      </c>
      <c r="N142" s="9">
        <v>5.5123287671232877</v>
      </c>
      <c r="O142" t="s">
        <v>28</v>
      </c>
    </row>
    <row r="143" spans="3:15" x14ac:dyDescent="0.25">
      <c r="C143" t="s">
        <v>327</v>
      </c>
      <c r="D143" t="s">
        <v>328</v>
      </c>
      <c r="E143" t="s">
        <v>329</v>
      </c>
      <c r="F143" t="s">
        <v>15</v>
      </c>
      <c r="G143" t="s">
        <v>50</v>
      </c>
      <c r="H143" s="5">
        <v>59258.19</v>
      </c>
      <c r="I143" t="s">
        <v>26</v>
      </c>
      <c r="J143" s="6">
        <v>43452</v>
      </c>
      <c r="K143">
        <v>0.8</v>
      </c>
      <c r="L143" t="s">
        <v>18</v>
      </c>
      <c r="M143" t="s">
        <v>27</v>
      </c>
      <c r="N143" s="9">
        <v>5.5123287671232877</v>
      </c>
      <c r="O143" t="s">
        <v>28</v>
      </c>
    </row>
    <row r="144" spans="3:15" x14ac:dyDescent="0.25">
      <c r="C144" t="s">
        <v>109</v>
      </c>
      <c r="D144" t="s">
        <v>110</v>
      </c>
      <c r="E144" t="s">
        <v>111</v>
      </c>
      <c r="F144" t="s">
        <v>24</v>
      </c>
      <c r="G144" t="s">
        <v>36</v>
      </c>
      <c r="H144" s="5">
        <v>71570.990000000005</v>
      </c>
      <c r="I144" t="s">
        <v>26</v>
      </c>
      <c r="J144" s="6">
        <v>44249</v>
      </c>
      <c r="K144">
        <v>0.5</v>
      </c>
      <c r="L144" t="s">
        <v>18</v>
      </c>
      <c r="M144" t="s">
        <v>41</v>
      </c>
      <c r="N144" s="9">
        <v>3.3287671232876712</v>
      </c>
      <c r="O144" t="s">
        <v>28</v>
      </c>
    </row>
    <row r="145" spans="3:15" x14ac:dyDescent="0.25">
      <c r="C145" t="s">
        <v>371</v>
      </c>
      <c r="D145" t="s">
        <v>372</v>
      </c>
      <c r="E145" t="s">
        <v>373</v>
      </c>
      <c r="F145" t="s">
        <v>15</v>
      </c>
      <c r="G145" t="s">
        <v>101</v>
      </c>
      <c r="H145" s="5">
        <v>67633.850000000006</v>
      </c>
      <c r="I145" t="s">
        <v>26</v>
      </c>
      <c r="J145" s="6">
        <v>43340</v>
      </c>
      <c r="K145">
        <v>1</v>
      </c>
      <c r="L145" t="s">
        <v>18</v>
      </c>
      <c r="M145" t="s">
        <v>72</v>
      </c>
      <c r="N145" s="9">
        <v>5.8191780821917805</v>
      </c>
      <c r="O145" t="s">
        <v>20</v>
      </c>
    </row>
    <row r="146" spans="3:15" x14ac:dyDescent="0.25">
      <c r="C146" t="s">
        <v>357</v>
      </c>
      <c r="D146" t="s">
        <v>358</v>
      </c>
      <c r="E146" t="s">
        <v>359</v>
      </c>
      <c r="F146" t="s">
        <v>15</v>
      </c>
      <c r="G146" t="s">
        <v>131</v>
      </c>
      <c r="H146" s="5">
        <v>89838.77</v>
      </c>
      <c r="I146" t="s">
        <v>26</v>
      </c>
      <c r="J146" s="6">
        <v>43602</v>
      </c>
      <c r="K146">
        <v>1</v>
      </c>
      <c r="L146" t="s">
        <v>18</v>
      </c>
      <c r="M146" t="s">
        <v>19</v>
      </c>
      <c r="N146" s="9">
        <v>5.1013698630136988</v>
      </c>
      <c r="O146" t="s">
        <v>20</v>
      </c>
    </row>
    <row r="147" spans="3:15" x14ac:dyDescent="0.25">
      <c r="C147" t="s">
        <v>466</v>
      </c>
      <c r="D147" t="s">
        <v>467</v>
      </c>
      <c r="E147" t="s">
        <v>468</v>
      </c>
      <c r="F147" t="s">
        <v>15</v>
      </c>
      <c r="G147" t="s">
        <v>131</v>
      </c>
      <c r="H147" s="5">
        <v>28481.16</v>
      </c>
      <c r="I147" t="s">
        <v>65</v>
      </c>
      <c r="J147" s="6">
        <v>43916</v>
      </c>
      <c r="K147">
        <v>1</v>
      </c>
      <c r="L147" t="s">
        <v>18</v>
      </c>
      <c r="M147" t="s">
        <v>41</v>
      </c>
      <c r="N147" s="9">
        <v>4.2410958904109588</v>
      </c>
      <c r="O147" t="s">
        <v>20</v>
      </c>
    </row>
    <row r="148" spans="3:15" x14ac:dyDescent="0.25">
      <c r="C148" t="s">
        <v>466</v>
      </c>
      <c r="D148" t="s">
        <v>617</v>
      </c>
      <c r="E148" t="s">
        <v>618</v>
      </c>
      <c r="F148" t="s">
        <v>15</v>
      </c>
      <c r="G148" t="s">
        <v>131</v>
      </c>
      <c r="H148" s="5">
        <v>28481.16</v>
      </c>
      <c r="I148" t="s">
        <v>65</v>
      </c>
      <c r="J148" s="6">
        <v>43916</v>
      </c>
      <c r="K148">
        <v>1</v>
      </c>
      <c r="L148" t="s">
        <v>18</v>
      </c>
      <c r="M148" t="s">
        <v>41</v>
      </c>
      <c r="N148" s="9">
        <v>4.2410958904109588</v>
      </c>
      <c r="O148" t="s">
        <v>20</v>
      </c>
    </row>
    <row r="149" spans="3:15" x14ac:dyDescent="0.25">
      <c r="C149" t="s">
        <v>66</v>
      </c>
      <c r="D149" t="s">
        <v>67</v>
      </c>
      <c r="E149" t="s">
        <v>68</v>
      </c>
      <c r="F149" t="s">
        <v>24</v>
      </c>
      <c r="G149" t="s">
        <v>16</v>
      </c>
      <c r="H149" s="5">
        <v>114425.19</v>
      </c>
      <c r="I149" t="s">
        <v>17</v>
      </c>
      <c r="J149" s="6">
        <v>43857</v>
      </c>
      <c r="K149">
        <v>1</v>
      </c>
      <c r="L149" t="s">
        <v>18</v>
      </c>
      <c r="M149" t="s">
        <v>45</v>
      </c>
      <c r="N149" s="9">
        <v>4.4027397260273968</v>
      </c>
      <c r="O149" t="s">
        <v>20</v>
      </c>
    </row>
    <row r="150" spans="3:15" x14ac:dyDescent="0.25">
      <c r="C150" t="s">
        <v>401</v>
      </c>
      <c r="D150" t="s">
        <v>402</v>
      </c>
      <c r="E150" t="s">
        <v>403</v>
      </c>
      <c r="F150" t="s">
        <v>15</v>
      </c>
      <c r="G150" t="s">
        <v>131</v>
      </c>
      <c r="H150" s="5">
        <v>99460.78</v>
      </c>
      <c r="I150" t="s">
        <v>26</v>
      </c>
      <c r="J150" s="6">
        <v>43956</v>
      </c>
      <c r="K150">
        <v>1</v>
      </c>
      <c r="L150" t="s">
        <v>18</v>
      </c>
      <c r="M150" t="s">
        <v>19</v>
      </c>
      <c r="N150" s="9">
        <v>4.1315068493150688</v>
      </c>
      <c r="O150" t="s">
        <v>20</v>
      </c>
    </row>
    <row r="151" spans="3:15" x14ac:dyDescent="0.25">
      <c r="C151" t="s">
        <v>715</v>
      </c>
      <c r="D151" t="s">
        <v>716</v>
      </c>
      <c r="E151" t="s">
        <v>717</v>
      </c>
      <c r="F151" t="s">
        <v>15</v>
      </c>
      <c r="G151" t="s">
        <v>50</v>
      </c>
      <c r="H151" s="5">
        <v>30077.45</v>
      </c>
      <c r="I151" t="s">
        <v>65</v>
      </c>
      <c r="J151" s="6">
        <v>43474</v>
      </c>
      <c r="K151">
        <v>1</v>
      </c>
      <c r="L151" t="s">
        <v>18</v>
      </c>
      <c r="M151" t="s">
        <v>45</v>
      </c>
      <c r="N151" s="9">
        <v>5.4520547945205475</v>
      </c>
      <c r="O151" t="s">
        <v>20</v>
      </c>
    </row>
    <row r="152" spans="3:15" x14ac:dyDescent="0.25">
      <c r="C152" t="s">
        <v>621</v>
      </c>
      <c r="D152" t="s">
        <v>622</v>
      </c>
      <c r="E152" t="s">
        <v>623</v>
      </c>
      <c r="F152" t="s">
        <v>15</v>
      </c>
      <c r="G152" t="s">
        <v>124</v>
      </c>
      <c r="H152" s="5">
        <v>80360.41</v>
      </c>
      <c r="I152" t="s">
        <v>26</v>
      </c>
      <c r="J152" s="6">
        <v>44167</v>
      </c>
      <c r="K152">
        <v>1</v>
      </c>
      <c r="L152" t="s">
        <v>18</v>
      </c>
      <c r="M152" t="s">
        <v>19</v>
      </c>
      <c r="N152" s="9">
        <v>3.5534246575342467</v>
      </c>
      <c r="O152" t="s">
        <v>20</v>
      </c>
    </row>
    <row r="153" spans="3:15" x14ac:dyDescent="0.25">
      <c r="C153" t="s">
        <v>563</v>
      </c>
      <c r="D153" t="s">
        <v>564</v>
      </c>
      <c r="E153" t="s">
        <v>565</v>
      </c>
      <c r="F153" t="s">
        <v>24</v>
      </c>
      <c r="G153" t="s">
        <v>124</v>
      </c>
      <c r="H153" s="5">
        <v>68795.48</v>
      </c>
      <c r="I153" t="s">
        <v>26</v>
      </c>
      <c r="J153" s="6">
        <v>44277</v>
      </c>
      <c r="K153">
        <v>0.2</v>
      </c>
      <c r="L153" t="s">
        <v>18</v>
      </c>
      <c r="M153" t="s">
        <v>19</v>
      </c>
      <c r="N153" s="9">
        <v>3.2520547945205478</v>
      </c>
      <c r="O153" t="s">
        <v>28</v>
      </c>
    </row>
    <row r="154" spans="3:15" x14ac:dyDescent="0.25">
      <c r="C154" t="s">
        <v>563</v>
      </c>
      <c r="D154" t="s">
        <v>564</v>
      </c>
      <c r="E154" t="s">
        <v>565</v>
      </c>
      <c r="F154" t="s">
        <v>24</v>
      </c>
      <c r="G154" t="s">
        <v>124</v>
      </c>
      <c r="H154" s="5">
        <v>68795.48</v>
      </c>
      <c r="I154" t="s">
        <v>26</v>
      </c>
      <c r="J154" s="6">
        <v>44277</v>
      </c>
      <c r="K154">
        <v>0.2</v>
      </c>
      <c r="L154" t="s">
        <v>18</v>
      </c>
      <c r="M154" t="s">
        <v>19</v>
      </c>
      <c r="N154" s="9">
        <v>3.2520547945205478</v>
      </c>
      <c r="O154" t="s">
        <v>28</v>
      </c>
    </row>
    <row r="155" spans="3:15" x14ac:dyDescent="0.25">
      <c r="C155" t="s">
        <v>386</v>
      </c>
      <c r="D155" t="s">
        <v>387</v>
      </c>
      <c r="E155" t="s">
        <v>388</v>
      </c>
      <c r="F155" t="s">
        <v>15</v>
      </c>
      <c r="G155" t="s">
        <v>25</v>
      </c>
      <c r="H155" s="5">
        <v>88511.17</v>
      </c>
      <c r="I155" t="s">
        <v>26</v>
      </c>
      <c r="J155" s="6">
        <v>43950</v>
      </c>
      <c r="K155">
        <v>1</v>
      </c>
      <c r="L155" t="s">
        <v>18</v>
      </c>
      <c r="M155" t="s">
        <v>72</v>
      </c>
      <c r="N155" s="9">
        <v>4.1479452054794521</v>
      </c>
      <c r="O155" t="s">
        <v>20</v>
      </c>
    </row>
    <row r="156" spans="3:15" x14ac:dyDescent="0.25">
      <c r="C156" t="s">
        <v>581</v>
      </c>
      <c r="D156" t="s">
        <v>582</v>
      </c>
      <c r="E156" t="s">
        <v>583</v>
      </c>
      <c r="F156" t="s">
        <v>15</v>
      </c>
      <c r="G156" t="s">
        <v>101</v>
      </c>
      <c r="H156" s="5">
        <v>57925.91</v>
      </c>
      <c r="I156" t="s">
        <v>26</v>
      </c>
      <c r="J156" s="6">
        <v>43572</v>
      </c>
      <c r="K156">
        <v>0.5</v>
      </c>
      <c r="L156" t="s">
        <v>18</v>
      </c>
      <c r="M156" t="s">
        <v>45</v>
      </c>
      <c r="N156" s="9">
        <v>5.183561643835616</v>
      </c>
      <c r="O156" t="s">
        <v>28</v>
      </c>
    </row>
    <row r="157" spans="3:15" x14ac:dyDescent="0.25">
      <c r="C157" t="s">
        <v>168</v>
      </c>
      <c r="D157" t="s">
        <v>169</v>
      </c>
      <c r="E157" t="s">
        <v>170</v>
      </c>
      <c r="F157" t="s">
        <v>15</v>
      </c>
      <c r="G157" t="s">
        <v>25</v>
      </c>
      <c r="H157" s="5">
        <v>80169.42</v>
      </c>
      <c r="I157" t="s">
        <v>26</v>
      </c>
      <c r="J157" s="6">
        <v>44053</v>
      </c>
      <c r="K157">
        <v>1</v>
      </c>
      <c r="L157" t="s">
        <v>18</v>
      </c>
      <c r="M157" t="s">
        <v>77</v>
      </c>
      <c r="N157" s="9">
        <v>3.8657534246575342</v>
      </c>
      <c r="O157" t="s">
        <v>20</v>
      </c>
    </row>
    <row r="158" spans="3:15" x14ac:dyDescent="0.25">
      <c r="C158" t="s">
        <v>168</v>
      </c>
      <c r="D158" t="s">
        <v>169</v>
      </c>
      <c r="E158" t="s">
        <v>170</v>
      </c>
      <c r="F158" t="s">
        <v>15</v>
      </c>
      <c r="G158" t="s">
        <v>25</v>
      </c>
      <c r="H158" s="5">
        <v>80169.42</v>
      </c>
      <c r="I158" t="s">
        <v>26</v>
      </c>
      <c r="J158" s="6">
        <v>44053</v>
      </c>
      <c r="K158">
        <v>1</v>
      </c>
      <c r="L158" t="s">
        <v>18</v>
      </c>
      <c r="M158" t="s">
        <v>77</v>
      </c>
      <c r="N158" s="9">
        <v>3.8657534246575342</v>
      </c>
      <c r="O158" t="s">
        <v>20</v>
      </c>
    </row>
    <row r="159" spans="3:15" x14ac:dyDescent="0.25">
      <c r="C159" t="s">
        <v>422</v>
      </c>
      <c r="D159" t="s">
        <v>423</v>
      </c>
      <c r="E159" t="s">
        <v>424</v>
      </c>
      <c r="F159" t="s">
        <v>15</v>
      </c>
      <c r="G159" t="s">
        <v>32</v>
      </c>
      <c r="H159" s="5">
        <v>88689.09</v>
      </c>
      <c r="I159" t="s">
        <v>26</v>
      </c>
      <c r="J159" s="6">
        <v>43740</v>
      </c>
      <c r="K159">
        <v>1</v>
      </c>
      <c r="L159" t="s">
        <v>18</v>
      </c>
      <c r="M159" t="s">
        <v>27</v>
      </c>
      <c r="N159" s="9">
        <v>4.7232876712328764</v>
      </c>
      <c r="O159" t="s">
        <v>20</v>
      </c>
    </row>
    <row r="160" spans="3:15" x14ac:dyDescent="0.25">
      <c r="C160" t="s">
        <v>697</v>
      </c>
      <c r="D160" t="s">
        <v>133</v>
      </c>
      <c r="E160" t="s">
        <v>134</v>
      </c>
      <c r="F160" t="s">
        <v>15</v>
      </c>
      <c r="G160" t="s">
        <v>25</v>
      </c>
      <c r="H160" s="5">
        <v>90884.32</v>
      </c>
      <c r="I160" t="s">
        <v>26</v>
      </c>
      <c r="J160" s="6">
        <v>44039</v>
      </c>
      <c r="K160">
        <v>0.5</v>
      </c>
      <c r="L160" t="s">
        <v>18</v>
      </c>
      <c r="M160" t="s">
        <v>72</v>
      </c>
      <c r="N160" s="9">
        <v>3.904109589041096</v>
      </c>
      <c r="O160" t="s">
        <v>28</v>
      </c>
    </row>
    <row r="161" spans="3:15" x14ac:dyDescent="0.25">
      <c r="C161" t="s">
        <v>660</v>
      </c>
      <c r="D161" t="s">
        <v>661</v>
      </c>
      <c r="E161" t="s">
        <v>662</v>
      </c>
      <c r="F161" t="s">
        <v>15</v>
      </c>
      <c r="G161" t="s">
        <v>58</v>
      </c>
      <c r="H161" s="5">
        <v>69709.509999999995</v>
      </c>
      <c r="I161" t="s">
        <v>26</v>
      </c>
      <c r="J161" s="6">
        <v>43472</v>
      </c>
      <c r="K161">
        <v>1</v>
      </c>
      <c r="L161" t="s">
        <v>18</v>
      </c>
      <c r="M161" t="s">
        <v>41</v>
      </c>
      <c r="N161" s="9">
        <v>5.4575342465753423</v>
      </c>
      <c r="O161" t="s">
        <v>20</v>
      </c>
    </row>
    <row r="162" spans="3:15" x14ac:dyDescent="0.25">
      <c r="C162" t="s">
        <v>718</v>
      </c>
      <c r="D162" t="s">
        <v>719</v>
      </c>
      <c r="E162" t="s">
        <v>720</v>
      </c>
      <c r="F162" t="s">
        <v>49</v>
      </c>
      <c r="G162" t="s">
        <v>101</v>
      </c>
      <c r="H162" s="5">
        <v>98012.63</v>
      </c>
      <c r="I162" t="s">
        <v>26</v>
      </c>
      <c r="J162" s="6">
        <v>43780</v>
      </c>
      <c r="K162">
        <v>1</v>
      </c>
      <c r="L162" t="s">
        <v>18</v>
      </c>
      <c r="M162" t="s">
        <v>19</v>
      </c>
      <c r="N162" s="9">
        <v>4.6136986301369864</v>
      </c>
      <c r="O162" t="s">
        <v>20</v>
      </c>
    </row>
    <row r="163" spans="3:15" x14ac:dyDescent="0.25">
      <c r="C163" t="s">
        <v>691</v>
      </c>
      <c r="D163" t="s">
        <v>692</v>
      </c>
      <c r="E163" t="s">
        <v>693</v>
      </c>
      <c r="F163" t="s">
        <v>15</v>
      </c>
      <c r="G163" t="s">
        <v>97</v>
      </c>
      <c r="H163" s="5">
        <v>28329.77</v>
      </c>
      <c r="I163" t="s">
        <v>65</v>
      </c>
      <c r="J163" s="6">
        <v>43402</v>
      </c>
      <c r="K163">
        <v>1</v>
      </c>
      <c r="L163" t="s">
        <v>18</v>
      </c>
      <c r="M163" t="s">
        <v>27</v>
      </c>
      <c r="N163" s="9">
        <v>5.6493150684931503</v>
      </c>
      <c r="O163" t="s">
        <v>20</v>
      </c>
    </row>
    <row r="164" spans="3:15" x14ac:dyDescent="0.25">
      <c r="C164" t="s">
        <v>252</v>
      </c>
      <c r="D164" t="s">
        <v>253</v>
      </c>
      <c r="E164" t="s">
        <v>254</v>
      </c>
      <c r="F164" t="s">
        <v>49</v>
      </c>
      <c r="G164" t="s">
        <v>97</v>
      </c>
      <c r="H164" s="5">
        <v>67957.899999999994</v>
      </c>
      <c r="I164" t="s">
        <v>26</v>
      </c>
      <c r="J164" s="6">
        <v>43430</v>
      </c>
      <c r="K164">
        <v>1</v>
      </c>
      <c r="L164" t="s">
        <v>18</v>
      </c>
      <c r="M164" t="s">
        <v>84</v>
      </c>
      <c r="N164" s="9">
        <v>5.5726027397260278</v>
      </c>
      <c r="O164" t="s">
        <v>20</v>
      </c>
    </row>
    <row r="165" spans="3:15" x14ac:dyDescent="0.25">
      <c r="C165" t="s">
        <v>156</v>
      </c>
      <c r="D165" t="s">
        <v>157</v>
      </c>
      <c r="E165" t="s">
        <v>158</v>
      </c>
      <c r="F165" t="s">
        <v>24</v>
      </c>
      <c r="G165" t="s">
        <v>101</v>
      </c>
      <c r="H165" s="5">
        <v>69163.39</v>
      </c>
      <c r="I165" t="s">
        <v>26</v>
      </c>
      <c r="J165" s="6">
        <v>43397</v>
      </c>
      <c r="K165">
        <v>1</v>
      </c>
      <c r="L165" t="s">
        <v>18</v>
      </c>
      <c r="M165" t="s">
        <v>19</v>
      </c>
      <c r="N165" s="9">
        <v>5.6630136986301371</v>
      </c>
      <c r="O165" t="s">
        <v>20</v>
      </c>
    </row>
    <row r="166" spans="3:15" x14ac:dyDescent="0.25">
      <c r="C166" t="s">
        <v>156</v>
      </c>
      <c r="D166" t="s">
        <v>157</v>
      </c>
      <c r="E166" t="s">
        <v>158</v>
      </c>
      <c r="F166" t="s">
        <v>24</v>
      </c>
      <c r="G166" t="s">
        <v>101</v>
      </c>
      <c r="H166" s="5">
        <v>69163.39</v>
      </c>
      <c r="I166" t="s">
        <v>26</v>
      </c>
      <c r="J166" s="6">
        <v>43397</v>
      </c>
      <c r="K166">
        <v>1</v>
      </c>
      <c r="L166" t="s">
        <v>18</v>
      </c>
      <c r="M166" t="s">
        <v>19</v>
      </c>
      <c r="N166" s="9">
        <v>5.6630136986301371</v>
      </c>
      <c r="O166" t="s">
        <v>20</v>
      </c>
    </row>
    <row r="167" spans="3:15" x14ac:dyDescent="0.25">
      <c r="C167" t="s">
        <v>492</v>
      </c>
      <c r="D167" t="s">
        <v>493</v>
      </c>
      <c r="E167" t="s">
        <v>494</v>
      </c>
      <c r="F167" t="s">
        <v>15</v>
      </c>
      <c r="G167" t="s">
        <v>105</v>
      </c>
      <c r="H167" s="5">
        <v>96753.78</v>
      </c>
      <c r="I167" t="s">
        <v>26</v>
      </c>
      <c r="J167" s="6">
        <v>44494</v>
      </c>
      <c r="K167">
        <v>1</v>
      </c>
      <c r="L167" t="s">
        <v>18</v>
      </c>
      <c r="M167" t="s">
        <v>77</v>
      </c>
      <c r="N167" s="9">
        <v>2.6575342465753424</v>
      </c>
      <c r="O167" t="s">
        <v>20</v>
      </c>
    </row>
    <row r="168" spans="3:15" x14ac:dyDescent="0.25">
      <c r="C168" t="s">
        <v>492</v>
      </c>
      <c r="D168" t="s">
        <v>493</v>
      </c>
      <c r="E168" t="s">
        <v>494</v>
      </c>
      <c r="F168" t="s">
        <v>15</v>
      </c>
      <c r="G168" t="s">
        <v>105</v>
      </c>
      <c r="H168" s="5">
        <v>96753.78</v>
      </c>
      <c r="I168" t="s">
        <v>26</v>
      </c>
      <c r="J168" s="6">
        <v>44494</v>
      </c>
      <c r="K168">
        <v>1</v>
      </c>
      <c r="L168" t="s">
        <v>18</v>
      </c>
      <c r="M168" t="s">
        <v>77</v>
      </c>
      <c r="N168" s="9">
        <v>2.6575342465753424</v>
      </c>
      <c r="O168" t="s">
        <v>20</v>
      </c>
    </row>
    <row r="169" spans="3:15" x14ac:dyDescent="0.25">
      <c r="C169" t="s">
        <v>495</v>
      </c>
      <c r="D169" t="s">
        <v>496</v>
      </c>
      <c r="E169" t="s">
        <v>497</v>
      </c>
      <c r="F169" t="s">
        <v>24</v>
      </c>
      <c r="G169" t="s">
        <v>50</v>
      </c>
      <c r="H169" s="5">
        <v>28974.03</v>
      </c>
      <c r="I169" t="s">
        <v>65</v>
      </c>
      <c r="J169" s="6">
        <v>43733</v>
      </c>
      <c r="K169">
        <v>1</v>
      </c>
      <c r="L169" t="s">
        <v>18</v>
      </c>
      <c r="M169" t="s">
        <v>77</v>
      </c>
      <c r="N169" s="9">
        <v>4.7424657534246579</v>
      </c>
      <c r="O169" t="s">
        <v>20</v>
      </c>
    </row>
    <row r="170" spans="3:15" x14ac:dyDescent="0.25">
      <c r="C170" t="s">
        <v>38</v>
      </c>
      <c r="D170" t="s">
        <v>39</v>
      </c>
      <c r="E170" t="s">
        <v>40</v>
      </c>
      <c r="F170" t="s">
        <v>24</v>
      </c>
      <c r="G170" t="s">
        <v>36</v>
      </c>
      <c r="H170" s="5">
        <v>57002.02</v>
      </c>
      <c r="I170" t="s">
        <v>26</v>
      </c>
      <c r="J170" s="6">
        <v>43192</v>
      </c>
      <c r="K170">
        <v>0.7</v>
      </c>
      <c r="L170" t="s">
        <v>18</v>
      </c>
      <c r="M170" t="s">
        <v>41</v>
      </c>
      <c r="N170" s="9">
        <v>6.2246575342465755</v>
      </c>
      <c r="O170" t="s">
        <v>28</v>
      </c>
    </row>
    <row r="171" spans="3:15" x14ac:dyDescent="0.25">
      <c r="C171" t="s">
        <v>439</v>
      </c>
      <c r="D171" t="s">
        <v>440</v>
      </c>
      <c r="E171" t="s">
        <v>441</v>
      </c>
      <c r="F171" t="s">
        <v>24</v>
      </c>
      <c r="G171" t="s">
        <v>25</v>
      </c>
      <c r="H171" s="5">
        <v>33031.26</v>
      </c>
      <c r="I171" t="s">
        <v>65</v>
      </c>
      <c r="J171" s="6">
        <v>43468</v>
      </c>
      <c r="K171">
        <v>0.4</v>
      </c>
      <c r="L171" t="s">
        <v>18</v>
      </c>
      <c r="M171" t="s">
        <v>41</v>
      </c>
      <c r="N171" s="9">
        <v>5.4684931506849317</v>
      </c>
      <c r="O171" t="s">
        <v>28</v>
      </c>
    </row>
    <row r="172" spans="3:15" x14ac:dyDescent="0.25">
      <c r="C172" t="s">
        <v>231</v>
      </c>
      <c r="D172" t="s">
        <v>232</v>
      </c>
      <c r="E172" t="s">
        <v>233</v>
      </c>
      <c r="F172" t="s">
        <v>24</v>
      </c>
      <c r="G172" t="s">
        <v>105</v>
      </c>
      <c r="H172" s="5">
        <v>84762.76</v>
      </c>
      <c r="I172" t="s">
        <v>26</v>
      </c>
      <c r="J172" s="6">
        <v>43332</v>
      </c>
      <c r="K172">
        <v>1</v>
      </c>
      <c r="L172" t="s">
        <v>18</v>
      </c>
      <c r="M172" t="s">
        <v>41</v>
      </c>
      <c r="N172" s="9">
        <v>5.8410958904109593</v>
      </c>
      <c r="O172" t="s">
        <v>20</v>
      </c>
    </row>
    <row r="173" spans="3:15" x14ac:dyDescent="0.25">
      <c r="C173" t="s">
        <v>722</v>
      </c>
      <c r="D173" t="s">
        <v>723</v>
      </c>
      <c r="E173" t="s">
        <v>724</v>
      </c>
      <c r="F173" t="s">
        <v>15</v>
      </c>
      <c r="G173" t="s">
        <v>16</v>
      </c>
      <c r="H173" s="5">
        <v>92943.89</v>
      </c>
      <c r="I173" t="s">
        <v>26</v>
      </c>
      <c r="J173" s="6">
        <v>44510</v>
      </c>
      <c r="K173">
        <v>1</v>
      </c>
      <c r="L173" t="s">
        <v>18</v>
      </c>
      <c r="M173" t="s">
        <v>41</v>
      </c>
      <c r="N173" s="9">
        <v>2.6136986301369864</v>
      </c>
      <c r="O173" t="s">
        <v>20</v>
      </c>
    </row>
    <row r="174" spans="3:15" x14ac:dyDescent="0.25">
      <c r="C174" t="s">
        <v>207</v>
      </c>
      <c r="D174" t="s">
        <v>208</v>
      </c>
      <c r="E174" t="s">
        <v>209</v>
      </c>
      <c r="F174" t="s">
        <v>24</v>
      </c>
      <c r="G174" t="s">
        <v>58</v>
      </c>
      <c r="H174" s="5">
        <v>39700.82</v>
      </c>
      <c r="I174" t="s">
        <v>65</v>
      </c>
      <c r="J174" s="6">
        <v>44203</v>
      </c>
      <c r="K174">
        <v>0.8</v>
      </c>
      <c r="L174" t="s">
        <v>18</v>
      </c>
      <c r="M174" t="s">
        <v>84</v>
      </c>
      <c r="N174" s="9">
        <v>3.4547945205479453</v>
      </c>
      <c r="O174" t="s">
        <v>28</v>
      </c>
    </row>
    <row r="175" spans="3:15" x14ac:dyDescent="0.25">
      <c r="C175" t="s">
        <v>207</v>
      </c>
      <c r="D175" t="s">
        <v>592</v>
      </c>
      <c r="E175" t="s">
        <v>731</v>
      </c>
      <c r="F175" t="s">
        <v>24</v>
      </c>
      <c r="G175" t="s">
        <v>58</v>
      </c>
      <c r="H175" s="5">
        <v>39700.82</v>
      </c>
      <c r="I175" t="s">
        <v>65</v>
      </c>
      <c r="J175" s="6">
        <v>44203</v>
      </c>
      <c r="K175">
        <v>0.8</v>
      </c>
      <c r="L175" t="s">
        <v>18</v>
      </c>
      <c r="M175" t="s">
        <v>84</v>
      </c>
      <c r="N175" s="9">
        <v>3.4547945205479453</v>
      </c>
      <c r="O175" t="s">
        <v>28</v>
      </c>
    </row>
    <row r="176" spans="3:15" x14ac:dyDescent="0.25">
      <c r="C176" t="s">
        <v>377</v>
      </c>
      <c r="D176" t="s">
        <v>378</v>
      </c>
      <c r="E176" t="s">
        <v>379</v>
      </c>
      <c r="F176" t="s">
        <v>15</v>
      </c>
      <c r="G176" t="s">
        <v>25</v>
      </c>
      <c r="H176" s="5">
        <v>39784.239999999998</v>
      </c>
      <c r="I176" t="s">
        <v>65</v>
      </c>
      <c r="J176" s="6">
        <v>43465</v>
      </c>
      <c r="K176">
        <v>1</v>
      </c>
      <c r="L176" t="s">
        <v>37</v>
      </c>
      <c r="M176" t="s">
        <v>84</v>
      </c>
      <c r="N176" s="9">
        <v>5.4767123287671229</v>
      </c>
      <c r="O176" t="s">
        <v>20</v>
      </c>
    </row>
    <row r="177" spans="3:15" x14ac:dyDescent="0.25">
      <c r="C177" t="s">
        <v>554</v>
      </c>
      <c r="D177" t="s">
        <v>555</v>
      </c>
      <c r="E177" t="s">
        <v>556</v>
      </c>
      <c r="F177" t="s">
        <v>15</v>
      </c>
      <c r="G177" t="s">
        <v>54</v>
      </c>
      <c r="H177" s="5">
        <v>31816.57</v>
      </c>
      <c r="I177" t="s">
        <v>65</v>
      </c>
      <c r="J177" s="6">
        <v>43497</v>
      </c>
      <c r="K177">
        <v>0.3</v>
      </c>
      <c r="L177" t="s">
        <v>37</v>
      </c>
      <c r="M177" t="s">
        <v>19</v>
      </c>
      <c r="N177" s="9">
        <v>5.3890410958904109</v>
      </c>
      <c r="O177" t="s">
        <v>28</v>
      </c>
    </row>
    <row r="178" spans="3:15" x14ac:dyDescent="0.25">
      <c r="C178" t="s">
        <v>180</v>
      </c>
      <c r="D178" t="s">
        <v>181</v>
      </c>
      <c r="E178" t="s">
        <v>182</v>
      </c>
      <c r="F178" t="s">
        <v>24</v>
      </c>
      <c r="G178" t="s">
        <v>124</v>
      </c>
      <c r="H178" s="5">
        <v>67818.14</v>
      </c>
      <c r="I178" t="s">
        <v>26</v>
      </c>
      <c r="J178" s="6">
        <v>43406</v>
      </c>
      <c r="K178">
        <v>0.6</v>
      </c>
      <c r="L178" t="s">
        <v>37</v>
      </c>
      <c r="M178" t="s">
        <v>19</v>
      </c>
      <c r="N178" s="9">
        <v>5.6383561643835618</v>
      </c>
      <c r="O178" t="s">
        <v>28</v>
      </c>
    </row>
    <row r="179" spans="3:15" x14ac:dyDescent="0.25">
      <c r="C179" t="s">
        <v>180</v>
      </c>
      <c r="D179" t="s">
        <v>181</v>
      </c>
      <c r="E179" t="s">
        <v>182</v>
      </c>
      <c r="F179" t="s">
        <v>24</v>
      </c>
      <c r="G179" t="s">
        <v>124</v>
      </c>
      <c r="H179" s="5">
        <v>67818.14</v>
      </c>
      <c r="I179" t="s">
        <v>26</v>
      </c>
      <c r="J179" s="6">
        <v>43406</v>
      </c>
      <c r="K179">
        <v>0.6</v>
      </c>
      <c r="L179" t="s">
        <v>37</v>
      </c>
      <c r="M179" t="s">
        <v>19</v>
      </c>
      <c r="N179" s="9">
        <v>5.6383561643835618</v>
      </c>
      <c r="O179" t="s">
        <v>28</v>
      </c>
    </row>
    <row r="180" spans="3:15" x14ac:dyDescent="0.25">
      <c r="C180" t="s">
        <v>195</v>
      </c>
      <c r="D180" t="s">
        <v>196</v>
      </c>
      <c r="E180" t="s">
        <v>197</v>
      </c>
      <c r="F180" t="s">
        <v>15</v>
      </c>
      <c r="G180" t="s">
        <v>36</v>
      </c>
      <c r="H180" s="5">
        <v>79567.69</v>
      </c>
      <c r="I180" t="s">
        <v>26</v>
      </c>
      <c r="J180" s="6">
        <v>43272</v>
      </c>
      <c r="K180">
        <v>1</v>
      </c>
      <c r="L180" t="s">
        <v>37</v>
      </c>
      <c r="M180" t="s">
        <v>84</v>
      </c>
      <c r="N180" s="9">
        <v>6.0054794520547947</v>
      </c>
      <c r="O180" t="s">
        <v>20</v>
      </c>
    </row>
    <row r="181" spans="3:15" x14ac:dyDescent="0.25">
      <c r="C181" t="s">
        <v>219</v>
      </c>
      <c r="D181" t="s">
        <v>220</v>
      </c>
      <c r="E181" t="s">
        <v>221</v>
      </c>
      <c r="F181" t="s">
        <v>15</v>
      </c>
      <c r="G181" t="s">
        <v>97</v>
      </c>
      <c r="H181" s="5">
        <v>72876.91</v>
      </c>
      <c r="I181" t="s">
        <v>26</v>
      </c>
      <c r="J181" s="6">
        <v>43612</v>
      </c>
      <c r="K181">
        <v>0.4</v>
      </c>
      <c r="L181" t="s">
        <v>37</v>
      </c>
      <c r="M181" t="s">
        <v>77</v>
      </c>
      <c r="N181" s="9">
        <v>5.0739726027397261</v>
      </c>
      <c r="O181" t="s">
        <v>28</v>
      </c>
    </row>
    <row r="182" spans="3:15" x14ac:dyDescent="0.25">
      <c r="C182" t="s">
        <v>569</v>
      </c>
      <c r="D182" t="s">
        <v>570</v>
      </c>
      <c r="E182" t="s">
        <v>571</v>
      </c>
      <c r="F182" t="s">
        <v>15</v>
      </c>
      <c r="G182" t="s">
        <v>58</v>
      </c>
      <c r="H182" s="5">
        <v>78705.929999999993</v>
      </c>
      <c r="I182" t="s">
        <v>26</v>
      </c>
      <c r="J182" s="6">
        <v>43409</v>
      </c>
      <c r="K182">
        <v>1</v>
      </c>
      <c r="L182" t="s">
        <v>37</v>
      </c>
      <c r="M182" t="s">
        <v>27</v>
      </c>
      <c r="N182" s="9">
        <v>5.6301369863013697</v>
      </c>
      <c r="O182" t="s">
        <v>20</v>
      </c>
    </row>
    <row r="183" spans="3:15" x14ac:dyDescent="0.25">
      <c r="C183" t="s">
        <v>106</v>
      </c>
      <c r="D183" t="s">
        <v>107</v>
      </c>
      <c r="E183" t="s">
        <v>108</v>
      </c>
      <c r="F183" t="s">
        <v>15</v>
      </c>
      <c r="G183" t="s">
        <v>16</v>
      </c>
      <c r="H183" s="5">
        <v>43329.22</v>
      </c>
      <c r="I183" t="s">
        <v>65</v>
      </c>
      <c r="J183" s="6">
        <v>43809</v>
      </c>
      <c r="K183">
        <v>0.5</v>
      </c>
      <c r="L183" t="s">
        <v>37</v>
      </c>
      <c r="M183" t="s">
        <v>19</v>
      </c>
      <c r="N183" s="9">
        <v>4.5342465753424657</v>
      </c>
      <c r="O183" t="s">
        <v>28</v>
      </c>
    </row>
    <row r="184" spans="3:15" x14ac:dyDescent="0.25">
      <c r="C184" t="s">
        <v>303</v>
      </c>
      <c r="D184" t="s">
        <v>304</v>
      </c>
      <c r="E184" t="s">
        <v>305</v>
      </c>
      <c r="F184" t="s">
        <v>24</v>
      </c>
      <c r="G184" t="s">
        <v>58</v>
      </c>
      <c r="H184" s="5">
        <v>99683.67</v>
      </c>
      <c r="I184" t="s">
        <v>26</v>
      </c>
      <c r="J184" s="6">
        <v>43500</v>
      </c>
      <c r="K184">
        <v>1</v>
      </c>
      <c r="L184" t="s">
        <v>37</v>
      </c>
      <c r="M184" t="s">
        <v>27</v>
      </c>
      <c r="N184" s="9">
        <v>5.3808219178082188</v>
      </c>
      <c r="O184" t="s">
        <v>20</v>
      </c>
    </row>
    <row r="185" spans="3:15" x14ac:dyDescent="0.25">
      <c r="C185" t="s">
        <v>303</v>
      </c>
      <c r="D185" t="s">
        <v>304</v>
      </c>
      <c r="E185" t="s">
        <v>305</v>
      </c>
      <c r="F185" t="s">
        <v>24</v>
      </c>
      <c r="G185" t="s">
        <v>58</v>
      </c>
      <c r="H185" s="5">
        <v>99683.67</v>
      </c>
      <c r="I185" t="s">
        <v>26</v>
      </c>
      <c r="J185" s="6">
        <v>43500</v>
      </c>
      <c r="K185">
        <v>1</v>
      </c>
      <c r="L185" t="s">
        <v>37</v>
      </c>
      <c r="M185" t="s">
        <v>27</v>
      </c>
      <c r="N185" s="9">
        <v>5.3808219178082188</v>
      </c>
      <c r="O185" t="s">
        <v>20</v>
      </c>
    </row>
    <row r="186" spans="3:15" x14ac:dyDescent="0.25">
      <c r="C186" t="s">
        <v>264</v>
      </c>
      <c r="D186" t="s">
        <v>265</v>
      </c>
      <c r="E186" t="s">
        <v>266</v>
      </c>
      <c r="F186" t="s">
        <v>15</v>
      </c>
      <c r="G186" t="s">
        <v>124</v>
      </c>
      <c r="H186" s="5">
        <v>106775.14</v>
      </c>
      <c r="I186" t="s">
        <v>17</v>
      </c>
      <c r="J186" s="6">
        <v>43563</v>
      </c>
      <c r="K186">
        <v>1</v>
      </c>
      <c r="L186" t="s">
        <v>37</v>
      </c>
      <c r="M186" t="s">
        <v>41</v>
      </c>
      <c r="N186" s="9">
        <v>5.2082191780821914</v>
      </c>
      <c r="O186" t="s">
        <v>20</v>
      </c>
    </row>
    <row r="187" spans="3:15" x14ac:dyDescent="0.25">
      <c r="C187" t="s">
        <v>264</v>
      </c>
      <c r="D187" t="s">
        <v>363</v>
      </c>
      <c r="E187" t="s">
        <v>364</v>
      </c>
      <c r="F187" t="s">
        <v>15</v>
      </c>
      <c r="G187" t="s">
        <v>124</v>
      </c>
      <c r="H187" s="5">
        <v>106775.14</v>
      </c>
      <c r="I187" t="s">
        <v>17</v>
      </c>
      <c r="J187" s="6">
        <v>43563</v>
      </c>
      <c r="K187">
        <v>1</v>
      </c>
      <c r="L187" t="s">
        <v>37</v>
      </c>
      <c r="M187" t="s">
        <v>41</v>
      </c>
      <c r="N187" s="9">
        <v>5.2082191780821914</v>
      </c>
      <c r="O187" t="s">
        <v>20</v>
      </c>
    </row>
    <row r="188" spans="3:15" x14ac:dyDescent="0.25">
      <c r="C188" t="s">
        <v>539</v>
      </c>
      <c r="D188" t="s">
        <v>540</v>
      </c>
      <c r="E188" t="s">
        <v>541</v>
      </c>
      <c r="F188" t="s">
        <v>24</v>
      </c>
      <c r="G188" t="s">
        <v>97</v>
      </c>
      <c r="H188" s="5">
        <v>73488.679999999993</v>
      </c>
      <c r="I188" t="s">
        <v>26</v>
      </c>
      <c r="J188" s="6">
        <v>43570</v>
      </c>
      <c r="K188">
        <v>1</v>
      </c>
      <c r="L188" t="s">
        <v>37</v>
      </c>
      <c r="M188" t="s">
        <v>27</v>
      </c>
      <c r="N188" s="9">
        <v>5.1890410958904107</v>
      </c>
      <c r="O188" t="s">
        <v>20</v>
      </c>
    </row>
    <row r="189" spans="3:15" x14ac:dyDescent="0.25">
      <c r="C189" t="s">
        <v>383</v>
      </c>
      <c r="D189" t="s">
        <v>384</v>
      </c>
      <c r="E189" t="s">
        <v>385</v>
      </c>
      <c r="F189" t="s">
        <v>15</v>
      </c>
      <c r="G189" t="s">
        <v>131</v>
      </c>
      <c r="H189" s="5">
        <v>72843.23</v>
      </c>
      <c r="I189" t="s">
        <v>26</v>
      </c>
      <c r="J189" s="6">
        <v>43280</v>
      </c>
      <c r="K189">
        <v>1</v>
      </c>
      <c r="L189" t="s">
        <v>37</v>
      </c>
      <c r="M189" t="s">
        <v>45</v>
      </c>
      <c r="N189" s="9">
        <v>5.9835616438356167</v>
      </c>
      <c r="O189" t="s">
        <v>20</v>
      </c>
    </row>
    <row r="190" spans="3:15" x14ac:dyDescent="0.25">
      <c r="C190" t="s">
        <v>576</v>
      </c>
      <c r="D190" t="s">
        <v>238</v>
      </c>
      <c r="E190" t="s">
        <v>577</v>
      </c>
      <c r="F190" t="s">
        <v>24</v>
      </c>
      <c r="G190" t="s">
        <v>124</v>
      </c>
      <c r="H190" s="5">
        <v>91929.69</v>
      </c>
      <c r="I190" t="s">
        <v>26</v>
      </c>
      <c r="J190" s="6">
        <v>44085</v>
      </c>
      <c r="K190">
        <v>1</v>
      </c>
      <c r="L190" t="s">
        <v>37</v>
      </c>
      <c r="M190" t="s">
        <v>19</v>
      </c>
      <c r="N190" s="9">
        <v>3.7780821917808218</v>
      </c>
      <c r="O190" t="s">
        <v>20</v>
      </c>
    </row>
    <row r="191" spans="3:15" x14ac:dyDescent="0.25">
      <c r="C191" t="s">
        <v>542</v>
      </c>
      <c r="D191" t="s">
        <v>543</v>
      </c>
      <c r="E191" t="s">
        <v>544</v>
      </c>
      <c r="F191" t="s">
        <v>24</v>
      </c>
      <c r="G191" t="s">
        <v>97</v>
      </c>
      <c r="H191" s="5">
        <v>92704.48</v>
      </c>
      <c r="I191" t="s">
        <v>26</v>
      </c>
      <c r="J191" s="6">
        <v>43430</v>
      </c>
      <c r="K191">
        <v>1</v>
      </c>
      <c r="L191" t="s">
        <v>37</v>
      </c>
      <c r="M191" t="s">
        <v>72</v>
      </c>
      <c r="N191" s="9">
        <v>5.5726027397260278</v>
      </c>
      <c r="O191" t="s">
        <v>20</v>
      </c>
    </row>
    <row r="192" spans="3:15" x14ac:dyDescent="0.25">
      <c r="C192" t="s">
        <v>153</v>
      </c>
      <c r="D192" t="s">
        <v>154</v>
      </c>
      <c r="E192" t="s">
        <v>155</v>
      </c>
      <c r="F192" t="s">
        <v>24</v>
      </c>
      <c r="G192" t="s">
        <v>50</v>
      </c>
      <c r="H192" s="5">
        <v>100371.31</v>
      </c>
      <c r="I192" t="s">
        <v>17</v>
      </c>
      <c r="J192" s="6">
        <v>44067</v>
      </c>
      <c r="K192">
        <v>0.8</v>
      </c>
      <c r="L192" t="s">
        <v>37</v>
      </c>
      <c r="M192" t="s">
        <v>77</v>
      </c>
      <c r="N192" s="9">
        <v>3.8273972602739725</v>
      </c>
      <c r="O192" t="s">
        <v>28</v>
      </c>
    </row>
    <row r="193" spans="3:15" x14ac:dyDescent="0.25">
      <c r="C193" t="s">
        <v>694</v>
      </c>
      <c r="D193" t="s">
        <v>695</v>
      </c>
      <c r="E193" t="s">
        <v>696</v>
      </c>
      <c r="F193" t="s">
        <v>24</v>
      </c>
      <c r="G193" t="s">
        <v>36</v>
      </c>
      <c r="H193" s="5">
        <v>93964.3</v>
      </c>
      <c r="I193" t="s">
        <v>26</v>
      </c>
      <c r="J193" s="6">
        <v>44454</v>
      </c>
      <c r="K193">
        <v>0.4</v>
      </c>
      <c r="L193" t="s">
        <v>37</v>
      </c>
      <c r="M193" t="s">
        <v>41</v>
      </c>
      <c r="N193" s="9">
        <v>2.7671232876712328</v>
      </c>
      <c r="O193" t="s">
        <v>28</v>
      </c>
    </row>
    <row r="194" spans="3:15" x14ac:dyDescent="0.25">
      <c r="C194" t="s">
        <v>237</v>
      </c>
      <c r="D194" t="s">
        <v>238</v>
      </c>
      <c r="E194" t="s">
        <v>239</v>
      </c>
      <c r="F194" t="s">
        <v>49</v>
      </c>
      <c r="G194" t="s">
        <v>97</v>
      </c>
      <c r="H194" s="5">
        <v>99448.78</v>
      </c>
      <c r="I194" t="s">
        <v>26</v>
      </c>
      <c r="J194" s="6">
        <v>43473</v>
      </c>
      <c r="K194">
        <v>1</v>
      </c>
      <c r="L194" t="s">
        <v>37</v>
      </c>
      <c r="M194" t="s">
        <v>45</v>
      </c>
      <c r="N194" s="9">
        <v>5.4547945205479449</v>
      </c>
      <c r="O194" t="s">
        <v>20</v>
      </c>
    </row>
    <row r="195" spans="3:15" x14ac:dyDescent="0.25">
      <c r="C195" t="s">
        <v>237</v>
      </c>
      <c r="D195" t="s">
        <v>238</v>
      </c>
      <c r="E195" t="s">
        <v>239</v>
      </c>
      <c r="F195" t="s">
        <v>49</v>
      </c>
      <c r="G195" t="s">
        <v>97</v>
      </c>
      <c r="H195" s="5">
        <v>99448.78</v>
      </c>
      <c r="I195" t="s">
        <v>26</v>
      </c>
      <c r="J195" s="6">
        <v>43473</v>
      </c>
      <c r="K195">
        <v>1</v>
      </c>
      <c r="L195" t="s">
        <v>37</v>
      </c>
      <c r="M195" t="s">
        <v>45</v>
      </c>
      <c r="N195" s="9">
        <v>5.4547945205479449</v>
      </c>
      <c r="O195" t="s">
        <v>20</v>
      </c>
    </row>
    <row r="196" spans="3:15" x14ac:dyDescent="0.25">
      <c r="C196" t="s">
        <v>475</v>
      </c>
      <c r="D196" t="s">
        <v>476</v>
      </c>
      <c r="E196" t="s">
        <v>477</v>
      </c>
      <c r="F196" t="s">
        <v>15</v>
      </c>
      <c r="G196" t="s">
        <v>25</v>
      </c>
      <c r="H196" s="5">
        <v>69764.100000000006</v>
      </c>
      <c r="I196" t="s">
        <v>26</v>
      </c>
      <c r="J196" s="6">
        <v>44195</v>
      </c>
      <c r="K196">
        <v>1</v>
      </c>
      <c r="L196" t="s">
        <v>37</v>
      </c>
      <c r="M196" t="s">
        <v>27</v>
      </c>
      <c r="N196" s="9">
        <v>3.4767123287671233</v>
      </c>
      <c r="O196" t="s">
        <v>20</v>
      </c>
    </row>
    <row r="197" spans="3:15" x14ac:dyDescent="0.25">
      <c r="C197" t="s">
        <v>300</v>
      </c>
      <c r="D197" t="s">
        <v>301</v>
      </c>
      <c r="E197" t="s">
        <v>302</v>
      </c>
      <c r="F197" t="s">
        <v>24</v>
      </c>
      <c r="G197" t="s">
        <v>50</v>
      </c>
      <c r="H197" s="5">
        <v>104038.9</v>
      </c>
      <c r="I197" t="s">
        <v>17</v>
      </c>
      <c r="J197" s="6">
        <v>43815</v>
      </c>
      <c r="K197">
        <v>1</v>
      </c>
      <c r="L197" t="s">
        <v>37</v>
      </c>
      <c r="M197" t="s">
        <v>19</v>
      </c>
      <c r="N197" s="9">
        <v>4.5178082191780824</v>
      </c>
      <c r="O197" t="s">
        <v>20</v>
      </c>
    </row>
    <row r="198" spans="3:15" x14ac:dyDescent="0.25">
      <c r="C198" t="s">
        <v>732</v>
      </c>
      <c r="D198" t="s">
        <v>733</v>
      </c>
      <c r="E198" t="s">
        <v>734</v>
      </c>
      <c r="F198" t="s">
        <v>24</v>
      </c>
      <c r="G198" t="s">
        <v>131</v>
      </c>
      <c r="H198" s="5">
        <v>31089.22</v>
      </c>
      <c r="I198" t="s">
        <v>65</v>
      </c>
      <c r="J198" s="6">
        <v>43776</v>
      </c>
      <c r="K198">
        <v>1</v>
      </c>
      <c r="L198" t="s">
        <v>37</v>
      </c>
      <c r="M198" t="s">
        <v>84</v>
      </c>
      <c r="N198" s="9">
        <v>4.624657534246575</v>
      </c>
      <c r="O198" t="s">
        <v>20</v>
      </c>
    </row>
    <row r="199" spans="3:15" x14ac:dyDescent="0.25">
      <c r="C199" t="s">
        <v>587</v>
      </c>
      <c r="D199" t="s">
        <v>588</v>
      </c>
      <c r="E199" t="s">
        <v>589</v>
      </c>
      <c r="F199" t="s">
        <v>15</v>
      </c>
      <c r="G199" t="s">
        <v>16</v>
      </c>
      <c r="H199" s="5">
        <v>53184.02</v>
      </c>
      <c r="I199" t="s">
        <v>26</v>
      </c>
      <c r="J199" s="6">
        <v>43180</v>
      </c>
      <c r="K199">
        <v>1</v>
      </c>
      <c r="L199" t="s">
        <v>37</v>
      </c>
      <c r="M199" t="s">
        <v>19</v>
      </c>
      <c r="N199" s="9">
        <v>6.2575342465753421</v>
      </c>
      <c r="O199" t="s">
        <v>20</v>
      </c>
    </row>
    <row r="200" spans="3:15" x14ac:dyDescent="0.25">
      <c r="C200" t="s">
        <v>636</v>
      </c>
      <c r="D200" t="s">
        <v>637</v>
      </c>
      <c r="E200" t="s">
        <v>638</v>
      </c>
      <c r="F200" t="s">
        <v>24</v>
      </c>
      <c r="G200" t="s">
        <v>124</v>
      </c>
      <c r="H200" s="5">
        <v>49625.64</v>
      </c>
      <c r="I200" t="s">
        <v>65</v>
      </c>
      <c r="J200" s="6">
        <v>44384</v>
      </c>
      <c r="K200">
        <v>0.5</v>
      </c>
      <c r="L200" t="s">
        <v>37</v>
      </c>
      <c r="M200" t="s">
        <v>19</v>
      </c>
      <c r="N200" s="9">
        <v>2.9589041095890409</v>
      </c>
      <c r="O200" t="s">
        <v>28</v>
      </c>
    </row>
    <row r="201" spans="3:15" x14ac:dyDescent="0.25">
      <c r="C201" t="s">
        <v>463</v>
      </c>
      <c r="D201" t="s">
        <v>464</v>
      </c>
      <c r="E201" t="s">
        <v>465</v>
      </c>
      <c r="F201" t="s">
        <v>15</v>
      </c>
      <c r="G201" t="s">
        <v>32</v>
      </c>
      <c r="H201" s="5">
        <v>47646.95</v>
      </c>
      <c r="I201" t="s">
        <v>65</v>
      </c>
      <c r="J201" s="6">
        <v>43791</v>
      </c>
      <c r="K201">
        <v>0.3</v>
      </c>
      <c r="L201" t="s">
        <v>37</v>
      </c>
      <c r="M201" t="s">
        <v>84</v>
      </c>
      <c r="N201" s="9">
        <v>4.5835616438356164</v>
      </c>
      <c r="O201" t="s">
        <v>28</v>
      </c>
    </row>
    <row r="202" spans="3:15" x14ac:dyDescent="0.25">
      <c r="C202" t="s">
        <v>615</v>
      </c>
      <c r="D202" t="s">
        <v>247</v>
      </c>
      <c r="E202" t="s">
        <v>616</v>
      </c>
      <c r="F202" t="s">
        <v>15</v>
      </c>
      <c r="G202" t="s">
        <v>124</v>
      </c>
      <c r="H202" s="5">
        <v>89960.6</v>
      </c>
      <c r="I202" t="s">
        <v>26</v>
      </c>
      <c r="J202" s="6">
        <v>43515</v>
      </c>
      <c r="K202">
        <v>1</v>
      </c>
      <c r="L202" t="s">
        <v>37</v>
      </c>
      <c r="M202" t="s">
        <v>77</v>
      </c>
      <c r="N202" s="9">
        <v>5.3397260273972602</v>
      </c>
      <c r="O202" t="s">
        <v>20</v>
      </c>
    </row>
    <row r="203" spans="3:15" x14ac:dyDescent="0.25">
      <c r="C203" t="s">
        <v>710</v>
      </c>
      <c r="D203" t="s">
        <v>711</v>
      </c>
      <c r="E203" t="s">
        <v>712</v>
      </c>
      <c r="F203" t="s">
        <v>15</v>
      </c>
      <c r="G203" t="s">
        <v>105</v>
      </c>
      <c r="H203" s="5">
        <v>91314.75</v>
      </c>
      <c r="I203" t="s">
        <v>26</v>
      </c>
      <c r="J203" s="6">
        <v>43931</v>
      </c>
      <c r="K203">
        <v>1</v>
      </c>
      <c r="L203" t="s">
        <v>37</v>
      </c>
      <c r="M203" t="s">
        <v>27</v>
      </c>
      <c r="N203" s="9">
        <v>4.2</v>
      </c>
      <c r="O203" t="s">
        <v>20</v>
      </c>
    </row>
    <row r="204" spans="3:15" x14ac:dyDescent="0.25">
      <c r="C204" t="s">
        <v>62</v>
      </c>
      <c r="D204" t="s">
        <v>63</v>
      </c>
      <c r="E204" t="s">
        <v>64</v>
      </c>
      <c r="F204" t="s">
        <v>24</v>
      </c>
      <c r="G204" t="s">
        <v>32</v>
      </c>
      <c r="H204" s="5">
        <v>42314.39</v>
      </c>
      <c r="I204" t="s">
        <v>65</v>
      </c>
      <c r="J204" s="6">
        <v>44487</v>
      </c>
      <c r="K204">
        <v>1</v>
      </c>
      <c r="L204" t="s">
        <v>37</v>
      </c>
      <c r="M204" t="s">
        <v>19</v>
      </c>
      <c r="N204" s="9">
        <v>2.6767123287671235</v>
      </c>
      <c r="O204" t="s">
        <v>20</v>
      </c>
    </row>
    <row r="205" spans="3:15" x14ac:dyDescent="0.25">
      <c r="C205" t="s">
        <v>478</v>
      </c>
      <c r="D205" t="s">
        <v>479</v>
      </c>
      <c r="E205" t="s">
        <v>480</v>
      </c>
      <c r="F205" t="s">
        <v>24</v>
      </c>
      <c r="G205" t="s">
        <v>105</v>
      </c>
      <c r="H205" s="5">
        <v>84598.88</v>
      </c>
      <c r="I205" t="s">
        <v>26</v>
      </c>
      <c r="J205" s="6">
        <v>44116</v>
      </c>
      <c r="K205">
        <v>1</v>
      </c>
      <c r="L205" t="s">
        <v>37</v>
      </c>
      <c r="M205" t="s">
        <v>27</v>
      </c>
      <c r="N205" s="9">
        <v>3.6931506849315068</v>
      </c>
      <c r="O205" t="s">
        <v>20</v>
      </c>
    </row>
    <row r="206" spans="3:15" x14ac:dyDescent="0.25">
      <c r="C206" t="s">
        <v>478</v>
      </c>
      <c r="D206" t="s">
        <v>479</v>
      </c>
      <c r="E206" t="s">
        <v>480</v>
      </c>
      <c r="F206" t="s">
        <v>24</v>
      </c>
      <c r="G206" t="s">
        <v>105</v>
      </c>
      <c r="H206" s="5">
        <v>84598.88</v>
      </c>
      <c r="I206" t="s">
        <v>26</v>
      </c>
      <c r="J206" s="6">
        <v>44116</v>
      </c>
      <c r="K206">
        <v>1</v>
      </c>
      <c r="L206" t="s">
        <v>37</v>
      </c>
      <c r="M206" t="s">
        <v>27</v>
      </c>
      <c r="N206" s="9">
        <v>3.6931506849315068</v>
      </c>
      <c r="O206" t="s">
        <v>20</v>
      </c>
    </row>
    <row r="207" spans="3:15" x14ac:dyDescent="0.25">
      <c r="C207" t="s">
        <v>545</v>
      </c>
      <c r="D207" t="s">
        <v>546</v>
      </c>
      <c r="E207" t="s">
        <v>547</v>
      </c>
      <c r="F207" t="s">
        <v>15</v>
      </c>
      <c r="G207" t="s">
        <v>16</v>
      </c>
      <c r="H207" s="5">
        <v>78443.78</v>
      </c>
      <c r="I207" t="s">
        <v>26</v>
      </c>
      <c r="J207" s="6">
        <v>43599</v>
      </c>
      <c r="K207">
        <v>1</v>
      </c>
      <c r="L207" t="s">
        <v>37</v>
      </c>
      <c r="M207" t="s">
        <v>41</v>
      </c>
      <c r="N207" s="9">
        <v>5.1095890410958908</v>
      </c>
      <c r="O207" t="s">
        <v>20</v>
      </c>
    </row>
    <row r="208" spans="3:15" x14ac:dyDescent="0.25">
      <c r="C208" t="s">
        <v>663</v>
      </c>
      <c r="D208" t="s">
        <v>664</v>
      </c>
      <c r="E208" t="s">
        <v>665</v>
      </c>
      <c r="F208" t="s">
        <v>24</v>
      </c>
      <c r="G208" t="s">
        <v>58</v>
      </c>
      <c r="H208" s="5">
        <v>46751.7</v>
      </c>
      <c r="I208" t="s">
        <v>65</v>
      </c>
      <c r="J208" s="6">
        <v>43843</v>
      </c>
      <c r="K208">
        <v>1</v>
      </c>
      <c r="L208" t="s">
        <v>37</v>
      </c>
      <c r="M208" t="s">
        <v>41</v>
      </c>
      <c r="N208" s="9">
        <v>4.441095890410959</v>
      </c>
      <c r="O208" t="s">
        <v>20</v>
      </c>
    </row>
    <row r="209" spans="3:15" x14ac:dyDescent="0.25">
      <c r="C209" t="s">
        <v>177</v>
      </c>
      <c r="D209" t="s">
        <v>178</v>
      </c>
      <c r="E209" t="s">
        <v>179</v>
      </c>
      <c r="F209" t="s">
        <v>15</v>
      </c>
      <c r="G209" t="s">
        <v>101</v>
      </c>
      <c r="H209" s="5">
        <v>57419.35</v>
      </c>
      <c r="I209" t="s">
        <v>26</v>
      </c>
      <c r="J209" s="6">
        <v>43305</v>
      </c>
      <c r="K209">
        <v>1</v>
      </c>
      <c r="L209" t="s">
        <v>37</v>
      </c>
      <c r="M209" t="s">
        <v>77</v>
      </c>
      <c r="N209" s="9">
        <v>5.9150684931506845</v>
      </c>
      <c r="O209" t="s">
        <v>20</v>
      </c>
    </row>
    <row r="210" spans="3:15" x14ac:dyDescent="0.25">
      <c r="C210" t="s">
        <v>472</v>
      </c>
      <c r="D210" t="s">
        <v>473</v>
      </c>
      <c r="E210" t="s">
        <v>474</v>
      </c>
      <c r="F210" t="s">
        <v>15</v>
      </c>
      <c r="G210" t="s">
        <v>50</v>
      </c>
      <c r="H210" s="5">
        <v>95017.1</v>
      </c>
      <c r="I210" t="s">
        <v>26</v>
      </c>
      <c r="J210" s="6">
        <v>43283</v>
      </c>
      <c r="K210">
        <v>1</v>
      </c>
      <c r="L210" t="s">
        <v>37</v>
      </c>
      <c r="M210" t="s">
        <v>27</v>
      </c>
      <c r="N210" s="9">
        <v>5.9753424657534246</v>
      </c>
      <c r="O210" t="s">
        <v>20</v>
      </c>
    </row>
    <row r="211" spans="3:15" x14ac:dyDescent="0.25">
      <c r="C211" t="s">
        <v>572</v>
      </c>
      <c r="D211" t="s">
        <v>573</v>
      </c>
      <c r="E211" t="s">
        <v>574</v>
      </c>
      <c r="F211" t="s">
        <v>15</v>
      </c>
      <c r="G211" t="s">
        <v>54</v>
      </c>
      <c r="H211" s="5">
        <v>53535.62</v>
      </c>
      <c r="I211" t="s">
        <v>26</v>
      </c>
      <c r="J211" s="6">
        <v>44110</v>
      </c>
      <c r="K211">
        <v>0.5</v>
      </c>
      <c r="L211" t="s">
        <v>37</v>
      </c>
      <c r="M211" t="s">
        <v>27</v>
      </c>
      <c r="N211" s="9">
        <v>3.7095890410958905</v>
      </c>
      <c r="O211" t="s">
        <v>28</v>
      </c>
    </row>
    <row r="212" spans="3:15" x14ac:dyDescent="0.25">
      <c r="C212" t="s">
        <v>222</v>
      </c>
      <c r="D212" t="s">
        <v>223</v>
      </c>
      <c r="E212" t="s">
        <v>224</v>
      </c>
      <c r="F212" t="s">
        <v>24</v>
      </c>
      <c r="G212" t="s">
        <v>131</v>
      </c>
      <c r="H212" s="5">
        <v>31042.51</v>
      </c>
      <c r="I212" t="s">
        <v>65</v>
      </c>
      <c r="J212" s="6">
        <v>44473</v>
      </c>
      <c r="K212">
        <v>0.3</v>
      </c>
      <c r="L212" t="s">
        <v>37</v>
      </c>
      <c r="M212" t="s">
        <v>19</v>
      </c>
      <c r="N212" s="9">
        <v>2.7150684931506848</v>
      </c>
      <c r="O212" t="s">
        <v>28</v>
      </c>
    </row>
    <row r="213" spans="3:15" x14ac:dyDescent="0.25">
      <c r="C213" t="s">
        <v>498</v>
      </c>
      <c r="D213" t="s">
        <v>499</v>
      </c>
      <c r="E213" t="s">
        <v>500</v>
      </c>
      <c r="F213" t="s">
        <v>24</v>
      </c>
      <c r="G213" t="s">
        <v>25</v>
      </c>
      <c r="H213" s="5">
        <v>86233.83</v>
      </c>
      <c r="I213" t="s">
        <v>26</v>
      </c>
      <c r="J213" s="6">
        <v>43706</v>
      </c>
      <c r="K213">
        <v>1</v>
      </c>
      <c r="L213" t="s">
        <v>37</v>
      </c>
      <c r="M213" t="s">
        <v>84</v>
      </c>
      <c r="N213" s="9">
        <v>4.816438356164384</v>
      </c>
      <c r="O213" t="s">
        <v>20</v>
      </c>
    </row>
    <row r="214" spans="3:15" x14ac:dyDescent="0.25">
      <c r="C214" t="s">
        <v>288</v>
      </c>
      <c r="D214" t="s">
        <v>289</v>
      </c>
      <c r="E214" t="s">
        <v>290</v>
      </c>
      <c r="F214" t="s">
        <v>24</v>
      </c>
      <c r="G214" t="s">
        <v>25</v>
      </c>
      <c r="H214" s="5">
        <v>86558.58</v>
      </c>
      <c r="I214" t="s">
        <v>26</v>
      </c>
      <c r="J214" s="6">
        <v>43887</v>
      </c>
      <c r="K214">
        <v>1</v>
      </c>
      <c r="L214" t="s">
        <v>37</v>
      </c>
      <c r="M214" t="s">
        <v>19</v>
      </c>
      <c r="N214" s="9">
        <v>4.3205479452054796</v>
      </c>
      <c r="O214" t="s">
        <v>20</v>
      </c>
    </row>
    <row r="215" spans="3:15" x14ac:dyDescent="0.25">
      <c r="C215" t="s">
        <v>398</v>
      </c>
      <c r="D215" t="s">
        <v>399</v>
      </c>
      <c r="E215" t="s">
        <v>400</v>
      </c>
      <c r="F215" t="s">
        <v>24</v>
      </c>
      <c r="G215" t="s">
        <v>101</v>
      </c>
      <c r="H215" s="5">
        <v>76303.820000000007</v>
      </c>
      <c r="I215" t="s">
        <v>26</v>
      </c>
      <c r="J215" s="6">
        <v>43458</v>
      </c>
      <c r="K215">
        <v>1</v>
      </c>
      <c r="L215" t="s">
        <v>37</v>
      </c>
      <c r="M215" t="s">
        <v>41</v>
      </c>
      <c r="N215" s="9">
        <v>5.4958904109589044</v>
      </c>
      <c r="O215" t="s">
        <v>20</v>
      </c>
    </row>
    <row r="216" spans="3:15" x14ac:dyDescent="0.25">
      <c r="C216" t="s">
        <v>398</v>
      </c>
      <c r="D216" t="s">
        <v>531</v>
      </c>
      <c r="E216" t="s">
        <v>532</v>
      </c>
      <c r="F216" t="s">
        <v>24</v>
      </c>
      <c r="G216" t="s">
        <v>101</v>
      </c>
      <c r="H216" s="5">
        <v>76303.820000000007</v>
      </c>
      <c r="I216" t="s">
        <v>26</v>
      </c>
      <c r="J216" s="6">
        <v>43458</v>
      </c>
      <c r="K216">
        <v>1</v>
      </c>
      <c r="L216" t="s">
        <v>37</v>
      </c>
      <c r="M216" t="s">
        <v>41</v>
      </c>
      <c r="N216" s="9">
        <v>5.4958904109589044</v>
      </c>
      <c r="O216" t="s">
        <v>20</v>
      </c>
    </row>
    <row r="217" spans="3:15" x14ac:dyDescent="0.25">
      <c r="C217" t="s">
        <v>297</v>
      </c>
      <c r="D217" t="s">
        <v>298</v>
      </c>
      <c r="E217" t="s">
        <v>299</v>
      </c>
      <c r="F217" t="s">
        <v>24</v>
      </c>
      <c r="G217" t="s">
        <v>36</v>
      </c>
      <c r="H217" s="5">
        <v>101187.36</v>
      </c>
      <c r="I217" t="s">
        <v>17</v>
      </c>
      <c r="J217" s="6">
        <v>43258</v>
      </c>
      <c r="K217">
        <v>1</v>
      </c>
      <c r="L217" t="s">
        <v>37</v>
      </c>
      <c r="M217" t="s">
        <v>72</v>
      </c>
      <c r="N217" s="9">
        <v>6.043835616438356</v>
      </c>
      <c r="O217" t="s">
        <v>20</v>
      </c>
    </row>
    <row r="218" spans="3:15" x14ac:dyDescent="0.25">
      <c r="C218" t="s">
        <v>516</v>
      </c>
      <c r="D218" t="s">
        <v>517</v>
      </c>
      <c r="E218" t="s">
        <v>518</v>
      </c>
      <c r="F218" t="s">
        <v>15</v>
      </c>
      <c r="G218" t="s">
        <v>16</v>
      </c>
      <c r="H218" s="5">
        <v>61624.77</v>
      </c>
      <c r="I218" t="s">
        <v>26</v>
      </c>
      <c r="J218" s="6">
        <v>43430</v>
      </c>
      <c r="K218">
        <v>0.3</v>
      </c>
      <c r="L218" t="s">
        <v>37</v>
      </c>
      <c r="M218" t="s">
        <v>41</v>
      </c>
      <c r="N218" s="9">
        <v>5.5726027397260278</v>
      </c>
      <c r="O218" t="s">
        <v>28</v>
      </c>
    </row>
    <row r="219" spans="3:15" x14ac:dyDescent="0.25">
      <c r="C219" t="s">
        <v>165</v>
      </c>
      <c r="D219" t="s">
        <v>166</v>
      </c>
      <c r="E219" t="s">
        <v>167</v>
      </c>
      <c r="F219" t="s">
        <v>24</v>
      </c>
      <c r="G219" t="s">
        <v>32</v>
      </c>
      <c r="H219" s="5">
        <v>31172.77</v>
      </c>
      <c r="I219" t="s">
        <v>65</v>
      </c>
      <c r="J219" s="6">
        <v>43665</v>
      </c>
      <c r="K219">
        <v>1</v>
      </c>
      <c r="L219" t="s">
        <v>37</v>
      </c>
      <c r="M219" t="s">
        <v>19</v>
      </c>
      <c r="N219" s="9">
        <v>4.9287671232876713</v>
      </c>
      <c r="O219" t="s">
        <v>20</v>
      </c>
    </row>
    <row r="220" spans="3:15" x14ac:dyDescent="0.25">
      <c r="C220" t="s">
        <v>599</v>
      </c>
      <c r="D220" t="s">
        <v>600</v>
      </c>
      <c r="E220" t="s">
        <v>601</v>
      </c>
      <c r="F220" t="s">
        <v>15</v>
      </c>
      <c r="G220" t="s">
        <v>101</v>
      </c>
      <c r="H220" s="5">
        <v>102515.81</v>
      </c>
      <c r="I220" t="s">
        <v>17</v>
      </c>
      <c r="J220" s="6">
        <v>43902</v>
      </c>
      <c r="K220">
        <v>1</v>
      </c>
      <c r="L220" t="s">
        <v>37</v>
      </c>
      <c r="M220" t="s">
        <v>84</v>
      </c>
      <c r="N220" s="9">
        <v>4.279452054794521</v>
      </c>
      <c r="O220" t="s">
        <v>20</v>
      </c>
    </row>
    <row r="221" spans="3:15" x14ac:dyDescent="0.25">
      <c r="C221" t="s">
        <v>33</v>
      </c>
      <c r="D221" t="s">
        <v>34</v>
      </c>
      <c r="E221" t="s">
        <v>35</v>
      </c>
      <c r="F221" t="s">
        <v>24</v>
      </c>
      <c r="G221" t="s">
        <v>36</v>
      </c>
      <c r="H221" s="5">
        <v>93128.34</v>
      </c>
      <c r="I221" t="s">
        <v>26</v>
      </c>
      <c r="J221" s="6">
        <v>43164</v>
      </c>
      <c r="K221">
        <v>1</v>
      </c>
      <c r="L221" t="s">
        <v>37</v>
      </c>
      <c r="M221" t="s">
        <v>27</v>
      </c>
      <c r="N221" s="9">
        <v>6.3013698630136989</v>
      </c>
      <c r="O221" t="s">
        <v>20</v>
      </c>
    </row>
    <row r="222" spans="3:15" x14ac:dyDescent="0.25">
      <c r="C222" t="s">
        <v>330</v>
      </c>
      <c r="D222" t="s">
        <v>331</v>
      </c>
      <c r="E222" t="s">
        <v>332</v>
      </c>
      <c r="F222" t="s">
        <v>15</v>
      </c>
      <c r="G222" t="s">
        <v>36</v>
      </c>
      <c r="H222" s="5">
        <v>112778.28</v>
      </c>
      <c r="I222" t="s">
        <v>17</v>
      </c>
      <c r="J222" s="6">
        <v>43250</v>
      </c>
      <c r="K222">
        <v>1</v>
      </c>
      <c r="L222" t="s">
        <v>37</v>
      </c>
      <c r="M222" t="s">
        <v>19</v>
      </c>
      <c r="N222" s="9">
        <v>6.065753424657534</v>
      </c>
      <c r="O222" t="s">
        <v>20</v>
      </c>
    </row>
    <row r="223" spans="3:15" x14ac:dyDescent="0.25">
      <c r="C223" t="s">
        <v>330</v>
      </c>
      <c r="D223" t="s">
        <v>331</v>
      </c>
      <c r="E223" t="s">
        <v>332</v>
      </c>
      <c r="F223" t="s">
        <v>15</v>
      </c>
      <c r="G223" t="s">
        <v>36</v>
      </c>
      <c r="H223" s="5">
        <v>112778.28</v>
      </c>
      <c r="I223" t="s">
        <v>17</v>
      </c>
      <c r="J223" s="6">
        <v>43250</v>
      </c>
      <c r="K223">
        <v>1</v>
      </c>
      <c r="L223" t="s">
        <v>37</v>
      </c>
      <c r="M223" t="s">
        <v>19</v>
      </c>
      <c r="N223" s="9">
        <v>6.065753424657534</v>
      </c>
      <c r="O223" t="s">
        <v>20</v>
      </c>
    </row>
    <row r="224" spans="3:15" x14ac:dyDescent="0.25">
      <c r="C224" t="s">
        <v>677</v>
      </c>
      <c r="D224" t="s">
        <v>678</v>
      </c>
      <c r="E224" t="s">
        <v>679</v>
      </c>
      <c r="F224" t="s">
        <v>15</v>
      </c>
      <c r="G224" t="s">
        <v>97</v>
      </c>
      <c r="H224" s="5">
        <v>65569.36</v>
      </c>
      <c r="I224" t="s">
        <v>26</v>
      </c>
      <c r="J224" s="6">
        <v>43293</v>
      </c>
      <c r="K224">
        <v>1</v>
      </c>
      <c r="L224" t="s">
        <v>37</v>
      </c>
      <c r="M224" t="s">
        <v>77</v>
      </c>
      <c r="N224" s="9">
        <v>5.9479452054794519</v>
      </c>
      <c r="O224" t="s">
        <v>20</v>
      </c>
    </row>
    <row r="225" spans="3:15" x14ac:dyDescent="0.25">
      <c r="C225" t="s">
        <v>249</v>
      </c>
      <c r="D225" t="s">
        <v>250</v>
      </c>
      <c r="E225" t="s">
        <v>251</v>
      </c>
      <c r="F225" t="s">
        <v>24</v>
      </c>
      <c r="G225" t="s">
        <v>16</v>
      </c>
      <c r="H225" s="5">
        <v>51165.37</v>
      </c>
      <c r="I225" t="s">
        <v>26</v>
      </c>
      <c r="J225" s="6">
        <v>44237</v>
      </c>
      <c r="K225">
        <v>1</v>
      </c>
      <c r="L225" t="s">
        <v>37</v>
      </c>
      <c r="M225" t="s">
        <v>41</v>
      </c>
      <c r="N225" s="9">
        <v>3.3616438356164382</v>
      </c>
      <c r="O225" t="s">
        <v>20</v>
      </c>
    </row>
    <row r="226" spans="3:15" x14ac:dyDescent="0.25">
      <c r="C226" t="s">
        <v>228</v>
      </c>
      <c r="D226" t="s">
        <v>229</v>
      </c>
      <c r="E226" t="s">
        <v>230</v>
      </c>
      <c r="F226" t="s">
        <v>24</v>
      </c>
      <c r="G226" t="s">
        <v>58</v>
      </c>
      <c r="H226" s="5">
        <v>59434.18</v>
      </c>
      <c r="I226" t="s">
        <v>26</v>
      </c>
      <c r="J226" s="6">
        <v>43931</v>
      </c>
      <c r="K226">
        <v>1</v>
      </c>
      <c r="L226" t="s">
        <v>76</v>
      </c>
      <c r="M226" t="s">
        <v>27</v>
      </c>
      <c r="N226" s="9">
        <v>4.2</v>
      </c>
      <c r="O226" t="s">
        <v>20</v>
      </c>
    </row>
    <row r="227" spans="3:15" x14ac:dyDescent="0.25">
      <c r="C227" t="s">
        <v>144</v>
      </c>
      <c r="D227" t="s">
        <v>145</v>
      </c>
      <c r="E227" t="s">
        <v>146</v>
      </c>
      <c r="F227" t="s">
        <v>15</v>
      </c>
      <c r="G227" t="s">
        <v>36</v>
      </c>
      <c r="H227" s="5">
        <v>53949.26</v>
      </c>
      <c r="I227" t="s">
        <v>26</v>
      </c>
      <c r="J227" s="6">
        <v>43808</v>
      </c>
      <c r="K227">
        <v>1</v>
      </c>
      <c r="L227" t="s">
        <v>76</v>
      </c>
      <c r="M227" t="s">
        <v>72</v>
      </c>
      <c r="N227" s="9">
        <v>4.536986301369863</v>
      </c>
      <c r="O227" t="s">
        <v>20</v>
      </c>
    </row>
    <row r="228" spans="3:15" x14ac:dyDescent="0.25">
      <c r="C228" t="s">
        <v>144</v>
      </c>
      <c r="D228" t="s">
        <v>145</v>
      </c>
      <c r="E228" t="s">
        <v>146</v>
      </c>
      <c r="F228" t="s">
        <v>15</v>
      </c>
      <c r="G228" t="s">
        <v>36</v>
      </c>
      <c r="H228" s="5">
        <v>53949.26</v>
      </c>
      <c r="I228" t="s">
        <v>26</v>
      </c>
      <c r="J228" s="6">
        <v>43808</v>
      </c>
      <c r="K228">
        <v>1</v>
      </c>
      <c r="L228" t="s">
        <v>76</v>
      </c>
      <c r="M228" t="s">
        <v>72</v>
      </c>
      <c r="N228" s="9">
        <v>4.536986301369863</v>
      </c>
      <c r="O228" t="s">
        <v>20</v>
      </c>
    </row>
    <row r="229" spans="3:15" x14ac:dyDescent="0.25">
      <c r="C229" t="s">
        <v>425</v>
      </c>
      <c r="D229" t="s">
        <v>426</v>
      </c>
      <c r="E229" t="s">
        <v>427</v>
      </c>
      <c r="F229" t="s">
        <v>24</v>
      </c>
      <c r="G229" t="s">
        <v>58</v>
      </c>
      <c r="H229" s="5">
        <v>96555.53</v>
      </c>
      <c r="I229" t="s">
        <v>26</v>
      </c>
      <c r="J229" s="6">
        <v>43489</v>
      </c>
      <c r="K229">
        <v>0.2</v>
      </c>
      <c r="L229" t="s">
        <v>76</v>
      </c>
      <c r="M229" t="s">
        <v>41</v>
      </c>
      <c r="N229" s="9">
        <v>5.4109589041095889</v>
      </c>
      <c r="O229" t="s">
        <v>28</v>
      </c>
    </row>
    <row r="230" spans="3:15" x14ac:dyDescent="0.25">
      <c r="C230" t="s">
        <v>315</v>
      </c>
      <c r="D230" t="s">
        <v>316</v>
      </c>
      <c r="E230" t="s">
        <v>317</v>
      </c>
      <c r="F230" t="s">
        <v>24</v>
      </c>
      <c r="G230" t="s">
        <v>101</v>
      </c>
      <c r="H230" s="5">
        <v>71823.56</v>
      </c>
      <c r="I230" t="s">
        <v>26</v>
      </c>
      <c r="J230" s="6">
        <v>43374</v>
      </c>
      <c r="K230">
        <v>0.3</v>
      </c>
      <c r="L230" t="s">
        <v>76</v>
      </c>
      <c r="M230" t="s">
        <v>19</v>
      </c>
      <c r="N230" s="9">
        <v>5.7260273972602738</v>
      </c>
      <c r="O230" t="s">
        <v>28</v>
      </c>
    </row>
    <row r="231" spans="3:15" x14ac:dyDescent="0.25">
      <c r="C231" t="s">
        <v>315</v>
      </c>
      <c r="D231" t="s">
        <v>316</v>
      </c>
      <c r="E231" t="s">
        <v>317</v>
      </c>
      <c r="F231" t="s">
        <v>24</v>
      </c>
      <c r="G231" t="s">
        <v>101</v>
      </c>
      <c r="H231" s="5">
        <v>71823.56</v>
      </c>
      <c r="I231" t="s">
        <v>26</v>
      </c>
      <c r="J231" s="6">
        <v>43374</v>
      </c>
      <c r="K231">
        <v>0.3</v>
      </c>
      <c r="L231" t="s">
        <v>76</v>
      </c>
      <c r="M231" t="s">
        <v>19</v>
      </c>
      <c r="N231" s="9">
        <v>5.7260273972602738</v>
      </c>
      <c r="O231" t="s">
        <v>28</v>
      </c>
    </row>
    <row r="232" spans="3:15" x14ac:dyDescent="0.25">
      <c r="C232" t="s">
        <v>73</v>
      </c>
      <c r="D232" t="s">
        <v>74</v>
      </c>
      <c r="E232" t="s">
        <v>75</v>
      </c>
      <c r="F232" t="s">
        <v>15</v>
      </c>
      <c r="G232" t="s">
        <v>50</v>
      </c>
      <c r="H232" s="5">
        <v>61214.26</v>
      </c>
      <c r="I232" t="s">
        <v>26</v>
      </c>
      <c r="J232" s="6">
        <v>43171</v>
      </c>
      <c r="K232">
        <v>1</v>
      </c>
      <c r="L232" t="s">
        <v>76</v>
      </c>
      <c r="M232" t="s">
        <v>77</v>
      </c>
      <c r="N232" s="9">
        <v>6.2821917808219174</v>
      </c>
      <c r="O232" t="s">
        <v>20</v>
      </c>
    </row>
    <row r="233" spans="3:15" x14ac:dyDescent="0.25">
      <c r="C233" t="s">
        <v>255</v>
      </c>
      <c r="D233" t="s">
        <v>256</v>
      </c>
      <c r="E233" t="s">
        <v>257</v>
      </c>
      <c r="F233" t="s">
        <v>15</v>
      </c>
      <c r="G233" t="s">
        <v>16</v>
      </c>
      <c r="H233" s="5">
        <v>114465.93</v>
      </c>
      <c r="I233" t="s">
        <v>17</v>
      </c>
      <c r="J233" s="6">
        <v>43291</v>
      </c>
      <c r="K233">
        <v>1</v>
      </c>
      <c r="L233" t="s">
        <v>76</v>
      </c>
      <c r="M233" t="s">
        <v>45</v>
      </c>
      <c r="N233" s="9">
        <v>5.9534246575342467</v>
      </c>
      <c r="O233" t="s">
        <v>20</v>
      </c>
    </row>
    <row r="234" spans="3:15" x14ac:dyDescent="0.25">
      <c r="C234" t="s">
        <v>442</v>
      </c>
      <c r="D234" t="s">
        <v>443</v>
      </c>
      <c r="E234" t="s">
        <v>444</v>
      </c>
      <c r="F234" t="s">
        <v>24</v>
      </c>
      <c r="G234" t="s">
        <v>131</v>
      </c>
      <c r="H234" s="5">
        <v>32496.880000000001</v>
      </c>
      <c r="I234" t="s">
        <v>65</v>
      </c>
      <c r="J234" s="6">
        <v>43234</v>
      </c>
      <c r="K234">
        <v>1</v>
      </c>
      <c r="L234" t="s">
        <v>76</v>
      </c>
      <c r="M234" t="s">
        <v>19</v>
      </c>
      <c r="N234" s="9">
        <v>6.1095890410958908</v>
      </c>
      <c r="O234" t="s">
        <v>20</v>
      </c>
    </row>
    <row r="235" spans="3:15" x14ac:dyDescent="0.25">
      <c r="C235" t="s">
        <v>85</v>
      </c>
      <c r="D235" t="s">
        <v>86</v>
      </c>
      <c r="E235" t="s">
        <v>87</v>
      </c>
      <c r="F235" t="s">
        <v>15</v>
      </c>
      <c r="G235" t="s">
        <v>16</v>
      </c>
      <c r="H235" s="5">
        <v>39969.72</v>
      </c>
      <c r="I235" t="s">
        <v>65</v>
      </c>
      <c r="J235" s="6">
        <v>43444</v>
      </c>
      <c r="K235">
        <v>1</v>
      </c>
      <c r="L235" t="s">
        <v>76</v>
      </c>
      <c r="M235" t="s">
        <v>72</v>
      </c>
      <c r="N235" s="9">
        <v>5.5342465753424657</v>
      </c>
      <c r="O235" t="s">
        <v>20</v>
      </c>
    </row>
    <row r="236" spans="3:15" x14ac:dyDescent="0.25">
      <c r="C236" t="s">
        <v>270</v>
      </c>
      <c r="D236" t="s">
        <v>271</v>
      </c>
      <c r="E236" t="s">
        <v>272</v>
      </c>
      <c r="F236" t="s">
        <v>15</v>
      </c>
      <c r="G236" t="s">
        <v>131</v>
      </c>
      <c r="H236" s="5">
        <v>28481.16</v>
      </c>
      <c r="I236" t="s">
        <v>65</v>
      </c>
      <c r="J236" s="6">
        <v>44228</v>
      </c>
      <c r="K236">
        <v>1</v>
      </c>
      <c r="L236" t="s">
        <v>76</v>
      </c>
      <c r="M236" t="s">
        <v>84</v>
      </c>
      <c r="N236" s="9">
        <v>3.3863013698630136</v>
      </c>
      <c r="O236" t="s">
        <v>20</v>
      </c>
    </row>
    <row r="237" spans="3:15" x14ac:dyDescent="0.25">
      <c r="C237" t="s">
        <v>159</v>
      </c>
      <c r="D237" t="s">
        <v>160</v>
      </c>
      <c r="E237" t="s">
        <v>161</v>
      </c>
      <c r="F237" t="s">
        <v>15</v>
      </c>
      <c r="G237" t="s">
        <v>36</v>
      </c>
      <c r="H237" s="5">
        <v>114691.03</v>
      </c>
      <c r="I237" t="s">
        <v>17</v>
      </c>
      <c r="J237" s="6">
        <v>44039</v>
      </c>
      <c r="K237">
        <v>1</v>
      </c>
      <c r="L237" t="s">
        <v>76</v>
      </c>
      <c r="M237" t="s">
        <v>45</v>
      </c>
      <c r="N237" s="9">
        <v>3.904109589041096</v>
      </c>
      <c r="O237" t="s">
        <v>20</v>
      </c>
    </row>
    <row r="238" spans="3:15" x14ac:dyDescent="0.25">
      <c r="C238" t="s">
        <v>584</v>
      </c>
      <c r="D238" t="s">
        <v>585</v>
      </c>
      <c r="E238" t="s">
        <v>586</v>
      </c>
      <c r="F238" t="s">
        <v>15</v>
      </c>
      <c r="G238" t="s">
        <v>16</v>
      </c>
      <c r="H238" s="5">
        <v>82239.53</v>
      </c>
      <c r="I238" t="s">
        <v>26</v>
      </c>
      <c r="J238" s="6">
        <v>43846</v>
      </c>
      <c r="K238">
        <v>1</v>
      </c>
      <c r="L238" t="s">
        <v>76</v>
      </c>
      <c r="M238" t="s">
        <v>72</v>
      </c>
      <c r="N238" s="9">
        <v>4.4328767123287669</v>
      </c>
      <c r="O238" t="s">
        <v>20</v>
      </c>
    </row>
    <row r="239" spans="3:15" x14ac:dyDescent="0.25">
      <c r="C239" t="s">
        <v>261</v>
      </c>
      <c r="D239" t="s">
        <v>262</v>
      </c>
      <c r="E239" t="s">
        <v>263</v>
      </c>
      <c r="F239" t="s">
        <v>15</v>
      </c>
      <c r="G239" t="s">
        <v>105</v>
      </c>
      <c r="H239" s="5">
        <v>83191.95</v>
      </c>
      <c r="I239" t="s">
        <v>26</v>
      </c>
      <c r="J239" s="6">
        <v>43700</v>
      </c>
      <c r="K239">
        <v>0.6</v>
      </c>
      <c r="L239" t="s">
        <v>76</v>
      </c>
      <c r="M239" t="s">
        <v>19</v>
      </c>
      <c r="N239" s="9">
        <v>4.8328767123287673</v>
      </c>
      <c r="O239" t="s">
        <v>28</v>
      </c>
    </row>
    <row r="240" spans="3:15" x14ac:dyDescent="0.25">
      <c r="C240" t="s">
        <v>243</v>
      </c>
      <c r="D240" t="s">
        <v>244</v>
      </c>
      <c r="E240" t="s">
        <v>245</v>
      </c>
      <c r="F240" t="s">
        <v>15</v>
      </c>
      <c r="G240" t="s">
        <v>131</v>
      </c>
      <c r="H240" s="5">
        <v>113747.56</v>
      </c>
      <c r="I240" t="s">
        <v>17</v>
      </c>
      <c r="J240" s="6">
        <v>44270</v>
      </c>
      <c r="K240">
        <v>0.7</v>
      </c>
      <c r="L240" t="s">
        <v>76</v>
      </c>
      <c r="M240" t="s">
        <v>72</v>
      </c>
      <c r="N240" s="9">
        <v>3.2712328767123289</v>
      </c>
      <c r="O240" t="s">
        <v>28</v>
      </c>
    </row>
    <row r="241" spans="3:15" x14ac:dyDescent="0.25">
      <c r="C241" t="s">
        <v>243</v>
      </c>
      <c r="D241" t="s">
        <v>244</v>
      </c>
      <c r="E241" t="s">
        <v>245</v>
      </c>
      <c r="F241" t="s">
        <v>15</v>
      </c>
      <c r="G241" t="s">
        <v>131</v>
      </c>
      <c r="H241" s="5">
        <v>113747.56</v>
      </c>
      <c r="I241" t="s">
        <v>17</v>
      </c>
      <c r="J241" s="6">
        <v>44270</v>
      </c>
      <c r="K241">
        <v>0.7</v>
      </c>
      <c r="L241" t="s">
        <v>76</v>
      </c>
      <c r="M241" t="s">
        <v>72</v>
      </c>
      <c r="N241" s="9">
        <v>3.2712328767123289</v>
      </c>
      <c r="O241" t="s">
        <v>28</v>
      </c>
    </row>
    <row r="242" spans="3:15" x14ac:dyDescent="0.25">
      <c r="C242" t="s">
        <v>354</v>
      </c>
      <c r="D242" t="s">
        <v>355</v>
      </c>
      <c r="E242" t="s">
        <v>356</v>
      </c>
      <c r="F242" t="s">
        <v>15</v>
      </c>
      <c r="G242" t="s">
        <v>50</v>
      </c>
      <c r="H242" s="5">
        <v>37062.1</v>
      </c>
      <c r="I242" t="s">
        <v>65</v>
      </c>
      <c r="J242" s="6">
        <v>44357</v>
      </c>
      <c r="K242">
        <v>1</v>
      </c>
      <c r="L242" t="s">
        <v>76</v>
      </c>
      <c r="M242" t="s">
        <v>84</v>
      </c>
      <c r="N242" s="9">
        <v>3.032876712328767</v>
      </c>
      <c r="O242" t="s">
        <v>20</v>
      </c>
    </row>
    <row r="243" spans="3:15" x14ac:dyDescent="0.25">
      <c r="C243" t="s">
        <v>138</v>
      </c>
      <c r="D243" t="s">
        <v>139</v>
      </c>
      <c r="E243" t="s">
        <v>140</v>
      </c>
      <c r="F243" t="s">
        <v>15</v>
      </c>
      <c r="G243" t="s">
        <v>25</v>
      </c>
      <c r="H243" s="5">
        <v>73360.38</v>
      </c>
      <c r="I243" t="s">
        <v>26</v>
      </c>
      <c r="J243" s="6">
        <v>43972</v>
      </c>
      <c r="K243">
        <v>1</v>
      </c>
      <c r="L243" t="s">
        <v>76</v>
      </c>
      <c r="M243" t="s">
        <v>19</v>
      </c>
      <c r="N243" s="9">
        <v>4.087671232876712</v>
      </c>
      <c r="O243" t="s">
        <v>20</v>
      </c>
    </row>
    <row r="244" spans="3:15" x14ac:dyDescent="0.25">
      <c r="C244" t="s">
        <v>138</v>
      </c>
      <c r="D244" t="s">
        <v>139</v>
      </c>
      <c r="E244" t="s">
        <v>140</v>
      </c>
      <c r="F244" t="s">
        <v>15</v>
      </c>
      <c r="G244" t="s">
        <v>25</v>
      </c>
      <c r="H244" s="5">
        <v>73360.38</v>
      </c>
      <c r="I244" t="s">
        <v>26</v>
      </c>
      <c r="J244" s="6">
        <v>43972</v>
      </c>
      <c r="K244">
        <v>1</v>
      </c>
      <c r="L244" t="s">
        <v>76</v>
      </c>
      <c r="M244" t="s">
        <v>19</v>
      </c>
      <c r="N244" s="9">
        <v>4.087671232876712</v>
      </c>
      <c r="O244" t="s">
        <v>20</v>
      </c>
    </row>
    <row r="245" spans="3:15" x14ac:dyDescent="0.25">
      <c r="C245" t="s">
        <v>481</v>
      </c>
      <c r="D245" t="s">
        <v>482</v>
      </c>
      <c r="E245" t="s">
        <v>483</v>
      </c>
      <c r="F245" t="s">
        <v>15</v>
      </c>
      <c r="G245" t="s">
        <v>16</v>
      </c>
      <c r="H245" s="5">
        <v>36536.26</v>
      </c>
      <c r="I245" t="s">
        <v>65</v>
      </c>
      <c r="J245" s="6">
        <v>44358</v>
      </c>
      <c r="K245">
        <v>1</v>
      </c>
      <c r="L245" t="s">
        <v>76</v>
      </c>
      <c r="M245" t="s">
        <v>41</v>
      </c>
      <c r="N245" s="9">
        <v>3.0301369863013701</v>
      </c>
      <c r="O245" t="s">
        <v>20</v>
      </c>
    </row>
    <row r="246" spans="3:15" x14ac:dyDescent="0.25">
      <c r="C246" t="s">
        <v>380</v>
      </c>
      <c r="D246" t="s">
        <v>381</v>
      </c>
      <c r="E246" t="s">
        <v>382</v>
      </c>
      <c r="F246" t="s">
        <v>24</v>
      </c>
      <c r="G246" t="s">
        <v>124</v>
      </c>
      <c r="H246" s="5">
        <v>89829.33</v>
      </c>
      <c r="I246" t="s">
        <v>26</v>
      </c>
      <c r="J246" s="6">
        <v>43794</v>
      </c>
      <c r="K246">
        <v>1</v>
      </c>
      <c r="L246" t="s">
        <v>76</v>
      </c>
      <c r="M246" t="s">
        <v>84</v>
      </c>
      <c r="N246" s="9">
        <v>4.5753424657534243</v>
      </c>
      <c r="O246" t="s">
        <v>20</v>
      </c>
    </row>
    <row r="247" spans="3:15" x14ac:dyDescent="0.25">
      <c r="C247" t="s">
        <v>454</v>
      </c>
      <c r="D247" t="s">
        <v>455</v>
      </c>
      <c r="E247" t="s">
        <v>456</v>
      </c>
      <c r="F247" t="s">
        <v>49</v>
      </c>
      <c r="G247" t="s">
        <v>131</v>
      </c>
      <c r="H247" s="5">
        <v>63447.07</v>
      </c>
      <c r="I247" t="s">
        <v>26</v>
      </c>
      <c r="J247" s="6">
        <v>44148</v>
      </c>
      <c r="K247">
        <v>1</v>
      </c>
      <c r="L247" t="s">
        <v>76</v>
      </c>
      <c r="M247" t="s">
        <v>45</v>
      </c>
      <c r="N247" s="9">
        <v>3.6054794520547944</v>
      </c>
      <c r="O247" t="s">
        <v>20</v>
      </c>
    </row>
    <row r="248" spans="3:15" x14ac:dyDescent="0.25">
      <c r="C248" t="s">
        <v>701</v>
      </c>
      <c r="D248" t="s">
        <v>702</v>
      </c>
      <c r="E248" t="s">
        <v>703</v>
      </c>
      <c r="F248" t="s">
        <v>15</v>
      </c>
      <c r="G248" t="s">
        <v>105</v>
      </c>
      <c r="H248" s="5">
        <v>80772.92</v>
      </c>
      <c r="I248" t="s">
        <v>26</v>
      </c>
      <c r="J248" s="6">
        <v>44137</v>
      </c>
      <c r="K248">
        <v>1</v>
      </c>
      <c r="L248" t="s">
        <v>76</v>
      </c>
      <c r="M248" t="s">
        <v>19</v>
      </c>
      <c r="N248" s="9">
        <v>3.6356164383561644</v>
      </c>
      <c r="O248" t="s">
        <v>20</v>
      </c>
    </row>
    <row r="249" spans="3:15" x14ac:dyDescent="0.25">
      <c r="C249" t="s">
        <v>125</v>
      </c>
      <c r="D249" t="s">
        <v>126</v>
      </c>
      <c r="E249" t="s">
        <v>127</v>
      </c>
      <c r="F249" t="s">
        <v>15</v>
      </c>
      <c r="G249" t="s">
        <v>101</v>
      </c>
      <c r="H249" s="5">
        <v>52246.29</v>
      </c>
      <c r="I249" t="s">
        <v>26</v>
      </c>
      <c r="J249" s="6">
        <v>43573</v>
      </c>
      <c r="K249">
        <v>1</v>
      </c>
      <c r="L249" t="s">
        <v>76</v>
      </c>
      <c r="M249" t="s">
        <v>45</v>
      </c>
      <c r="N249" s="9">
        <v>5.1808219178082195</v>
      </c>
      <c r="O249" t="s">
        <v>20</v>
      </c>
    </row>
    <row r="250" spans="3:15" x14ac:dyDescent="0.25">
      <c r="C250" t="s">
        <v>171</v>
      </c>
      <c r="D250" t="s">
        <v>172</v>
      </c>
      <c r="E250" t="s">
        <v>173</v>
      </c>
      <c r="F250" t="s">
        <v>24</v>
      </c>
      <c r="G250" t="s">
        <v>50</v>
      </c>
      <c r="H250" s="5">
        <v>58935.92</v>
      </c>
      <c r="I250" t="s">
        <v>26</v>
      </c>
      <c r="J250" s="6">
        <v>43717</v>
      </c>
      <c r="K250">
        <v>1</v>
      </c>
      <c r="L250" t="s">
        <v>76</v>
      </c>
      <c r="M250" t="s">
        <v>41</v>
      </c>
      <c r="N250" s="9">
        <v>4.7863013698630139</v>
      </c>
      <c r="O250" t="s">
        <v>20</v>
      </c>
    </row>
    <row r="251" spans="3:15" x14ac:dyDescent="0.25">
      <c r="C251" t="s">
        <v>267</v>
      </c>
      <c r="D251" t="s">
        <v>268</v>
      </c>
      <c r="E251" t="s">
        <v>269</v>
      </c>
      <c r="F251" t="s">
        <v>15</v>
      </c>
      <c r="G251" t="s">
        <v>97</v>
      </c>
      <c r="H251" s="5">
        <v>83396.5</v>
      </c>
      <c r="I251" t="s">
        <v>26</v>
      </c>
      <c r="J251" s="6">
        <v>44285</v>
      </c>
      <c r="K251">
        <v>1</v>
      </c>
      <c r="L251" t="s">
        <v>76</v>
      </c>
      <c r="M251" t="s">
        <v>77</v>
      </c>
      <c r="N251" s="9">
        <v>3.2301369863013698</v>
      </c>
      <c r="O251" t="s">
        <v>20</v>
      </c>
    </row>
    <row r="252" spans="3:15" x14ac:dyDescent="0.25">
      <c r="C252" t="s">
        <v>374</v>
      </c>
      <c r="D252" t="s">
        <v>375</v>
      </c>
      <c r="E252" t="s">
        <v>376</v>
      </c>
      <c r="F252" t="s">
        <v>15</v>
      </c>
      <c r="G252" t="s">
        <v>32</v>
      </c>
      <c r="H252" s="5">
        <v>111815.49</v>
      </c>
      <c r="I252" t="s">
        <v>17</v>
      </c>
      <c r="J252" s="6">
        <v>43895</v>
      </c>
      <c r="K252">
        <v>0.7</v>
      </c>
      <c r="L252" t="s">
        <v>76</v>
      </c>
      <c r="M252" t="s">
        <v>19</v>
      </c>
      <c r="N252" s="9">
        <v>4.2986301369863016</v>
      </c>
      <c r="O252" t="s">
        <v>28</v>
      </c>
    </row>
    <row r="253" spans="3:15" x14ac:dyDescent="0.25">
      <c r="C253" t="s">
        <v>374</v>
      </c>
      <c r="D253" t="s">
        <v>375</v>
      </c>
      <c r="E253" t="s">
        <v>376</v>
      </c>
      <c r="F253" t="s">
        <v>15</v>
      </c>
      <c r="G253" t="s">
        <v>32</v>
      </c>
      <c r="H253" s="5">
        <v>111815.49</v>
      </c>
      <c r="I253" t="s">
        <v>17</v>
      </c>
      <c r="J253" s="6">
        <v>43895</v>
      </c>
      <c r="K253">
        <v>0.7</v>
      </c>
      <c r="L253" t="s">
        <v>76</v>
      </c>
      <c r="M253" t="s">
        <v>19</v>
      </c>
      <c r="N253" s="9">
        <v>4.2986301369863016</v>
      </c>
      <c r="O253" t="s">
        <v>28</v>
      </c>
    </row>
    <row r="254" spans="3:15" x14ac:dyDescent="0.25">
      <c r="C254" t="s">
        <v>201</v>
      </c>
      <c r="D254" t="s">
        <v>202</v>
      </c>
      <c r="E254" t="s">
        <v>203</v>
      </c>
      <c r="F254" t="s">
        <v>24</v>
      </c>
      <c r="G254" t="s">
        <v>36</v>
      </c>
      <c r="H254" s="5">
        <v>116767.63</v>
      </c>
      <c r="I254" t="s">
        <v>17</v>
      </c>
      <c r="J254" s="6">
        <v>43949</v>
      </c>
      <c r="K254">
        <v>0.4</v>
      </c>
      <c r="L254" t="s">
        <v>76</v>
      </c>
      <c r="M254" t="s">
        <v>84</v>
      </c>
      <c r="N254" s="9">
        <v>4.1506849315068495</v>
      </c>
      <c r="O254" t="s">
        <v>28</v>
      </c>
    </row>
    <row r="255" spans="3:15" x14ac:dyDescent="0.25">
      <c r="C255" t="s">
        <v>201</v>
      </c>
      <c r="D255" t="s">
        <v>619</v>
      </c>
      <c r="E255" t="s">
        <v>620</v>
      </c>
      <c r="F255" t="s">
        <v>24</v>
      </c>
      <c r="G255" t="s">
        <v>36</v>
      </c>
      <c r="H255" s="5">
        <v>116767.63</v>
      </c>
      <c r="I255" t="s">
        <v>17</v>
      </c>
      <c r="J255" s="6">
        <v>43949</v>
      </c>
      <c r="K255">
        <v>0.4</v>
      </c>
      <c r="L255" t="s">
        <v>76</v>
      </c>
      <c r="M255" t="s">
        <v>84</v>
      </c>
      <c r="N255" s="9">
        <v>4.1506849315068495</v>
      </c>
      <c r="O255" t="s">
        <v>28</v>
      </c>
    </row>
    <row r="256" spans="3:15" x14ac:dyDescent="0.25">
      <c r="C256" t="s">
        <v>112</v>
      </c>
      <c r="D256" t="s">
        <v>113</v>
      </c>
      <c r="E256" t="s">
        <v>114</v>
      </c>
      <c r="F256" t="s">
        <v>49</v>
      </c>
      <c r="G256" t="s">
        <v>36</v>
      </c>
      <c r="H256" s="5">
        <v>78840.23</v>
      </c>
      <c r="I256" t="s">
        <v>26</v>
      </c>
      <c r="J256" s="6">
        <v>43633</v>
      </c>
      <c r="K256">
        <v>1</v>
      </c>
      <c r="L256" t="s">
        <v>76</v>
      </c>
      <c r="M256" t="s">
        <v>19</v>
      </c>
      <c r="N256" s="9">
        <v>5.0164383561643833</v>
      </c>
      <c r="O256" t="s">
        <v>20</v>
      </c>
    </row>
    <row r="257" spans="3:15" x14ac:dyDescent="0.25">
      <c r="C257" t="s">
        <v>602</v>
      </c>
      <c r="D257" t="s">
        <v>603</v>
      </c>
      <c r="E257" t="s">
        <v>604</v>
      </c>
      <c r="F257" t="s">
        <v>15</v>
      </c>
      <c r="G257" t="s">
        <v>101</v>
      </c>
      <c r="H257" s="5">
        <v>38825.18</v>
      </c>
      <c r="I257" t="s">
        <v>65</v>
      </c>
      <c r="J257" s="6">
        <v>43696</v>
      </c>
      <c r="K257">
        <v>1</v>
      </c>
      <c r="L257" t="s">
        <v>76</v>
      </c>
      <c r="M257" t="s">
        <v>19</v>
      </c>
      <c r="N257" s="9">
        <v>4.8438356164383558</v>
      </c>
      <c r="O257" t="s">
        <v>20</v>
      </c>
    </row>
    <row r="258" spans="3:15" x14ac:dyDescent="0.25">
      <c r="C258" t="s">
        <v>651</v>
      </c>
      <c r="D258" t="s">
        <v>652</v>
      </c>
      <c r="E258" t="s">
        <v>653</v>
      </c>
      <c r="F258" t="s">
        <v>15</v>
      </c>
      <c r="G258" t="s">
        <v>25</v>
      </c>
      <c r="H258" s="5">
        <v>106400.02</v>
      </c>
      <c r="I258" t="s">
        <v>17</v>
      </c>
      <c r="J258" s="6">
        <v>44021</v>
      </c>
      <c r="K258">
        <v>1</v>
      </c>
      <c r="L258" t="s">
        <v>76</v>
      </c>
      <c r="M258" t="s">
        <v>84</v>
      </c>
      <c r="N258" s="9">
        <v>3.9534246575342467</v>
      </c>
      <c r="O258" t="s">
        <v>20</v>
      </c>
    </row>
    <row r="259" spans="3:15" x14ac:dyDescent="0.25">
      <c r="C259" t="s">
        <v>651</v>
      </c>
      <c r="D259" t="s">
        <v>675</v>
      </c>
      <c r="E259" t="s">
        <v>676</v>
      </c>
      <c r="F259" t="s">
        <v>15</v>
      </c>
      <c r="G259" t="s">
        <v>25</v>
      </c>
      <c r="H259" s="5">
        <v>106400.02</v>
      </c>
      <c r="I259" t="s">
        <v>17</v>
      </c>
      <c r="J259" s="6">
        <v>44021</v>
      </c>
      <c r="K259">
        <v>1</v>
      </c>
      <c r="L259" t="s">
        <v>76</v>
      </c>
      <c r="M259" t="s">
        <v>84</v>
      </c>
      <c r="N259" s="9">
        <v>3.9534246575342467</v>
      </c>
      <c r="O259" t="s">
        <v>20</v>
      </c>
    </row>
    <row r="260" spans="3:15" x14ac:dyDescent="0.25">
      <c r="C260" t="s">
        <v>522</v>
      </c>
      <c r="D260" t="s">
        <v>523</v>
      </c>
      <c r="E260" t="s">
        <v>524</v>
      </c>
      <c r="F260" t="s">
        <v>15</v>
      </c>
      <c r="G260" t="s">
        <v>58</v>
      </c>
      <c r="H260" s="5">
        <v>28160.79</v>
      </c>
      <c r="I260" t="s">
        <v>65</v>
      </c>
      <c r="J260" s="6">
        <v>43129</v>
      </c>
      <c r="K260">
        <v>1</v>
      </c>
      <c r="L260" t="s">
        <v>76</v>
      </c>
      <c r="M260" t="s">
        <v>19</v>
      </c>
      <c r="N260" s="9">
        <v>6.397260273972603</v>
      </c>
      <c r="O260" t="s">
        <v>20</v>
      </c>
    </row>
    <row r="261" spans="3:15" x14ac:dyDescent="0.25">
      <c r="C261" t="s">
        <v>536</v>
      </c>
      <c r="D261" t="s">
        <v>537</v>
      </c>
      <c r="E261" t="s">
        <v>538</v>
      </c>
      <c r="F261" t="s">
        <v>24</v>
      </c>
      <c r="G261" t="s">
        <v>36</v>
      </c>
      <c r="H261" s="5">
        <v>58744.17</v>
      </c>
      <c r="I261" t="s">
        <v>26</v>
      </c>
      <c r="J261" s="6">
        <v>43171</v>
      </c>
      <c r="K261">
        <v>1</v>
      </c>
      <c r="L261" t="s">
        <v>76</v>
      </c>
      <c r="M261" t="s">
        <v>72</v>
      </c>
      <c r="N261" s="9">
        <v>6.2821917808219174</v>
      </c>
      <c r="O261" t="s">
        <v>20</v>
      </c>
    </row>
    <row r="262" spans="3:15" x14ac:dyDescent="0.25">
      <c r="C262" t="s">
        <v>528</v>
      </c>
      <c r="D262" t="s">
        <v>529</v>
      </c>
      <c r="E262" t="s">
        <v>530</v>
      </c>
      <c r="F262" t="s">
        <v>24</v>
      </c>
      <c r="G262" t="s">
        <v>54</v>
      </c>
      <c r="H262" s="5">
        <v>70755.5</v>
      </c>
      <c r="I262" t="s">
        <v>26</v>
      </c>
      <c r="J262" s="6">
        <v>44090</v>
      </c>
      <c r="K262">
        <v>0.8</v>
      </c>
      <c r="L262" t="s">
        <v>76</v>
      </c>
      <c r="M262" t="s">
        <v>41</v>
      </c>
      <c r="N262" s="9">
        <v>3.7643835616438355</v>
      </c>
      <c r="O262" t="s">
        <v>28</v>
      </c>
    </row>
    <row r="263" spans="3:15" x14ac:dyDescent="0.25">
      <c r="C263" t="s">
        <v>457</v>
      </c>
      <c r="D263" t="s">
        <v>458</v>
      </c>
      <c r="E263" t="s">
        <v>459</v>
      </c>
      <c r="F263" t="s">
        <v>24</v>
      </c>
      <c r="G263" t="s">
        <v>124</v>
      </c>
      <c r="H263" s="5">
        <v>106665.67</v>
      </c>
      <c r="I263" t="s">
        <v>17</v>
      </c>
      <c r="J263" s="6">
        <v>43311</v>
      </c>
      <c r="K263">
        <v>1</v>
      </c>
      <c r="L263" t="s">
        <v>76</v>
      </c>
      <c r="M263" t="s">
        <v>72</v>
      </c>
      <c r="N263" s="9">
        <v>5.8986301369863012</v>
      </c>
      <c r="O263" t="s">
        <v>20</v>
      </c>
    </row>
    <row r="264" spans="3:15" x14ac:dyDescent="0.25">
      <c r="C264" t="s">
        <v>135</v>
      </c>
      <c r="D264" t="s">
        <v>136</v>
      </c>
      <c r="E264" t="s">
        <v>137</v>
      </c>
      <c r="F264" t="s">
        <v>15</v>
      </c>
      <c r="G264" t="s">
        <v>97</v>
      </c>
      <c r="H264" s="5">
        <v>76320.44</v>
      </c>
      <c r="I264" t="s">
        <v>26</v>
      </c>
      <c r="J264" s="6">
        <v>44383</v>
      </c>
      <c r="K264">
        <v>0.8</v>
      </c>
      <c r="L264" t="s">
        <v>76</v>
      </c>
      <c r="M264" t="s">
        <v>19</v>
      </c>
      <c r="N264" s="9">
        <v>2.9616438356164383</v>
      </c>
      <c r="O264" t="s">
        <v>28</v>
      </c>
    </row>
    <row r="265" spans="3:15" x14ac:dyDescent="0.25">
      <c r="C265" t="s">
        <v>150</v>
      </c>
      <c r="D265" t="s">
        <v>151</v>
      </c>
      <c r="E265" t="s">
        <v>152</v>
      </c>
      <c r="F265" t="s">
        <v>24</v>
      </c>
      <c r="G265" t="s">
        <v>124</v>
      </c>
      <c r="H265" s="5">
        <v>110906.35</v>
      </c>
      <c r="I265" t="s">
        <v>17</v>
      </c>
      <c r="J265" s="6">
        <v>43434</v>
      </c>
      <c r="K265">
        <v>1</v>
      </c>
      <c r="L265" t="s">
        <v>76</v>
      </c>
      <c r="M265" t="s">
        <v>45</v>
      </c>
      <c r="N265" s="9">
        <v>5.5616438356164384</v>
      </c>
      <c r="O265" t="s">
        <v>20</v>
      </c>
    </row>
    <row r="266" spans="3:15" x14ac:dyDescent="0.25">
      <c r="C266" t="s">
        <v>725</v>
      </c>
      <c r="D266" t="s">
        <v>726</v>
      </c>
      <c r="E266" t="s">
        <v>727</v>
      </c>
      <c r="F266" t="s">
        <v>24</v>
      </c>
      <c r="G266" t="s">
        <v>97</v>
      </c>
      <c r="H266" s="5">
        <v>29808.07</v>
      </c>
      <c r="I266" t="s">
        <v>65</v>
      </c>
      <c r="J266" s="6">
        <v>43291</v>
      </c>
      <c r="K266">
        <v>0.3</v>
      </c>
      <c r="L266" t="s">
        <v>76</v>
      </c>
      <c r="M266" t="s">
        <v>41</v>
      </c>
      <c r="N266" s="9">
        <v>5.9534246575342467</v>
      </c>
      <c r="O266" t="s">
        <v>28</v>
      </c>
    </row>
    <row r="267" spans="3:15" x14ac:dyDescent="0.25">
      <c r="C267" t="s">
        <v>306</v>
      </c>
      <c r="D267" t="s">
        <v>307</v>
      </c>
      <c r="E267" t="s">
        <v>308</v>
      </c>
      <c r="F267" t="s">
        <v>15</v>
      </c>
      <c r="G267" t="s">
        <v>16</v>
      </c>
      <c r="H267" s="5">
        <v>47362.62</v>
      </c>
      <c r="I267" t="s">
        <v>65</v>
      </c>
      <c r="J267" s="6">
        <v>43973</v>
      </c>
      <c r="K267">
        <v>1</v>
      </c>
      <c r="L267" t="s">
        <v>76</v>
      </c>
      <c r="M267" t="s">
        <v>19</v>
      </c>
      <c r="N267" s="9">
        <v>4.0849315068493155</v>
      </c>
      <c r="O267" t="s">
        <v>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73E1-0DDF-4338-AC69-AD70C543126C}">
  <dimension ref="A2:G15"/>
  <sheetViews>
    <sheetView zoomScale="134" workbookViewId="0">
      <selection activeCell="C3" sqref="C3"/>
    </sheetView>
  </sheetViews>
  <sheetFormatPr defaultColWidth="15.42578125" defaultRowHeight="15" x14ac:dyDescent="0.25"/>
  <cols>
    <col min="2" max="2" width="26.42578125" customWidth="1"/>
  </cols>
  <sheetData>
    <row r="2" spans="1:7" ht="37.5" x14ac:dyDescent="0.3">
      <c r="A2" s="26"/>
      <c r="B2" s="27" t="s">
        <v>768</v>
      </c>
      <c r="C2" s="28" t="s">
        <v>770</v>
      </c>
      <c r="D2" s="27" t="s">
        <v>769</v>
      </c>
      <c r="E2" s="27" t="s">
        <v>771</v>
      </c>
      <c r="F2" s="28" t="s">
        <v>772</v>
      </c>
    </row>
    <row r="3" spans="1:7" x14ac:dyDescent="0.25">
      <c r="B3" t="str" cm="1">
        <f t="array" ref="B3:B15">_xlfn.UNIQUE(staff[Department])</f>
        <v>Training</v>
      </c>
      <c r="C3" cm="1">
        <f t="array" ref="C3:C14">COUNTIFS(staff[Department],B3:B14)</f>
        <v>24</v>
      </c>
      <c r="D3" s="31" cm="1">
        <f t="array" ref="D3:D14">SUMIFS(staff[Salary],staff[Department],B3:B14)</f>
        <v>2013215.1600000001</v>
      </c>
      <c r="E3" s="32" cm="1">
        <f t="array" ref="E3:E14">AVERAGEIFS(staff[Salary],staff[Department],B3:B14)</f>
        <v>83883.965000000011</v>
      </c>
      <c r="F3" cm="1">
        <f t="array" ref="F3:F14">COUNTIFS(staff[Department],B3:B14,staff[Employee type],"Permanent")</f>
        <v>11</v>
      </c>
    </row>
    <row r="4" spans="1:7" x14ac:dyDescent="0.25">
      <c r="B4" t="str">
        <v>Business Growth</v>
      </c>
      <c r="C4">
        <v>2</v>
      </c>
      <c r="D4" s="31">
        <v>151345.20000000001</v>
      </c>
      <c r="E4" s="32">
        <v>75672.600000000006</v>
      </c>
      <c r="F4">
        <v>2</v>
      </c>
    </row>
    <row r="5" spans="1:7" x14ac:dyDescent="0.25">
      <c r="B5" t="str">
        <v>Business Development</v>
      </c>
      <c r="C5">
        <v>24</v>
      </c>
      <c r="D5" s="31">
        <v>1922981.7500000005</v>
      </c>
      <c r="E5" s="32">
        <v>80124.239583333358</v>
      </c>
      <c r="F5">
        <v>16</v>
      </c>
    </row>
    <row r="6" spans="1:7" x14ac:dyDescent="0.25">
      <c r="B6" t="str">
        <v>Engineering</v>
      </c>
      <c r="C6">
        <v>26</v>
      </c>
      <c r="D6" s="31">
        <v>2131387.4899999998</v>
      </c>
      <c r="E6" s="32">
        <v>81976.441923076913</v>
      </c>
      <c r="F6">
        <v>16</v>
      </c>
    </row>
    <row r="7" spans="1:7" x14ac:dyDescent="0.25">
      <c r="B7" t="str">
        <v>Marketing</v>
      </c>
      <c r="C7">
        <v>12</v>
      </c>
      <c r="D7" s="31">
        <v>773295.6</v>
      </c>
      <c r="E7" s="32">
        <v>64441.299999999996</v>
      </c>
      <c r="F7">
        <v>9</v>
      </c>
    </row>
    <row r="8" spans="1:7" x14ac:dyDescent="0.25">
      <c r="B8" t="str">
        <v>Legal</v>
      </c>
      <c r="C8">
        <v>21</v>
      </c>
      <c r="D8" s="31">
        <v>1412092.87</v>
      </c>
      <c r="E8" s="32">
        <v>67242.51761904762</v>
      </c>
      <c r="F8">
        <v>13</v>
      </c>
      <c r="G8" s="26"/>
    </row>
    <row r="9" spans="1:7" x14ac:dyDescent="0.25">
      <c r="B9" t="str">
        <v>Accounting</v>
      </c>
      <c r="C9">
        <v>26</v>
      </c>
      <c r="D9" s="31">
        <v>1814980.59</v>
      </c>
      <c r="E9" s="32">
        <v>69806.945769230777</v>
      </c>
      <c r="F9">
        <v>18</v>
      </c>
    </row>
    <row r="10" spans="1:7" x14ac:dyDescent="0.25">
      <c r="B10" t="str">
        <v>Human Resources</v>
      </c>
      <c r="C10">
        <v>22</v>
      </c>
      <c r="D10" s="31">
        <v>1608406.3100000003</v>
      </c>
      <c r="E10" s="32">
        <v>73109.377727272746</v>
      </c>
      <c r="F10">
        <v>13</v>
      </c>
    </row>
    <row r="11" spans="1:7" x14ac:dyDescent="0.25">
      <c r="B11" t="str">
        <v>Research and Development</v>
      </c>
      <c r="C11">
        <v>18</v>
      </c>
      <c r="D11" s="31">
        <v>1204393.78</v>
      </c>
      <c r="E11" s="32">
        <v>66910.765555555554</v>
      </c>
      <c r="F11">
        <v>11</v>
      </c>
    </row>
    <row r="12" spans="1:7" x14ac:dyDescent="0.25">
      <c r="B12" t="str">
        <v>Services</v>
      </c>
      <c r="C12">
        <v>21</v>
      </c>
      <c r="D12" s="31">
        <v>1568153.47</v>
      </c>
      <c r="E12" s="32">
        <v>74673.974761904756</v>
      </c>
      <c r="F12">
        <v>16</v>
      </c>
    </row>
    <row r="13" spans="1:7" x14ac:dyDescent="0.25">
      <c r="B13" t="str">
        <v>Product Management</v>
      </c>
      <c r="C13">
        <v>29</v>
      </c>
      <c r="D13" s="31">
        <v>2180192.8699999992</v>
      </c>
      <c r="E13" s="32">
        <v>75179.064482758593</v>
      </c>
      <c r="F13">
        <v>19</v>
      </c>
    </row>
    <row r="14" spans="1:7" x14ac:dyDescent="0.25">
      <c r="B14" t="str">
        <v>Support</v>
      </c>
      <c r="C14">
        <v>17</v>
      </c>
      <c r="D14" s="31">
        <v>1129351.75</v>
      </c>
      <c r="E14" s="32">
        <v>66432.455882352937</v>
      </c>
      <c r="F14">
        <v>11</v>
      </c>
    </row>
    <row r="15" spans="1:7" x14ac:dyDescent="0.25">
      <c r="B15" t="str">
        <v>Sales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2D18-6DA7-4C0D-8238-9B5DC4039029}">
  <dimension ref="B2:AF84"/>
  <sheetViews>
    <sheetView topLeftCell="A61" zoomScale="91" workbookViewId="0">
      <selection activeCell="Q70" sqref="Q70"/>
    </sheetView>
  </sheetViews>
  <sheetFormatPr defaultColWidth="11.85546875" defaultRowHeight="15" x14ac:dyDescent="0.25"/>
  <cols>
    <col min="7" max="7" width="13.28515625" style="32" bestFit="1" customWidth="1"/>
    <col min="9" max="9" width="11.85546875" style="34"/>
    <col min="13" max="13" width="11.85546875" style="35"/>
  </cols>
  <sheetData>
    <row r="2" spans="2:20" ht="21" x14ac:dyDescent="0.35">
      <c r="B2" s="33" t="s">
        <v>773</v>
      </c>
      <c r="C2" s="33"/>
      <c r="D2" s="33"/>
    </row>
    <row r="3" spans="2:20" ht="21" x14ac:dyDescent="0.35">
      <c r="B3" s="33"/>
      <c r="C3" s="33"/>
      <c r="D3" s="33"/>
    </row>
    <row r="4" spans="2:20" x14ac:dyDescent="0.25">
      <c r="B4" s="30" t="str" cm="1">
        <f t="array" ref="B4:N4">staff[#Headers]</f>
        <v>Emp ID</v>
      </c>
      <c r="C4" s="30" t="str">
        <v>First Name</v>
      </c>
      <c r="D4" s="30" t="str">
        <v>Last Name</v>
      </c>
      <c r="E4" s="30" t="str">
        <v>Gender</v>
      </c>
      <c r="F4" s="30" t="str">
        <v>Department</v>
      </c>
      <c r="G4" s="30" t="str">
        <v>Salary</v>
      </c>
      <c r="H4" s="30" t="str">
        <v>Salary Bucket</v>
      </c>
      <c r="I4" s="30" t="str">
        <v>Start Date</v>
      </c>
      <c r="J4" s="30" t="str">
        <v>FTE</v>
      </c>
      <c r="K4" s="30" t="str">
        <v>Employee type</v>
      </c>
      <c r="L4" s="30" t="str">
        <v>Work location</v>
      </c>
      <c r="M4" s="30" t="str">
        <v>Tenure</v>
      </c>
      <c r="N4" s="30" t="str">
        <v>Work Type</v>
      </c>
      <c r="O4" t="s">
        <v>774</v>
      </c>
    </row>
    <row r="5" spans="2:20" x14ac:dyDescent="0.25">
      <c r="B5" t="str" cm="1">
        <f t="array" ref="B5:N51">_xlfn._xlws.FILTER(staff[],staff[Salary]&gt;100000)</f>
        <v>PR00147</v>
      </c>
      <c r="C5" t="str">
        <v>Minerva</v>
      </c>
      <c r="D5" t="str">
        <v>Ricardot</v>
      </c>
      <c r="E5" t="str">
        <v>Male</v>
      </c>
      <c r="F5" t="str">
        <v>Engineering</v>
      </c>
      <c r="G5" s="32">
        <v>120000</v>
      </c>
      <c r="H5" t="str">
        <v>Above 100k</v>
      </c>
      <c r="I5" s="34">
        <v>43416</v>
      </c>
      <c r="J5">
        <v>1</v>
      </c>
      <c r="K5" t="str">
        <v>Permanent</v>
      </c>
      <c r="L5" t="str">
        <v>Remote</v>
      </c>
      <c r="M5" s="35">
        <v>5.6109589041095891</v>
      </c>
      <c r="N5" t="str">
        <v>Full time</v>
      </c>
    </row>
    <row r="6" spans="2:20" x14ac:dyDescent="0.25">
      <c r="B6" t="str">
        <v>PR00746</v>
      </c>
      <c r="C6" t="str">
        <v>Hogan</v>
      </c>
      <c r="D6" t="str">
        <v>Iles</v>
      </c>
      <c r="E6" t="str">
        <v>Female</v>
      </c>
      <c r="F6" t="str">
        <v>Accounting</v>
      </c>
      <c r="G6" s="32">
        <v>114177.23</v>
      </c>
      <c r="H6" t="str">
        <v>Above 100k</v>
      </c>
      <c r="I6" s="34">
        <v>43908</v>
      </c>
      <c r="J6">
        <v>1</v>
      </c>
      <c r="K6" t="str">
        <v>Permanent</v>
      </c>
      <c r="L6" t="str">
        <v>Wellington, New Zealand</v>
      </c>
      <c r="M6" s="35">
        <v>4.2630136986301368</v>
      </c>
      <c r="N6" t="str">
        <v>Full time</v>
      </c>
    </row>
    <row r="7" spans="2:20" x14ac:dyDescent="0.25">
      <c r="B7" t="str">
        <v>PR01159</v>
      </c>
      <c r="C7" t="str">
        <v>Mollie</v>
      </c>
      <c r="D7" t="str">
        <v>Hanway</v>
      </c>
      <c r="E7" t="str">
        <v>Male</v>
      </c>
      <c r="F7" t="str">
        <v>Engineering</v>
      </c>
      <c r="G7" s="32">
        <v>112645.99</v>
      </c>
      <c r="H7" t="str">
        <v>Above 100k</v>
      </c>
      <c r="I7" s="34">
        <v>43759</v>
      </c>
      <c r="J7">
        <v>0.6</v>
      </c>
      <c r="K7" t="str">
        <v>Permanent</v>
      </c>
      <c r="L7" t="str">
        <v>Seattle, USA</v>
      </c>
      <c r="M7" s="35">
        <v>4.6712328767123283</v>
      </c>
      <c r="N7" t="str">
        <v>Part time</v>
      </c>
    </row>
    <row r="8" spans="2:20" x14ac:dyDescent="0.25">
      <c r="B8" t="str">
        <v>PR02010</v>
      </c>
      <c r="C8" t="str">
        <v>Prerana</v>
      </c>
      <c r="D8" t="str">
        <v>Nishita</v>
      </c>
      <c r="E8" t="str">
        <v>Male</v>
      </c>
      <c r="F8" t="str">
        <v>Product Management</v>
      </c>
      <c r="G8" s="32">
        <v>115191.38</v>
      </c>
      <c r="H8" t="str">
        <v>Above 100k</v>
      </c>
      <c r="I8" s="34">
        <v>44004</v>
      </c>
      <c r="J8">
        <v>1</v>
      </c>
      <c r="K8" t="str">
        <v>Permanent</v>
      </c>
      <c r="L8" t="str">
        <v>Hyderabad, India</v>
      </c>
      <c r="M8" s="35">
        <v>4</v>
      </c>
      <c r="N8" t="str">
        <v>Full time</v>
      </c>
    </row>
    <row r="9" spans="2:20" x14ac:dyDescent="0.25">
      <c r="B9" t="str">
        <v>PR02208</v>
      </c>
      <c r="C9" t="str">
        <v>Gowri</v>
      </c>
      <c r="D9" t="str">
        <v>Sankar</v>
      </c>
      <c r="E9" t="str">
        <v>Female</v>
      </c>
      <c r="F9" t="str">
        <v>Training</v>
      </c>
      <c r="G9" s="32">
        <v>102934.09</v>
      </c>
      <c r="H9" t="str">
        <v>Above 100k</v>
      </c>
      <c r="I9" s="34">
        <v>44315</v>
      </c>
      <c r="J9">
        <v>1</v>
      </c>
      <c r="K9" t="str">
        <v>Permanent</v>
      </c>
      <c r="L9" t="str">
        <v>Hyderabad, India</v>
      </c>
      <c r="M9" s="35">
        <v>3.1479452054794521</v>
      </c>
      <c r="N9" t="str">
        <v>Full time</v>
      </c>
    </row>
    <row r="10" spans="2:20" x14ac:dyDescent="0.25">
      <c r="B10" t="str">
        <v>PR02288</v>
      </c>
      <c r="C10" t="str">
        <v>Althea</v>
      </c>
      <c r="D10" t="str">
        <v>Bronger</v>
      </c>
      <c r="E10" t="str">
        <v>Male</v>
      </c>
      <c r="F10" t="str">
        <v>Product Management</v>
      </c>
      <c r="G10" s="32">
        <v>104335.03999999999</v>
      </c>
      <c r="H10" t="str">
        <v>Above 100k</v>
      </c>
      <c r="I10" s="34">
        <v>43874</v>
      </c>
      <c r="J10">
        <v>1</v>
      </c>
      <c r="K10" t="str">
        <v>Permanent</v>
      </c>
      <c r="L10" t="str">
        <v>Columbus, USA</v>
      </c>
      <c r="M10" s="35">
        <v>4.3561643835616435</v>
      </c>
      <c r="N10" t="str">
        <v>Full time</v>
      </c>
    </row>
    <row r="11" spans="2:20" x14ac:dyDescent="0.25">
      <c r="B11" t="str">
        <v>PR03886</v>
      </c>
      <c r="C11" t="str">
        <v>Edd</v>
      </c>
      <c r="D11" t="str">
        <v>MacKnockiter</v>
      </c>
      <c r="E11" t="str">
        <v>Male</v>
      </c>
      <c r="F11" t="str">
        <v>Accounting</v>
      </c>
      <c r="G11" s="32">
        <v>119022.49</v>
      </c>
      <c r="H11" t="str">
        <v>Above 100k</v>
      </c>
      <c r="I11" s="34">
        <v>44431</v>
      </c>
      <c r="J11">
        <v>1</v>
      </c>
      <c r="K11" t="str">
        <v>Permanent</v>
      </c>
      <c r="L11" t="str">
        <v>Auckland, New Zealand</v>
      </c>
      <c r="M11" s="35">
        <v>2.8301369863013699</v>
      </c>
      <c r="N11" t="str">
        <v>Full time</v>
      </c>
    </row>
    <row r="12" spans="2:20" x14ac:dyDescent="0.25">
      <c r="B12" t="str">
        <v>PR04601</v>
      </c>
      <c r="C12" t="str">
        <v>Yedukondalu</v>
      </c>
      <c r="D12" t="str">
        <v>Panditula</v>
      </c>
      <c r="E12" t="str">
        <v>Need to check</v>
      </c>
      <c r="F12" t="str">
        <v>Support</v>
      </c>
      <c r="G12" s="32">
        <v>104802.63</v>
      </c>
      <c r="H12" t="str">
        <v>Above 100k</v>
      </c>
      <c r="I12" s="34">
        <v>44502</v>
      </c>
      <c r="J12">
        <v>1</v>
      </c>
      <c r="K12" t="str">
        <v>Permanent</v>
      </c>
      <c r="L12" t="str">
        <v>Hyderabad, India</v>
      </c>
      <c r="M12" s="35">
        <v>2.6356164383561644</v>
      </c>
      <c r="N12" t="str">
        <v>Full time</v>
      </c>
    </row>
    <row r="13" spans="2:20" x14ac:dyDescent="0.25">
      <c r="B13" t="str">
        <v>SQ00022</v>
      </c>
      <c r="C13" t="str">
        <v>Carlin</v>
      </c>
      <c r="D13" t="str">
        <v>Demke</v>
      </c>
      <c r="E13" t="str">
        <v>Male</v>
      </c>
      <c r="F13" t="str">
        <v>Business Development</v>
      </c>
      <c r="G13" s="32">
        <v>110042.37</v>
      </c>
      <c r="H13" t="str">
        <v>Above 100k</v>
      </c>
      <c r="I13" s="34">
        <v>43914</v>
      </c>
      <c r="J13">
        <v>1</v>
      </c>
      <c r="K13" t="str">
        <v>Permanent</v>
      </c>
      <c r="L13" t="str">
        <v>Columbus, USA</v>
      </c>
      <c r="M13" s="35">
        <v>4.2465753424657535</v>
      </c>
      <c r="N13" t="str">
        <v>Full time</v>
      </c>
      <c r="T13" t="s">
        <v>786</v>
      </c>
    </row>
    <row r="14" spans="2:20" x14ac:dyDescent="0.25">
      <c r="B14" t="str">
        <v>SQ00144</v>
      </c>
      <c r="C14" t="str">
        <v>Collen</v>
      </c>
      <c r="D14" t="str">
        <v>Dunbleton</v>
      </c>
      <c r="E14" t="str">
        <v>Male</v>
      </c>
      <c r="F14" t="str">
        <v>Engineering</v>
      </c>
      <c r="G14" s="32">
        <v>118976.16</v>
      </c>
      <c r="H14" t="str">
        <v>Above 100k</v>
      </c>
      <c r="I14" s="34">
        <v>44120</v>
      </c>
      <c r="J14">
        <v>1</v>
      </c>
      <c r="K14" t="str">
        <v>Permanent</v>
      </c>
      <c r="L14" t="str">
        <v>Wellington, New Zealand</v>
      </c>
      <c r="M14" s="35">
        <v>3.6821917808219178</v>
      </c>
      <c r="N14" t="str">
        <v>Full time</v>
      </c>
    </row>
    <row r="15" spans="2:20" x14ac:dyDescent="0.25">
      <c r="B15" t="str">
        <v>SQ00498</v>
      </c>
      <c r="C15" t="str">
        <v>Amery</v>
      </c>
      <c r="D15" t="str">
        <v>Ofer</v>
      </c>
      <c r="E15" t="str">
        <v>Female</v>
      </c>
      <c r="F15" t="str">
        <v>Legal</v>
      </c>
      <c r="G15" s="32">
        <v>111049.84</v>
      </c>
      <c r="H15" t="str">
        <v>Above 100k</v>
      </c>
      <c r="I15" s="34">
        <v>44393</v>
      </c>
      <c r="J15">
        <v>1</v>
      </c>
      <c r="K15" t="str">
        <v>Permanent</v>
      </c>
      <c r="L15" t="str">
        <v>Wellington, New Zealand</v>
      </c>
      <c r="M15" s="35">
        <v>2.9342465753424656</v>
      </c>
      <c r="N15" t="str">
        <v>Full time</v>
      </c>
    </row>
    <row r="16" spans="2:20" ht="15.75" x14ac:dyDescent="0.25">
      <c r="B16" t="str">
        <v>SQ01620</v>
      </c>
      <c r="C16" t="str">
        <v>Westbrook</v>
      </c>
      <c r="D16" t="str">
        <v>Brandino</v>
      </c>
      <c r="E16" t="str">
        <v>Male</v>
      </c>
      <c r="F16" t="str">
        <v>Legal</v>
      </c>
      <c r="G16" s="32">
        <v>113616.23</v>
      </c>
      <c r="H16" t="str">
        <v>Above 100k</v>
      </c>
      <c r="I16" s="34">
        <v>43255</v>
      </c>
      <c r="J16">
        <v>1</v>
      </c>
      <c r="K16" t="str">
        <v>Permanent</v>
      </c>
      <c r="L16" t="str">
        <v>Remote</v>
      </c>
      <c r="M16" s="35">
        <v>6.0520547945205481</v>
      </c>
      <c r="N16" t="str">
        <v>Full time</v>
      </c>
      <c r="T16" s="36" t="s">
        <v>777</v>
      </c>
    </row>
    <row r="17" spans="2:32" x14ac:dyDescent="0.25">
      <c r="B17" t="str">
        <v>SQ02035</v>
      </c>
      <c r="C17" t="str">
        <v>Anni</v>
      </c>
      <c r="D17" t="str">
        <v>Izzard</v>
      </c>
      <c r="E17" t="str">
        <v>Male</v>
      </c>
      <c r="F17" t="str">
        <v>Human Resources</v>
      </c>
      <c r="G17" s="32">
        <v>103494.94</v>
      </c>
      <c r="H17" t="str">
        <v>Above 100k</v>
      </c>
      <c r="I17" s="34">
        <v>43256</v>
      </c>
      <c r="J17">
        <v>1</v>
      </c>
      <c r="K17" t="str">
        <v>Permanent</v>
      </c>
      <c r="L17" t="str">
        <v>Remote</v>
      </c>
      <c r="M17" s="35">
        <v>6.0493150684931507</v>
      </c>
      <c r="N17" t="str">
        <v>Full time</v>
      </c>
      <c r="T17" s="13" t="s">
        <v>763</v>
      </c>
    </row>
    <row r="18" spans="2:32" x14ac:dyDescent="0.25">
      <c r="B18" t="str">
        <v>SQ02035</v>
      </c>
      <c r="C18" t="str">
        <v>Anni</v>
      </c>
      <c r="D18" t="str">
        <v>Izzard</v>
      </c>
      <c r="E18" t="str">
        <v>Male</v>
      </c>
      <c r="F18" t="str">
        <v>Human Resources</v>
      </c>
      <c r="G18" s="32">
        <v>103494.94</v>
      </c>
      <c r="H18" t="str">
        <v>Above 100k</v>
      </c>
      <c r="I18" s="34">
        <v>43256</v>
      </c>
      <c r="J18">
        <v>1</v>
      </c>
      <c r="K18" t="str">
        <v>Permanent</v>
      </c>
      <c r="L18" t="str">
        <v>Remote</v>
      </c>
      <c r="M18" s="35">
        <v>6.0493150684931507</v>
      </c>
      <c r="N18" t="str">
        <v>Full time</v>
      </c>
    </row>
    <row r="19" spans="2:32" x14ac:dyDescent="0.25">
      <c r="B19" t="str">
        <v>SQ02174</v>
      </c>
      <c r="C19" t="str">
        <v>Sidoney</v>
      </c>
      <c r="D19" t="str">
        <v>Yitzhok</v>
      </c>
      <c r="E19" t="str">
        <v>Female</v>
      </c>
      <c r="F19" t="str">
        <v>Engineering</v>
      </c>
      <c r="G19" s="32">
        <v>118442.54</v>
      </c>
      <c r="H19" t="str">
        <v>Above 100k</v>
      </c>
      <c r="I19" s="34">
        <v>44193</v>
      </c>
      <c r="J19">
        <v>1</v>
      </c>
      <c r="K19" t="str">
        <v>Permanent</v>
      </c>
      <c r="L19" t="str">
        <v>Auckland, New Zealand</v>
      </c>
      <c r="M19" s="35">
        <v>3.4821917808219176</v>
      </c>
      <c r="N19" t="str">
        <v>Full time</v>
      </c>
      <c r="T19" s="30" t="str" cm="1">
        <f t="array" ref="T19:AF19">staff[#Headers]</f>
        <v>Emp ID</v>
      </c>
      <c r="U19" s="30" t="str">
        <v>First Name</v>
      </c>
      <c r="V19" s="30" t="str">
        <v>Last Name</v>
      </c>
      <c r="W19" s="30" t="str">
        <v>Gender</v>
      </c>
      <c r="X19" s="30" t="str">
        <v>Department</v>
      </c>
      <c r="Y19" s="30" t="str">
        <v>Salary</v>
      </c>
      <c r="Z19" s="30" t="str">
        <v>Salary Bucket</v>
      </c>
      <c r="AA19" s="30" t="str">
        <v>Start Date</v>
      </c>
      <c r="AB19" s="30" t="str">
        <v>FTE</v>
      </c>
      <c r="AC19" s="30" t="str">
        <v>Employee type</v>
      </c>
      <c r="AD19" s="30" t="str">
        <v>Work location</v>
      </c>
      <c r="AE19" s="30" t="str">
        <v>Tenure</v>
      </c>
      <c r="AF19" s="30" t="str">
        <v>Work Type</v>
      </c>
    </row>
    <row r="20" spans="2:32" x14ac:dyDescent="0.25">
      <c r="B20" t="str">
        <v>SQ02624</v>
      </c>
      <c r="C20" t="str">
        <v>Gwenneth</v>
      </c>
      <c r="D20" t="str">
        <v>Fealey</v>
      </c>
      <c r="E20" t="str">
        <v>Female</v>
      </c>
      <c r="F20" t="str">
        <v>Engineering</v>
      </c>
      <c r="G20" s="32">
        <v>114772.32</v>
      </c>
      <c r="H20" t="str">
        <v>Above 100k</v>
      </c>
      <c r="I20" s="34">
        <v>44251</v>
      </c>
      <c r="J20">
        <v>1</v>
      </c>
      <c r="K20" t="str">
        <v>Permanent</v>
      </c>
      <c r="L20" t="str">
        <v>Columbus, USA</v>
      </c>
      <c r="M20" s="35">
        <v>3.3232876712328765</v>
      </c>
      <c r="N20" t="str">
        <v>Full time</v>
      </c>
      <c r="T20" t="str" cm="1">
        <f t="array" ref="T20:Y37">_xlfn._xlws.FILTER(staff[[Emp ID]:[Salary]],(staff[Salary]&gt;100000)*(staff[Gender]="Female")*(staff[Start Date]&gt;1-1-2000))</f>
        <v>PR00746</v>
      </c>
      <c r="U20" t="str">
        <v>Hogan</v>
      </c>
      <c r="V20" t="str">
        <v>Iles</v>
      </c>
      <c r="W20" t="str">
        <v>Female</v>
      </c>
      <c r="X20" t="str">
        <v>Accounting</v>
      </c>
      <c r="Y20">
        <v>114177.23</v>
      </c>
    </row>
    <row r="21" spans="2:32" x14ac:dyDescent="0.25">
      <c r="B21" t="str">
        <v>SQ02703</v>
      </c>
      <c r="C21" t="str">
        <v>Deepit</v>
      </c>
      <c r="D21" t="str">
        <v>Ranjana</v>
      </c>
      <c r="E21" t="str">
        <v>Female</v>
      </c>
      <c r="F21" t="str">
        <v>Marketing</v>
      </c>
      <c r="G21" s="32">
        <v>104903.79</v>
      </c>
      <c r="H21" t="str">
        <v>Above 100k</v>
      </c>
      <c r="I21" s="34">
        <v>43649</v>
      </c>
      <c r="J21">
        <v>1</v>
      </c>
      <c r="K21" t="str">
        <v>Permanent</v>
      </c>
      <c r="L21" t="str">
        <v>Chennai, India</v>
      </c>
      <c r="M21" s="35">
        <v>4.9726027397260273</v>
      </c>
      <c r="N21" t="str">
        <v>Full time</v>
      </c>
      <c r="T21" t="str">
        <v>PR02208</v>
      </c>
      <c r="U21" t="str">
        <v>Gowri</v>
      </c>
      <c r="V21" t="str">
        <v>Sankar</v>
      </c>
      <c r="W21" t="str">
        <v>Female</v>
      </c>
      <c r="X21" t="str">
        <v>Training</v>
      </c>
      <c r="Y21">
        <v>102934.09</v>
      </c>
    </row>
    <row r="22" spans="2:32" x14ac:dyDescent="0.25">
      <c r="B22" t="str">
        <v>SQ03116</v>
      </c>
      <c r="C22" t="str">
        <v>Syd</v>
      </c>
      <c r="D22" t="str">
        <v>Fearn</v>
      </c>
      <c r="E22" t="str">
        <v>Male</v>
      </c>
      <c r="F22" t="str">
        <v>Engineering</v>
      </c>
      <c r="G22" s="32">
        <v>108872.77</v>
      </c>
      <c r="H22" t="str">
        <v>Above 100k</v>
      </c>
      <c r="I22" s="34">
        <v>43521</v>
      </c>
      <c r="J22">
        <v>1</v>
      </c>
      <c r="K22" t="str">
        <v>Permanent</v>
      </c>
      <c r="L22" t="str">
        <v>Remote</v>
      </c>
      <c r="M22" s="35">
        <v>5.3232876712328769</v>
      </c>
      <c r="N22" t="str">
        <v>Full time</v>
      </c>
      <c r="T22" t="str">
        <v>SQ00498</v>
      </c>
      <c r="U22" t="str">
        <v>Amery</v>
      </c>
      <c r="V22" t="str">
        <v>Ofer</v>
      </c>
      <c r="W22" t="str">
        <v>Female</v>
      </c>
      <c r="X22" t="str">
        <v>Legal</v>
      </c>
      <c r="Y22">
        <v>111049.84</v>
      </c>
    </row>
    <row r="23" spans="2:32" x14ac:dyDescent="0.25">
      <c r="B23" t="str">
        <v>SQ03387</v>
      </c>
      <c r="C23" t="str">
        <v>Robinia</v>
      </c>
      <c r="D23" t="str">
        <v>Scholling</v>
      </c>
      <c r="E23" t="str">
        <v>Female</v>
      </c>
      <c r="F23" t="str">
        <v>Human Resources</v>
      </c>
      <c r="G23" s="32">
        <v>100731.95</v>
      </c>
      <c r="H23" t="str">
        <v>Above 100k</v>
      </c>
      <c r="I23" s="34">
        <v>43936</v>
      </c>
      <c r="J23">
        <v>1</v>
      </c>
      <c r="K23" t="str">
        <v>Permanent</v>
      </c>
      <c r="L23" t="str">
        <v>Auckland, New Zealand</v>
      </c>
      <c r="M23" s="35">
        <v>4.1863013698630134</v>
      </c>
      <c r="N23" t="str">
        <v>Full time</v>
      </c>
      <c r="T23" t="str">
        <v>SQ02174</v>
      </c>
      <c r="U23" t="str">
        <v>Sidoney</v>
      </c>
      <c r="V23" t="str">
        <v>Yitzhok</v>
      </c>
      <c r="W23" t="str">
        <v>Female</v>
      </c>
      <c r="X23" t="str">
        <v>Engineering</v>
      </c>
      <c r="Y23">
        <v>118442.54</v>
      </c>
    </row>
    <row r="24" spans="2:32" x14ac:dyDescent="0.25">
      <c r="B24" t="str">
        <v>SQ03476</v>
      </c>
      <c r="C24" t="str">
        <v>Ramalingam</v>
      </c>
      <c r="D24" t="str">
        <v>Kothapeta</v>
      </c>
      <c r="E24" t="str">
        <v>Need to check</v>
      </c>
      <c r="F24" t="str">
        <v>Accounting</v>
      </c>
      <c r="G24" s="32">
        <v>107107.6</v>
      </c>
      <c r="H24" t="str">
        <v>Above 100k</v>
      </c>
      <c r="I24" s="34">
        <v>43325</v>
      </c>
      <c r="J24">
        <v>0.9</v>
      </c>
      <c r="K24" t="str">
        <v>Permanent</v>
      </c>
      <c r="L24" t="str">
        <v>Chennai, India</v>
      </c>
      <c r="M24" s="35">
        <v>5.86027397260274</v>
      </c>
      <c r="N24" t="str">
        <v>Part time</v>
      </c>
      <c r="T24" t="str">
        <v>SQ02624</v>
      </c>
      <c r="U24" t="str">
        <v>Gwenneth</v>
      </c>
      <c r="V24" t="str">
        <v>Fealey</v>
      </c>
      <c r="W24" t="str">
        <v>Female</v>
      </c>
      <c r="X24" t="str">
        <v>Engineering</v>
      </c>
      <c r="Y24">
        <v>114772.32</v>
      </c>
    </row>
    <row r="25" spans="2:32" x14ac:dyDescent="0.25">
      <c r="B25" t="str">
        <v>SQ03491</v>
      </c>
      <c r="C25" t="str">
        <v>Freda</v>
      </c>
      <c r="D25" t="str">
        <v>Legan</v>
      </c>
      <c r="E25" t="str">
        <v>Female</v>
      </c>
      <c r="F25" t="str">
        <v>Sales</v>
      </c>
      <c r="G25" s="32">
        <v>102129.37</v>
      </c>
      <c r="H25" t="str">
        <v>Above 100k</v>
      </c>
      <c r="I25" s="34">
        <v>44396</v>
      </c>
      <c r="J25">
        <v>1</v>
      </c>
      <c r="K25" t="str">
        <v>Permanent</v>
      </c>
      <c r="L25" t="str">
        <v>Columbus, USA</v>
      </c>
      <c r="M25" s="35">
        <v>2.9260273972602739</v>
      </c>
      <c r="N25" t="str">
        <v>Full time</v>
      </c>
      <c r="T25" t="str">
        <v>SQ02703</v>
      </c>
      <c r="U25" t="str">
        <v>Deepit</v>
      </c>
      <c r="V25" t="str">
        <v>Ranjana</v>
      </c>
      <c r="W25" t="str">
        <v>Female</v>
      </c>
      <c r="X25" t="str">
        <v>Marketing</v>
      </c>
      <c r="Y25">
        <v>104903.79</v>
      </c>
    </row>
    <row r="26" spans="2:32" x14ac:dyDescent="0.25">
      <c r="B26" t="str">
        <v>SQ03733</v>
      </c>
      <c r="C26" t="str">
        <v>Revkah</v>
      </c>
      <c r="D26" t="str">
        <v>Antonacci</v>
      </c>
      <c r="E26" t="str">
        <v>Male</v>
      </c>
      <c r="F26" t="str">
        <v>Engineering</v>
      </c>
      <c r="G26" s="32">
        <v>109143.17</v>
      </c>
      <c r="H26" t="str">
        <v>Above 100k</v>
      </c>
      <c r="I26" s="34">
        <v>43945</v>
      </c>
      <c r="J26">
        <v>1</v>
      </c>
      <c r="K26" t="str">
        <v>Permanent</v>
      </c>
      <c r="L26" t="str">
        <v>Wellington, New Zealand</v>
      </c>
      <c r="M26" s="35">
        <v>4.161643835616438</v>
      </c>
      <c r="N26" t="str">
        <v>Full time</v>
      </c>
      <c r="T26" t="str">
        <v>SQ03387</v>
      </c>
      <c r="U26" t="str">
        <v>Robinia</v>
      </c>
      <c r="V26" t="str">
        <v>Scholling</v>
      </c>
      <c r="W26" t="str">
        <v>Female</v>
      </c>
      <c r="X26" t="str">
        <v>Human Resources</v>
      </c>
      <c r="Y26">
        <v>100731.95</v>
      </c>
    </row>
    <row r="27" spans="2:32" x14ac:dyDescent="0.25">
      <c r="B27" t="str">
        <v>SQ04603</v>
      </c>
      <c r="C27" t="str">
        <v>Natalee</v>
      </c>
      <c r="D27" t="str">
        <v>Craiker</v>
      </c>
      <c r="E27" t="str">
        <v>Male</v>
      </c>
      <c r="F27" t="str">
        <v>Product Management</v>
      </c>
      <c r="G27" s="32">
        <v>111229.47</v>
      </c>
      <c r="H27" t="str">
        <v>Above 100k</v>
      </c>
      <c r="I27" s="34">
        <v>43402</v>
      </c>
      <c r="J27">
        <v>1</v>
      </c>
      <c r="K27" t="str">
        <v>Permanent</v>
      </c>
      <c r="L27" t="str">
        <v>Remote</v>
      </c>
      <c r="M27" s="35">
        <v>5.6493150684931503</v>
      </c>
      <c r="N27" t="str">
        <v>Full time</v>
      </c>
      <c r="T27" t="str">
        <v>SQ03491</v>
      </c>
      <c r="U27" t="str">
        <v>Freda</v>
      </c>
      <c r="V27" t="str">
        <v>Legan</v>
      </c>
      <c r="W27" t="str">
        <v>Female</v>
      </c>
      <c r="X27" t="str">
        <v>Sales</v>
      </c>
      <c r="Y27">
        <v>102129.37</v>
      </c>
    </row>
    <row r="28" spans="2:32" x14ac:dyDescent="0.25">
      <c r="B28" t="str">
        <v>SQ04612</v>
      </c>
      <c r="C28" t="str">
        <v>Mick</v>
      </c>
      <c r="D28" t="str">
        <v>Spraberry</v>
      </c>
      <c r="E28" t="str">
        <v>Female</v>
      </c>
      <c r="F28" t="str">
        <v>Services</v>
      </c>
      <c r="G28" s="32">
        <v>120000</v>
      </c>
      <c r="H28" t="str">
        <v>Above 100k</v>
      </c>
      <c r="I28" s="34">
        <v>43902</v>
      </c>
      <c r="J28">
        <v>0.9</v>
      </c>
      <c r="K28" t="str">
        <v>Permanent</v>
      </c>
      <c r="L28" t="str">
        <v>Remote</v>
      </c>
      <c r="M28" s="35">
        <v>4.279452054794521</v>
      </c>
      <c r="N28" t="str">
        <v>Part time</v>
      </c>
      <c r="T28" t="str">
        <v>SQ04612</v>
      </c>
      <c r="U28" t="str">
        <v>Mick</v>
      </c>
      <c r="V28" t="str">
        <v>Spraberry</v>
      </c>
      <c r="W28" t="str">
        <v>Female</v>
      </c>
      <c r="X28" t="str">
        <v>Services</v>
      </c>
      <c r="Y28">
        <v>120000</v>
      </c>
    </row>
    <row r="29" spans="2:32" x14ac:dyDescent="0.25">
      <c r="B29" t="str">
        <v>SQ04665</v>
      </c>
      <c r="C29" t="str">
        <v>Collin</v>
      </c>
      <c r="D29" t="str">
        <v>Jagson</v>
      </c>
      <c r="E29" t="str">
        <v>Male</v>
      </c>
      <c r="F29" t="str">
        <v>Services</v>
      </c>
      <c r="G29" s="32">
        <v>100424.23</v>
      </c>
      <c r="H29" t="str">
        <v>Above 100k</v>
      </c>
      <c r="I29" s="34">
        <v>43801</v>
      </c>
      <c r="J29">
        <v>1</v>
      </c>
      <c r="K29" t="str">
        <v>Permanent</v>
      </c>
      <c r="L29" t="str">
        <v>Auckland, New Zealand</v>
      </c>
      <c r="M29" s="35">
        <v>4.5561643835616437</v>
      </c>
      <c r="N29" t="str">
        <v>Full time</v>
      </c>
      <c r="T29" t="str">
        <v>TN00579</v>
      </c>
      <c r="U29" t="str">
        <v>Rafaelita</v>
      </c>
      <c r="V29" t="str">
        <v>Blaksland</v>
      </c>
      <c r="W29" t="str">
        <v>Female</v>
      </c>
      <c r="X29" t="str">
        <v>Services</v>
      </c>
      <c r="Y29">
        <v>109163.39</v>
      </c>
    </row>
    <row r="30" spans="2:32" x14ac:dyDescent="0.25">
      <c r="B30" t="str">
        <v>TN00579</v>
      </c>
      <c r="C30" t="str">
        <v>Rafaelita</v>
      </c>
      <c r="D30" t="str">
        <v>Blaksland</v>
      </c>
      <c r="E30" t="str">
        <v>Female</v>
      </c>
      <c r="F30" t="str">
        <v>Services</v>
      </c>
      <c r="G30" s="32">
        <v>109163.39</v>
      </c>
      <c r="H30" t="str">
        <v>Above 100k</v>
      </c>
      <c r="I30" s="34">
        <v>44019</v>
      </c>
      <c r="J30">
        <v>0.8</v>
      </c>
      <c r="K30" t="str">
        <v>Permanent</v>
      </c>
      <c r="L30" t="str">
        <v>Seattle, USA</v>
      </c>
      <c r="M30" s="35">
        <v>3.9589041095890409</v>
      </c>
      <c r="N30" t="str">
        <v>Part time</v>
      </c>
      <c r="T30" t="str">
        <v>TN01281</v>
      </c>
      <c r="U30" t="str">
        <v>Cletus</v>
      </c>
      <c r="V30" t="str">
        <v>McGarahan</v>
      </c>
      <c r="W30" t="str">
        <v>Female</v>
      </c>
      <c r="X30" t="str">
        <v>Engineering</v>
      </c>
      <c r="Y30">
        <v>114425.19</v>
      </c>
    </row>
    <row r="31" spans="2:32" x14ac:dyDescent="0.25">
      <c r="B31" t="str">
        <v>TN01281</v>
      </c>
      <c r="C31" t="str">
        <v>Cletus</v>
      </c>
      <c r="D31" t="str">
        <v>McGarahan</v>
      </c>
      <c r="E31" t="str">
        <v>Female</v>
      </c>
      <c r="F31" t="str">
        <v>Engineering</v>
      </c>
      <c r="G31" s="32">
        <v>114425.19</v>
      </c>
      <c r="H31" t="str">
        <v>Above 100k</v>
      </c>
      <c r="I31" s="34">
        <v>43857</v>
      </c>
      <c r="J31">
        <v>1</v>
      </c>
      <c r="K31" t="str">
        <v>Permanent</v>
      </c>
      <c r="L31" t="str">
        <v>Wellington, New Zealand</v>
      </c>
      <c r="M31" s="35">
        <v>4.4027397260273968</v>
      </c>
      <c r="N31" t="str">
        <v>Full time</v>
      </c>
      <c r="T31" t="str">
        <v>TN04246</v>
      </c>
      <c r="U31" t="str">
        <v>Shaylyn</v>
      </c>
      <c r="V31" t="str">
        <v>Ransbury</v>
      </c>
      <c r="W31" t="str">
        <v>Female</v>
      </c>
      <c r="X31" t="str">
        <v>Support</v>
      </c>
      <c r="Y31">
        <v>100371.31</v>
      </c>
    </row>
    <row r="32" spans="2:32" x14ac:dyDescent="0.25">
      <c r="B32" t="str">
        <v>TN04058</v>
      </c>
      <c r="C32" t="str">
        <v>Subbarao</v>
      </c>
      <c r="D32" t="str">
        <v>Malladi</v>
      </c>
      <c r="E32" t="str">
        <v>Male</v>
      </c>
      <c r="F32" t="str">
        <v>Product Management</v>
      </c>
      <c r="G32" s="32">
        <v>106775.14</v>
      </c>
      <c r="H32" t="str">
        <v>Above 100k</v>
      </c>
      <c r="I32" s="34">
        <v>43563</v>
      </c>
      <c r="J32">
        <v>1</v>
      </c>
      <c r="K32" t="str">
        <v>Fixed Term</v>
      </c>
      <c r="L32" t="str">
        <v>Hyderabad, India</v>
      </c>
      <c r="M32" s="35">
        <v>5.2082191780821914</v>
      </c>
      <c r="N32" t="str">
        <v>Full time</v>
      </c>
      <c r="T32" t="str">
        <v>TN04740</v>
      </c>
      <c r="U32" t="str">
        <v>Tristam</v>
      </c>
      <c r="V32" t="str">
        <v>Cuming</v>
      </c>
      <c r="W32" t="str">
        <v>Female</v>
      </c>
      <c r="X32" t="str">
        <v>Support</v>
      </c>
      <c r="Y32">
        <v>104038.9</v>
      </c>
    </row>
    <row r="33" spans="2:25" x14ac:dyDescent="0.25">
      <c r="B33" t="str">
        <v>TN04058</v>
      </c>
      <c r="C33" t="str">
        <v>Vasu</v>
      </c>
      <c r="D33" t="str">
        <v>Nandin</v>
      </c>
      <c r="E33" t="str">
        <v>Male</v>
      </c>
      <c r="F33" t="str">
        <v>Product Management</v>
      </c>
      <c r="G33" s="32">
        <v>106775.14</v>
      </c>
      <c r="H33" t="str">
        <v>Above 100k</v>
      </c>
      <c r="I33" s="34">
        <v>43563</v>
      </c>
      <c r="J33">
        <v>1</v>
      </c>
      <c r="K33" t="str">
        <v>Fixed Term</v>
      </c>
      <c r="L33" t="str">
        <v>Hyderabad, India</v>
      </c>
      <c r="M33" s="35">
        <v>5.2082191780821914</v>
      </c>
      <c r="N33" t="str">
        <v>Full time</v>
      </c>
      <c r="T33" t="str">
        <v>VT01684</v>
      </c>
      <c r="U33" t="str">
        <v>Audry</v>
      </c>
      <c r="V33" t="str">
        <v>Yu</v>
      </c>
      <c r="W33" t="str">
        <v>Female</v>
      </c>
      <c r="X33" t="str">
        <v>Training</v>
      </c>
      <c r="Y33">
        <v>101187.36</v>
      </c>
    </row>
    <row r="34" spans="2:25" x14ac:dyDescent="0.25">
      <c r="B34" t="str">
        <v>TN04246</v>
      </c>
      <c r="C34" t="str">
        <v>Shaylyn</v>
      </c>
      <c r="D34" t="str">
        <v>Ransbury</v>
      </c>
      <c r="E34" t="str">
        <v>Female</v>
      </c>
      <c r="F34" t="str">
        <v>Support</v>
      </c>
      <c r="G34" s="32">
        <v>100371.31</v>
      </c>
      <c r="H34" t="str">
        <v>Above 100k</v>
      </c>
      <c r="I34" s="34">
        <v>44067</v>
      </c>
      <c r="J34">
        <v>0.8</v>
      </c>
      <c r="K34" t="str">
        <v>Fixed Term</v>
      </c>
      <c r="L34" t="str">
        <v>Auckland, New Zealand</v>
      </c>
      <c r="M34" s="35">
        <v>3.8273972602739725</v>
      </c>
      <c r="N34" t="str">
        <v>Part time</v>
      </c>
      <c r="T34" t="str">
        <v>VT04093</v>
      </c>
      <c r="U34" t="str">
        <v>Prasanna</v>
      </c>
      <c r="V34" t="str">
        <v>Lakshmi</v>
      </c>
      <c r="W34" t="str">
        <v>Female</v>
      </c>
      <c r="X34" t="str">
        <v>Training</v>
      </c>
      <c r="Y34">
        <v>116767.63</v>
      </c>
    </row>
    <row r="35" spans="2:25" x14ac:dyDescent="0.25">
      <c r="B35" t="str">
        <v>TN04740</v>
      </c>
      <c r="C35" t="str">
        <v>Tristam</v>
      </c>
      <c r="D35" t="str">
        <v>Cuming</v>
      </c>
      <c r="E35" t="str">
        <v>Female</v>
      </c>
      <c r="F35" t="str">
        <v>Support</v>
      </c>
      <c r="G35" s="32">
        <v>104038.9</v>
      </c>
      <c r="H35" t="str">
        <v>Above 100k</v>
      </c>
      <c r="I35" s="34">
        <v>43815</v>
      </c>
      <c r="J35">
        <v>1</v>
      </c>
      <c r="K35" t="str">
        <v>Fixed Term</v>
      </c>
      <c r="L35" t="str">
        <v>Remote</v>
      </c>
      <c r="M35" s="35">
        <v>4.5178082191780824</v>
      </c>
      <c r="N35" t="str">
        <v>Full time</v>
      </c>
      <c r="T35" t="str">
        <v>VT04093</v>
      </c>
      <c r="U35" t="str">
        <v>Baruna</v>
      </c>
      <c r="V35" t="str">
        <v>Ogale</v>
      </c>
      <c r="W35" t="str">
        <v>Female</v>
      </c>
      <c r="X35" t="str">
        <v>Training</v>
      </c>
      <c r="Y35">
        <v>116767.63</v>
      </c>
    </row>
    <row r="36" spans="2:25" x14ac:dyDescent="0.25">
      <c r="B36" t="str">
        <v>VT01684</v>
      </c>
      <c r="C36" t="str">
        <v>Audry</v>
      </c>
      <c r="D36" t="str">
        <v>Yu</v>
      </c>
      <c r="E36" t="str">
        <v>Female</v>
      </c>
      <c r="F36" t="str">
        <v>Training</v>
      </c>
      <c r="G36" s="32">
        <v>101187.36</v>
      </c>
      <c r="H36" t="str">
        <v>Above 100k</v>
      </c>
      <c r="I36" s="34">
        <v>43258</v>
      </c>
      <c r="J36">
        <v>1</v>
      </c>
      <c r="K36" t="str">
        <v>Fixed Term</v>
      </c>
      <c r="L36" t="str">
        <v>Columbus, USA</v>
      </c>
      <c r="M36" s="35">
        <v>6.043835616438356</v>
      </c>
      <c r="N36" t="str">
        <v>Full time</v>
      </c>
      <c r="T36" t="str">
        <v>VT04552</v>
      </c>
      <c r="U36" t="str">
        <v>Theresita</v>
      </c>
      <c r="V36" t="str">
        <v>Chasmer</v>
      </c>
      <c r="W36" t="str">
        <v>Female</v>
      </c>
      <c r="X36" t="str">
        <v>Product Management</v>
      </c>
      <c r="Y36">
        <v>106665.67</v>
      </c>
    </row>
    <row r="37" spans="2:25" x14ac:dyDescent="0.25">
      <c r="B37" t="str">
        <v>VT01762</v>
      </c>
      <c r="C37" t="str">
        <v>Geena</v>
      </c>
      <c r="D37" t="str">
        <v>Raghavanpillai</v>
      </c>
      <c r="E37" t="str">
        <v>Male</v>
      </c>
      <c r="F37" t="str">
        <v>Accounting</v>
      </c>
      <c r="G37" s="32">
        <v>102515.81</v>
      </c>
      <c r="H37" t="str">
        <v>Above 100k</v>
      </c>
      <c r="I37" s="34">
        <v>43902</v>
      </c>
      <c r="J37">
        <v>1</v>
      </c>
      <c r="K37" t="str">
        <v>Fixed Term</v>
      </c>
      <c r="L37" t="str">
        <v>Chennai, India</v>
      </c>
      <c r="M37" s="35">
        <v>4.279452054794521</v>
      </c>
      <c r="N37" t="str">
        <v>Full time</v>
      </c>
      <c r="T37" t="str">
        <v>VT04681</v>
      </c>
      <c r="U37" t="str">
        <v>Nickolai</v>
      </c>
      <c r="V37" t="str">
        <v>Artin</v>
      </c>
      <c r="W37" t="str">
        <v>Female</v>
      </c>
      <c r="X37" t="str">
        <v>Product Management</v>
      </c>
      <c r="Y37">
        <v>110906.35</v>
      </c>
    </row>
    <row r="38" spans="2:25" x14ac:dyDescent="0.25">
      <c r="B38" t="str">
        <v>VT01893</v>
      </c>
      <c r="C38" t="str">
        <v>Lindy</v>
      </c>
      <c r="D38" t="str">
        <v>Guillet</v>
      </c>
      <c r="E38" t="str">
        <v>Male</v>
      </c>
      <c r="F38" t="str">
        <v>Training</v>
      </c>
      <c r="G38" s="32">
        <v>112778.28</v>
      </c>
      <c r="H38" t="str">
        <v>Above 100k</v>
      </c>
      <c r="I38" s="34">
        <v>43250</v>
      </c>
      <c r="J38">
        <v>1</v>
      </c>
      <c r="K38" t="str">
        <v>Fixed Term</v>
      </c>
      <c r="L38" t="str">
        <v>Remote</v>
      </c>
      <c r="M38" s="35">
        <v>6.065753424657534</v>
      </c>
      <c r="N38" t="str">
        <v>Full time</v>
      </c>
    </row>
    <row r="39" spans="2:25" x14ac:dyDescent="0.25">
      <c r="B39" t="str">
        <v>VT01893</v>
      </c>
      <c r="C39" t="str">
        <v>Lindy</v>
      </c>
      <c r="D39" t="str">
        <v>Guillet</v>
      </c>
      <c r="E39" t="str">
        <v>Male</v>
      </c>
      <c r="F39" t="str">
        <v>Training</v>
      </c>
      <c r="G39" s="32">
        <v>112778.28</v>
      </c>
      <c r="H39" t="str">
        <v>Above 100k</v>
      </c>
      <c r="I39" s="34">
        <v>43250</v>
      </c>
      <c r="J39">
        <v>1</v>
      </c>
      <c r="K39" t="str">
        <v>Fixed Term</v>
      </c>
      <c r="L39" t="str">
        <v>Remote</v>
      </c>
      <c r="M39" s="35">
        <v>6.065753424657534</v>
      </c>
      <c r="N39" t="str">
        <v>Full time</v>
      </c>
    </row>
    <row r="40" spans="2:25" x14ac:dyDescent="0.25">
      <c r="B40" t="str">
        <v>VT02491</v>
      </c>
      <c r="C40" t="str">
        <v>Alexis</v>
      </c>
      <c r="D40" t="str">
        <v>Gotfrey</v>
      </c>
      <c r="E40" t="str">
        <v>Male</v>
      </c>
      <c r="F40" t="str">
        <v>Engineering</v>
      </c>
      <c r="G40" s="32">
        <v>114465.93</v>
      </c>
      <c r="H40" t="str">
        <v>Above 100k</v>
      </c>
      <c r="I40" s="34">
        <v>43291</v>
      </c>
      <c r="J40">
        <v>1</v>
      </c>
      <c r="K40" t="str">
        <v>Temporary</v>
      </c>
      <c r="L40" t="str">
        <v>Wellington, New Zealand</v>
      </c>
      <c r="M40" s="35">
        <v>5.9534246575342467</v>
      </c>
      <c r="N40" t="str">
        <v>Full time</v>
      </c>
    </row>
    <row r="41" spans="2:25" x14ac:dyDescent="0.25">
      <c r="B41" t="str">
        <v>VT02801</v>
      </c>
      <c r="C41" t="str">
        <v>Shellysheldon</v>
      </c>
      <c r="D41" t="str">
        <v>Mahady</v>
      </c>
      <c r="E41" t="str">
        <v>Male</v>
      </c>
      <c r="F41" t="str">
        <v>Training</v>
      </c>
      <c r="G41" s="32">
        <v>114691.03</v>
      </c>
      <c r="H41" t="str">
        <v>Above 100k</v>
      </c>
      <c r="I41" s="34">
        <v>44039</v>
      </c>
      <c r="J41">
        <v>1</v>
      </c>
      <c r="K41" t="str">
        <v>Temporary</v>
      </c>
      <c r="L41" t="str">
        <v>Wellington, New Zealand</v>
      </c>
      <c r="M41" s="35">
        <v>3.904109589041096</v>
      </c>
      <c r="N41" t="str">
        <v>Full time</v>
      </c>
    </row>
    <row r="42" spans="2:25" x14ac:dyDescent="0.25">
      <c r="B42" t="str">
        <v>VT03421</v>
      </c>
      <c r="C42" t="str">
        <v>Alic</v>
      </c>
      <c r="D42" t="str">
        <v>Bagg</v>
      </c>
      <c r="E42" t="str">
        <v>Male</v>
      </c>
      <c r="F42" t="str">
        <v>Legal</v>
      </c>
      <c r="G42" s="32">
        <v>113747.56</v>
      </c>
      <c r="H42" t="str">
        <v>Above 100k</v>
      </c>
      <c r="I42" s="34">
        <v>44270</v>
      </c>
      <c r="J42">
        <v>0.7</v>
      </c>
      <c r="K42" t="str">
        <v>Temporary</v>
      </c>
      <c r="L42" t="str">
        <v>Columbus, USA</v>
      </c>
      <c r="M42" s="35">
        <v>3.2712328767123289</v>
      </c>
      <c r="N42" t="str">
        <v>Part time</v>
      </c>
    </row>
    <row r="43" spans="2:25" x14ac:dyDescent="0.25">
      <c r="B43" t="str">
        <v>VT03421</v>
      </c>
      <c r="C43" t="str">
        <v>Alic</v>
      </c>
      <c r="D43" t="str">
        <v>Bagg</v>
      </c>
      <c r="E43" t="str">
        <v>Male</v>
      </c>
      <c r="F43" t="str">
        <v>Legal</v>
      </c>
      <c r="G43" s="32">
        <v>113747.56</v>
      </c>
      <c r="H43" t="str">
        <v>Above 100k</v>
      </c>
      <c r="I43" s="34">
        <v>44270</v>
      </c>
      <c r="J43">
        <v>0.7</v>
      </c>
      <c r="K43" t="str">
        <v>Temporary</v>
      </c>
      <c r="L43" t="str">
        <v>Columbus, USA</v>
      </c>
      <c r="M43" s="35">
        <v>3.2712328767123289</v>
      </c>
      <c r="N43" t="str">
        <v>Part time</v>
      </c>
    </row>
    <row r="44" spans="2:25" x14ac:dyDescent="0.25">
      <c r="B44" t="str">
        <v>VT04028</v>
      </c>
      <c r="C44" t="str">
        <v>Michale</v>
      </c>
      <c r="D44" t="str">
        <v>Rolf</v>
      </c>
      <c r="E44" t="str">
        <v>Male</v>
      </c>
      <c r="F44" t="str">
        <v>Services</v>
      </c>
      <c r="G44" s="32">
        <v>111815.49</v>
      </c>
      <c r="H44" t="str">
        <v>Above 100k</v>
      </c>
      <c r="I44" s="34">
        <v>43895</v>
      </c>
      <c r="J44">
        <v>0.7</v>
      </c>
      <c r="K44" t="str">
        <v>Temporary</v>
      </c>
      <c r="L44" t="str">
        <v>Remote</v>
      </c>
      <c r="M44" s="35">
        <v>4.2986301369863016</v>
      </c>
      <c r="N44" t="str">
        <v>Part time</v>
      </c>
    </row>
    <row r="45" spans="2:25" x14ac:dyDescent="0.25">
      <c r="B45" t="str">
        <v>VT04028</v>
      </c>
      <c r="C45" t="str">
        <v>Michale</v>
      </c>
      <c r="D45" t="str">
        <v>Rolf</v>
      </c>
      <c r="E45" t="str">
        <v>Male</v>
      </c>
      <c r="F45" t="str">
        <v>Services</v>
      </c>
      <c r="G45" s="32">
        <v>111815.49</v>
      </c>
      <c r="H45" t="str">
        <v>Above 100k</v>
      </c>
      <c r="I45" s="34">
        <v>43895</v>
      </c>
      <c r="J45">
        <v>0.7</v>
      </c>
      <c r="K45" t="str">
        <v>Temporary</v>
      </c>
      <c r="L45" t="str">
        <v>Remote</v>
      </c>
      <c r="M45" s="35">
        <v>4.2986301369863016</v>
      </c>
      <c r="N45" t="str">
        <v>Part time</v>
      </c>
    </row>
    <row r="46" spans="2:25" x14ac:dyDescent="0.25">
      <c r="B46" t="str">
        <v>VT04093</v>
      </c>
      <c r="C46" t="str">
        <v>Prasanna</v>
      </c>
      <c r="D46" t="str">
        <v>Lakshmi</v>
      </c>
      <c r="E46" t="str">
        <v>Female</v>
      </c>
      <c r="F46" t="str">
        <v>Training</v>
      </c>
      <c r="G46" s="32">
        <v>116767.63</v>
      </c>
      <c r="H46" t="str">
        <v>Above 100k</v>
      </c>
      <c r="I46" s="34">
        <v>43949</v>
      </c>
      <c r="J46">
        <v>0.4</v>
      </c>
      <c r="K46" t="str">
        <v>Temporary</v>
      </c>
      <c r="L46" t="str">
        <v>Chennai, India</v>
      </c>
      <c r="M46" s="35">
        <v>4.1506849315068495</v>
      </c>
      <c r="N46" t="str">
        <v>Part time</v>
      </c>
    </row>
    <row r="47" spans="2:25" x14ac:dyDescent="0.25">
      <c r="B47" t="str">
        <v>VT04093</v>
      </c>
      <c r="C47" t="str">
        <v>Baruna</v>
      </c>
      <c r="D47" t="str">
        <v>Ogale</v>
      </c>
      <c r="E47" t="str">
        <v>Female</v>
      </c>
      <c r="F47" t="str">
        <v>Training</v>
      </c>
      <c r="G47" s="32">
        <v>116767.63</v>
      </c>
      <c r="H47" t="str">
        <v>Above 100k</v>
      </c>
      <c r="I47" s="34">
        <v>43949</v>
      </c>
      <c r="J47">
        <v>0.4</v>
      </c>
      <c r="K47" t="str">
        <v>Temporary</v>
      </c>
      <c r="L47" t="str">
        <v>Chennai, India</v>
      </c>
      <c r="M47" s="35">
        <v>4.1506849315068495</v>
      </c>
      <c r="N47" t="str">
        <v>Part time</v>
      </c>
    </row>
    <row r="48" spans="2:25" x14ac:dyDescent="0.25">
      <c r="B48" t="str">
        <v>VT04350</v>
      </c>
      <c r="C48" t="str">
        <v>Kulbhushan</v>
      </c>
      <c r="D48" t="str">
        <v>Moorthy</v>
      </c>
      <c r="E48" t="str">
        <v>Male</v>
      </c>
      <c r="F48" t="str">
        <v>Business Development</v>
      </c>
      <c r="G48" s="32">
        <v>106400.02</v>
      </c>
      <c r="H48" t="str">
        <v>Above 100k</v>
      </c>
      <c r="I48" s="34">
        <v>44021</v>
      </c>
      <c r="J48">
        <v>1</v>
      </c>
      <c r="K48" t="str">
        <v>Temporary</v>
      </c>
      <c r="L48" t="str">
        <v>Chennai, India</v>
      </c>
      <c r="M48" s="35">
        <v>3.9534246575342467</v>
      </c>
      <c r="N48" t="str">
        <v>Full time</v>
      </c>
    </row>
    <row r="49" spans="2:28" x14ac:dyDescent="0.25">
      <c r="B49" t="str">
        <v>VT04350</v>
      </c>
      <c r="C49" t="str">
        <v>Lalit</v>
      </c>
      <c r="D49" t="str">
        <v>Kothari</v>
      </c>
      <c r="E49" t="str">
        <v>Male</v>
      </c>
      <c r="F49" t="str">
        <v>Business Development</v>
      </c>
      <c r="G49" s="32">
        <v>106400.02</v>
      </c>
      <c r="H49" t="str">
        <v>Above 100k</v>
      </c>
      <c r="I49" s="34">
        <v>44021</v>
      </c>
      <c r="J49">
        <v>1</v>
      </c>
      <c r="K49" t="str">
        <v>Temporary</v>
      </c>
      <c r="L49" t="str">
        <v>Chennai, India</v>
      </c>
      <c r="M49" s="35">
        <v>3.9534246575342467</v>
      </c>
      <c r="N49" t="str">
        <v>Full time</v>
      </c>
    </row>
    <row r="50" spans="2:28" x14ac:dyDescent="0.25">
      <c r="B50" t="str">
        <v>VT04552</v>
      </c>
      <c r="C50" t="str">
        <v>Theresita</v>
      </c>
      <c r="D50" t="str">
        <v>Chasmer</v>
      </c>
      <c r="E50" t="str">
        <v>Female</v>
      </c>
      <c r="F50" t="str">
        <v>Product Management</v>
      </c>
      <c r="G50" s="32">
        <v>106665.67</v>
      </c>
      <c r="H50" t="str">
        <v>Above 100k</v>
      </c>
      <c r="I50" s="34">
        <v>43311</v>
      </c>
      <c r="J50">
        <v>1</v>
      </c>
      <c r="K50" t="str">
        <v>Temporary</v>
      </c>
      <c r="L50" t="str">
        <v>Columbus, USA</v>
      </c>
      <c r="M50" s="35">
        <v>5.8986301369863012</v>
      </c>
      <c r="N50" t="str">
        <v>Full time</v>
      </c>
    </row>
    <row r="51" spans="2:28" x14ac:dyDescent="0.25">
      <c r="B51" t="str">
        <v>VT04681</v>
      </c>
      <c r="C51" t="str">
        <v>Nickolai</v>
      </c>
      <c r="D51" t="str">
        <v>Artin</v>
      </c>
      <c r="E51" t="str">
        <v>Female</v>
      </c>
      <c r="F51" t="str">
        <v>Product Management</v>
      </c>
      <c r="G51" s="32">
        <v>110906.35</v>
      </c>
      <c r="H51" t="str">
        <v>Above 100k</v>
      </c>
      <c r="I51" s="34">
        <v>43434</v>
      </c>
      <c r="J51">
        <v>1</v>
      </c>
      <c r="K51" t="str">
        <v>Temporary</v>
      </c>
      <c r="L51" t="str">
        <v>Wellington, New Zealand</v>
      </c>
      <c r="M51" s="35">
        <v>5.5616438356164384</v>
      </c>
      <c r="N51" t="str">
        <v>Full time</v>
      </c>
    </row>
    <row r="52" spans="2:28" x14ac:dyDescent="0.25">
      <c r="Q52" t="s">
        <v>787</v>
      </c>
    </row>
    <row r="55" spans="2:28" ht="15.75" x14ac:dyDescent="0.25">
      <c r="P55" s="36" t="s">
        <v>777</v>
      </c>
    </row>
    <row r="56" spans="2:28" ht="21" x14ac:dyDescent="0.35">
      <c r="B56" s="33" t="s">
        <v>775</v>
      </c>
    </row>
    <row r="57" spans="2:28" x14ac:dyDescent="0.25">
      <c r="E57" s="29">
        <v>110000</v>
      </c>
      <c r="F57" t="s">
        <v>776</v>
      </c>
      <c r="P57" s="30" t="str" cm="1">
        <f t="array" ref="P57:AB57">staff[#Headers]</f>
        <v>Emp ID</v>
      </c>
      <c r="Q57" s="30" t="str">
        <v>First Name</v>
      </c>
      <c r="R57" s="30" t="str">
        <v>Last Name</v>
      </c>
      <c r="S57" s="30" t="str">
        <v>Gender</v>
      </c>
      <c r="T57" s="30" t="str">
        <v>Department</v>
      </c>
      <c r="U57" s="30" t="str">
        <v>Salary</v>
      </c>
      <c r="V57" s="30" t="str">
        <v>Salary Bucket</v>
      </c>
      <c r="W57" s="30" t="str">
        <v>Start Date</v>
      </c>
      <c r="X57" s="30" t="str">
        <v>FTE</v>
      </c>
      <c r="Y57" s="30" t="str">
        <v>Employee type</v>
      </c>
      <c r="Z57" s="30" t="str">
        <v>Work location</v>
      </c>
      <c r="AA57" s="30" t="str">
        <v>Tenure</v>
      </c>
      <c r="AB57" s="30" t="str">
        <v>Work Type</v>
      </c>
    </row>
    <row r="58" spans="2:28" x14ac:dyDescent="0.25">
      <c r="P58" t="str" cm="1">
        <f t="array" ref="P58:AB66">_xlfn._xlws.FILTER(staff[],(staff[Salary]&gt;E57)*(staff[Gender]="Female"))</f>
        <v>PR00746</v>
      </c>
      <c r="Q58" t="str">
        <v>Hogan</v>
      </c>
      <c r="R58" t="str">
        <v>Iles</v>
      </c>
      <c r="S58" t="str">
        <v>Female</v>
      </c>
      <c r="T58" t="str">
        <v>Accounting</v>
      </c>
      <c r="U58">
        <v>114177.23</v>
      </c>
      <c r="V58" t="str">
        <v>Above 100k</v>
      </c>
      <c r="W58">
        <v>43908</v>
      </c>
      <c r="X58">
        <v>1</v>
      </c>
      <c r="Y58" t="str">
        <v>Permanent</v>
      </c>
      <c r="Z58" t="str">
        <v>Wellington, New Zealand</v>
      </c>
      <c r="AA58">
        <v>4.2630136986301368</v>
      </c>
      <c r="AB58" t="str">
        <v>Full time</v>
      </c>
    </row>
    <row r="59" spans="2:28" x14ac:dyDescent="0.25">
      <c r="B59" s="30" t="str" cm="1">
        <f t="array" ref="B59:N59">staff[#Headers]</f>
        <v>Emp ID</v>
      </c>
      <c r="C59" s="30" t="str">
        <v>First Name</v>
      </c>
      <c r="D59" s="30" t="str">
        <v>Last Name</v>
      </c>
      <c r="E59" s="30" t="str">
        <v>Gender</v>
      </c>
      <c r="F59" s="30" t="str">
        <v>Department</v>
      </c>
      <c r="G59" s="30" t="str">
        <v>Salary</v>
      </c>
      <c r="H59" s="30" t="str">
        <v>Salary Bucket</v>
      </c>
      <c r="I59" s="30" t="str">
        <v>Start Date</v>
      </c>
      <c r="J59" s="30" t="str">
        <v>FTE</v>
      </c>
      <c r="K59" s="30" t="str">
        <v>Employee type</v>
      </c>
      <c r="L59" s="30" t="str">
        <v>Work location</v>
      </c>
      <c r="M59" s="30" t="str">
        <v>Tenure</v>
      </c>
      <c r="N59" s="30" t="str">
        <v>Work Type</v>
      </c>
      <c r="P59" t="str">
        <v>SQ00498</v>
      </c>
      <c r="Q59" t="str">
        <v>Amery</v>
      </c>
      <c r="R59" t="str">
        <v>Ofer</v>
      </c>
      <c r="S59" t="str">
        <v>Female</v>
      </c>
      <c r="T59" t="str">
        <v>Legal</v>
      </c>
      <c r="U59">
        <v>111049.84</v>
      </c>
      <c r="V59" t="str">
        <v>Above 100k</v>
      </c>
      <c r="W59">
        <v>44393</v>
      </c>
      <c r="X59">
        <v>1</v>
      </c>
      <c r="Y59" t="str">
        <v>Permanent</v>
      </c>
      <c r="Z59" t="str">
        <v>Wellington, New Zealand</v>
      </c>
      <c r="AA59">
        <v>2.9342465753424656</v>
      </c>
      <c r="AB59" t="str">
        <v>Full time</v>
      </c>
    </row>
    <row r="60" spans="2:28" x14ac:dyDescent="0.25">
      <c r="B60" t="str" cm="1">
        <f t="array" ref="B60:N84">_xlfn._xlws.FILTER(staff[],staff[Salary]&gt;E57)</f>
        <v>PR00147</v>
      </c>
      <c r="C60" t="str">
        <v>Minerva</v>
      </c>
      <c r="D60" t="str">
        <v>Ricardot</v>
      </c>
      <c r="E60" t="str">
        <v>Male</v>
      </c>
      <c r="F60" t="str">
        <v>Engineering</v>
      </c>
      <c r="G60" s="32">
        <v>120000</v>
      </c>
      <c r="H60" t="str">
        <v>Above 100k</v>
      </c>
      <c r="I60" s="34">
        <v>43416</v>
      </c>
      <c r="J60">
        <v>1</v>
      </c>
      <c r="K60" t="str">
        <v>Permanent</v>
      </c>
      <c r="L60" t="str">
        <v>Remote</v>
      </c>
      <c r="M60" s="35">
        <v>5.6109589041095891</v>
      </c>
      <c r="N60" t="str">
        <v>Full time</v>
      </c>
      <c r="P60" t="str">
        <v>SQ02174</v>
      </c>
      <c r="Q60" t="str">
        <v>Sidoney</v>
      </c>
      <c r="R60" t="str">
        <v>Yitzhok</v>
      </c>
      <c r="S60" t="str">
        <v>Female</v>
      </c>
      <c r="T60" t="str">
        <v>Engineering</v>
      </c>
      <c r="U60">
        <v>118442.54</v>
      </c>
      <c r="V60" t="str">
        <v>Above 100k</v>
      </c>
      <c r="W60">
        <v>44193</v>
      </c>
      <c r="X60">
        <v>1</v>
      </c>
      <c r="Y60" t="str">
        <v>Permanent</v>
      </c>
      <c r="Z60" t="str">
        <v>Auckland, New Zealand</v>
      </c>
      <c r="AA60">
        <v>3.4821917808219176</v>
      </c>
      <c r="AB60" t="str">
        <v>Full time</v>
      </c>
    </row>
    <row r="61" spans="2:28" x14ac:dyDescent="0.25">
      <c r="B61" t="str">
        <v>PR00746</v>
      </c>
      <c r="C61" t="str">
        <v>Hogan</v>
      </c>
      <c r="D61" t="str">
        <v>Iles</v>
      </c>
      <c r="E61" t="str">
        <v>Female</v>
      </c>
      <c r="F61" t="str">
        <v>Accounting</v>
      </c>
      <c r="G61" s="32">
        <v>114177.23</v>
      </c>
      <c r="H61" t="str">
        <v>Above 100k</v>
      </c>
      <c r="I61" s="34">
        <v>43908</v>
      </c>
      <c r="J61">
        <v>1</v>
      </c>
      <c r="K61" t="str">
        <v>Permanent</v>
      </c>
      <c r="L61" t="str">
        <v>Wellington, New Zealand</v>
      </c>
      <c r="M61" s="35">
        <v>4.2630136986301368</v>
      </c>
      <c r="N61" t="str">
        <v>Full time</v>
      </c>
      <c r="P61" t="str">
        <v>SQ02624</v>
      </c>
      <c r="Q61" t="str">
        <v>Gwenneth</v>
      </c>
      <c r="R61" t="str">
        <v>Fealey</v>
      </c>
      <c r="S61" t="str">
        <v>Female</v>
      </c>
      <c r="T61" t="str">
        <v>Engineering</v>
      </c>
      <c r="U61">
        <v>114772.32</v>
      </c>
      <c r="V61" t="str">
        <v>Above 100k</v>
      </c>
      <c r="W61">
        <v>44251</v>
      </c>
      <c r="X61">
        <v>1</v>
      </c>
      <c r="Y61" t="str">
        <v>Permanent</v>
      </c>
      <c r="Z61" t="str">
        <v>Columbus, USA</v>
      </c>
      <c r="AA61">
        <v>3.3232876712328765</v>
      </c>
      <c r="AB61" t="str">
        <v>Full time</v>
      </c>
    </row>
    <row r="62" spans="2:28" x14ac:dyDescent="0.25">
      <c r="B62" t="str">
        <v>PR01159</v>
      </c>
      <c r="C62" t="str">
        <v>Mollie</v>
      </c>
      <c r="D62" t="str">
        <v>Hanway</v>
      </c>
      <c r="E62" t="str">
        <v>Male</v>
      </c>
      <c r="F62" t="str">
        <v>Engineering</v>
      </c>
      <c r="G62" s="32">
        <v>112645.99</v>
      </c>
      <c r="H62" t="str">
        <v>Above 100k</v>
      </c>
      <c r="I62" s="34">
        <v>43759</v>
      </c>
      <c r="J62">
        <v>0.6</v>
      </c>
      <c r="K62" t="str">
        <v>Permanent</v>
      </c>
      <c r="L62" t="str">
        <v>Seattle, USA</v>
      </c>
      <c r="M62" s="35">
        <v>4.6712328767123283</v>
      </c>
      <c r="N62" t="str">
        <v>Part time</v>
      </c>
      <c r="P62" t="str">
        <v>SQ04612</v>
      </c>
      <c r="Q62" t="str">
        <v>Mick</v>
      </c>
      <c r="R62" t="str">
        <v>Spraberry</v>
      </c>
      <c r="S62" t="str">
        <v>Female</v>
      </c>
      <c r="T62" t="str">
        <v>Services</v>
      </c>
      <c r="U62">
        <v>120000</v>
      </c>
      <c r="V62" t="str">
        <v>Above 100k</v>
      </c>
      <c r="W62">
        <v>43902</v>
      </c>
      <c r="X62">
        <v>0.9</v>
      </c>
      <c r="Y62" t="str">
        <v>Permanent</v>
      </c>
      <c r="Z62" t="str">
        <v>Remote</v>
      </c>
      <c r="AA62">
        <v>4.279452054794521</v>
      </c>
      <c r="AB62" t="str">
        <v>Part time</v>
      </c>
    </row>
    <row r="63" spans="2:28" x14ac:dyDescent="0.25">
      <c r="B63" t="str">
        <v>PR02010</v>
      </c>
      <c r="C63" t="str">
        <v>Prerana</v>
      </c>
      <c r="D63" t="str">
        <v>Nishita</v>
      </c>
      <c r="E63" t="str">
        <v>Male</v>
      </c>
      <c r="F63" t="str">
        <v>Product Management</v>
      </c>
      <c r="G63" s="32">
        <v>115191.38</v>
      </c>
      <c r="H63" t="str">
        <v>Above 100k</v>
      </c>
      <c r="I63" s="34">
        <v>44004</v>
      </c>
      <c r="J63">
        <v>1</v>
      </c>
      <c r="K63" t="str">
        <v>Permanent</v>
      </c>
      <c r="L63" t="str">
        <v>Hyderabad, India</v>
      </c>
      <c r="M63" s="35">
        <v>4</v>
      </c>
      <c r="N63" t="str">
        <v>Full time</v>
      </c>
      <c r="P63" t="str">
        <v>TN01281</v>
      </c>
      <c r="Q63" t="str">
        <v>Cletus</v>
      </c>
      <c r="R63" t="str">
        <v>McGarahan</v>
      </c>
      <c r="S63" t="str">
        <v>Female</v>
      </c>
      <c r="T63" t="str">
        <v>Engineering</v>
      </c>
      <c r="U63">
        <v>114425.19</v>
      </c>
      <c r="V63" t="str">
        <v>Above 100k</v>
      </c>
      <c r="W63">
        <v>43857</v>
      </c>
      <c r="X63">
        <v>1</v>
      </c>
      <c r="Y63" t="str">
        <v>Permanent</v>
      </c>
      <c r="Z63" t="str">
        <v>Wellington, New Zealand</v>
      </c>
      <c r="AA63">
        <v>4.4027397260273968</v>
      </c>
      <c r="AB63" t="str">
        <v>Full time</v>
      </c>
    </row>
    <row r="64" spans="2:28" x14ac:dyDescent="0.25">
      <c r="B64" t="str">
        <v>PR03886</v>
      </c>
      <c r="C64" t="str">
        <v>Edd</v>
      </c>
      <c r="D64" t="str">
        <v>MacKnockiter</v>
      </c>
      <c r="E64" t="str">
        <v>Male</v>
      </c>
      <c r="F64" t="str">
        <v>Accounting</v>
      </c>
      <c r="G64" s="32">
        <v>119022.49</v>
      </c>
      <c r="H64" t="str">
        <v>Above 100k</v>
      </c>
      <c r="I64" s="34">
        <v>44431</v>
      </c>
      <c r="J64">
        <v>1</v>
      </c>
      <c r="K64" t="str">
        <v>Permanent</v>
      </c>
      <c r="L64" t="str">
        <v>Auckland, New Zealand</v>
      </c>
      <c r="M64" s="35">
        <v>2.8301369863013699</v>
      </c>
      <c r="N64" t="str">
        <v>Full time</v>
      </c>
      <c r="P64" t="str">
        <v>VT04093</v>
      </c>
      <c r="Q64" t="str">
        <v>Prasanna</v>
      </c>
      <c r="R64" t="str">
        <v>Lakshmi</v>
      </c>
      <c r="S64" t="str">
        <v>Female</v>
      </c>
      <c r="T64" t="str">
        <v>Training</v>
      </c>
      <c r="U64">
        <v>116767.63</v>
      </c>
      <c r="V64" t="str">
        <v>Above 100k</v>
      </c>
      <c r="W64">
        <v>43949</v>
      </c>
      <c r="X64">
        <v>0.4</v>
      </c>
      <c r="Y64" t="str">
        <v>Temporary</v>
      </c>
      <c r="Z64" t="str">
        <v>Chennai, India</v>
      </c>
      <c r="AA64">
        <v>4.1506849315068495</v>
      </c>
      <c r="AB64" t="str">
        <v>Part time</v>
      </c>
    </row>
    <row r="65" spans="2:28" x14ac:dyDescent="0.25">
      <c r="B65" t="str">
        <v>SQ00022</v>
      </c>
      <c r="C65" t="str">
        <v>Carlin</v>
      </c>
      <c r="D65" t="str">
        <v>Demke</v>
      </c>
      <c r="E65" t="str">
        <v>Male</v>
      </c>
      <c r="F65" t="str">
        <v>Business Development</v>
      </c>
      <c r="G65" s="32">
        <v>110042.37</v>
      </c>
      <c r="H65" t="str">
        <v>Above 100k</v>
      </c>
      <c r="I65" s="34">
        <v>43914</v>
      </c>
      <c r="J65">
        <v>1</v>
      </c>
      <c r="K65" t="str">
        <v>Permanent</v>
      </c>
      <c r="L65" t="str">
        <v>Columbus, USA</v>
      </c>
      <c r="M65" s="35">
        <v>4.2465753424657535</v>
      </c>
      <c r="N65" t="str">
        <v>Full time</v>
      </c>
      <c r="P65" t="str">
        <v>VT04093</v>
      </c>
      <c r="Q65" t="str">
        <v>Baruna</v>
      </c>
      <c r="R65" t="str">
        <v>Ogale</v>
      </c>
      <c r="S65" t="str">
        <v>Female</v>
      </c>
      <c r="T65" t="str">
        <v>Training</v>
      </c>
      <c r="U65">
        <v>116767.63</v>
      </c>
      <c r="V65" t="str">
        <v>Above 100k</v>
      </c>
      <c r="W65">
        <v>43949</v>
      </c>
      <c r="X65">
        <v>0.4</v>
      </c>
      <c r="Y65" t="str">
        <v>Temporary</v>
      </c>
      <c r="Z65" t="str">
        <v>Chennai, India</v>
      </c>
      <c r="AA65">
        <v>4.1506849315068495</v>
      </c>
      <c r="AB65" t="str">
        <v>Part time</v>
      </c>
    </row>
    <row r="66" spans="2:28" x14ac:dyDescent="0.25">
      <c r="B66" t="str">
        <v>SQ00144</v>
      </c>
      <c r="C66" t="str">
        <v>Collen</v>
      </c>
      <c r="D66" t="str">
        <v>Dunbleton</v>
      </c>
      <c r="E66" t="str">
        <v>Male</v>
      </c>
      <c r="F66" t="str">
        <v>Engineering</v>
      </c>
      <c r="G66" s="32">
        <v>118976.16</v>
      </c>
      <c r="H66" t="str">
        <v>Above 100k</v>
      </c>
      <c r="I66" s="34">
        <v>44120</v>
      </c>
      <c r="J66">
        <v>1</v>
      </c>
      <c r="K66" t="str">
        <v>Permanent</v>
      </c>
      <c r="L66" t="str">
        <v>Wellington, New Zealand</v>
      </c>
      <c r="M66" s="35">
        <v>3.6821917808219178</v>
      </c>
      <c r="N66" t="str">
        <v>Full time</v>
      </c>
      <c r="P66" t="str">
        <v>VT04681</v>
      </c>
      <c r="Q66" t="str">
        <v>Nickolai</v>
      </c>
      <c r="R66" t="str">
        <v>Artin</v>
      </c>
      <c r="S66" t="str">
        <v>Female</v>
      </c>
      <c r="T66" t="str">
        <v>Product Management</v>
      </c>
      <c r="U66">
        <v>110906.35</v>
      </c>
      <c r="V66" t="str">
        <v>Above 100k</v>
      </c>
      <c r="W66">
        <v>43434</v>
      </c>
      <c r="X66">
        <v>1</v>
      </c>
      <c r="Y66" t="str">
        <v>Temporary</v>
      </c>
      <c r="Z66" t="str">
        <v>Wellington, New Zealand</v>
      </c>
      <c r="AA66">
        <v>5.5616438356164384</v>
      </c>
      <c r="AB66" t="str">
        <v>Full time</v>
      </c>
    </row>
    <row r="67" spans="2:28" x14ac:dyDescent="0.25">
      <c r="B67" t="str">
        <v>SQ00498</v>
      </c>
      <c r="C67" t="str">
        <v>Amery</v>
      </c>
      <c r="D67" t="str">
        <v>Ofer</v>
      </c>
      <c r="E67" t="str">
        <v>Female</v>
      </c>
      <c r="F67" t="str">
        <v>Legal</v>
      </c>
      <c r="G67" s="32">
        <v>111049.84</v>
      </c>
      <c r="H67" t="str">
        <v>Above 100k</v>
      </c>
      <c r="I67" s="34">
        <v>44393</v>
      </c>
      <c r="J67">
        <v>1</v>
      </c>
      <c r="K67" t="str">
        <v>Permanent</v>
      </c>
      <c r="L67" t="str">
        <v>Wellington, New Zealand</v>
      </c>
      <c r="M67" s="35">
        <v>2.9342465753424656</v>
      </c>
      <c r="N67" t="str">
        <v>Full time</v>
      </c>
    </row>
    <row r="68" spans="2:28" x14ac:dyDescent="0.25">
      <c r="B68" t="str">
        <v>SQ01620</v>
      </c>
      <c r="C68" t="str">
        <v>Westbrook</v>
      </c>
      <c r="D68" t="str">
        <v>Brandino</v>
      </c>
      <c r="E68" t="str">
        <v>Male</v>
      </c>
      <c r="F68" t="str">
        <v>Legal</v>
      </c>
      <c r="G68" s="32">
        <v>113616.23</v>
      </c>
      <c r="H68" t="str">
        <v>Above 100k</v>
      </c>
      <c r="I68" s="34">
        <v>43255</v>
      </c>
      <c r="J68">
        <v>1</v>
      </c>
      <c r="K68" t="str">
        <v>Permanent</v>
      </c>
      <c r="L68" t="str">
        <v>Remote</v>
      </c>
      <c r="M68" s="35">
        <v>6.0520547945205481</v>
      </c>
      <c r="N68" t="str">
        <v>Full time</v>
      </c>
    </row>
    <row r="69" spans="2:28" x14ac:dyDescent="0.25">
      <c r="B69" t="str">
        <v>SQ02174</v>
      </c>
      <c r="C69" t="str">
        <v>Sidoney</v>
      </c>
      <c r="D69" t="str">
        <v>Yitzhok</v>
      </c>
      <c r="E69" t="str">
        <v>Female</v>
      </c>
      <c r="F69" t="str">
        <v>Engineering</v>
      </c>
      <c r="G69" s="32">
        <v>118442.54</v>
      </c>
      <c r="H69" t="str">
        <v>Above 100k</v>
      </c>
      <c r="I69" s="34">
        <v>44193</v>
      </c>
      <c r="J69">
        <v>1</v>
      </c>
      <c r="K69" t="str">
        <v>Permanent</v>
      </c>
      <c r="L69" t="str">
        <v>Auckland, New Zealand</v>
      </c>
      <c r="M69" s="35">
        <v>3.4821917808219176</v>
      </c>
      <c r="N69" t="str">
        <v>Full time</v>
      </c>
    </row>
    <row r="70" spans="2:28" x14ac:dyDescent="0.25">
      <c r="B70" t="str">
        <v>SQ02624</v>
      </c>
      <c r="C70" t="str">
        <v>Gwenneth</v>
      </c>
      <c r="D70" t="str">
        <v>Fealey</v>
      </c>
      <c r="E70" t="str">
        <v>Female</v>
      </c>
      <c r="F70" t="str">
        <v>Engineering</v>
      </c>
      <c r="G70" s="32">
        <v>114772.32</v>
      </c>
      <c r="H70" t="str">
        <v>Above 100k</v>
      </c>
      <c r="I70" s="34">
        <v>44251</v>
      </c>
      <c r="J70">
        <v>1</v>
      </c>
      <c r="K70" t="str">
        <v>Permanent</v>
      </c>
      <c r="L70" t="str">
        <v>Columbus, USA</v>
      </c>
      <c r="M70" s="35">
        <v>3.3232876712328765</v>
      </c>
      <c r="N70" t="str">
        <v>Full time</v>
      </c>
    </row>
    <row r="71" spans="2:28" x14ac:dyDescent="0.25">
      <c r="B71" t="str">
        <v>SQ04603</v>
      </c>
      <c r="C71" t="str">
        <v>Natalee</v>
      </c>
      <c r="D71" t="str">
        <v>Craiker</v>
      </c>
      <c r="E71" t="str">
        <v>Male</v>
      </c>
      <c r="F71" t="str">
        <v>Product Management</v>
      </c>
      <c r="G71" s="32">
        <v>111229.47</v>
      </c>
      <c r="H71" t="str">
        <v>Above 100k</v>
      </c>
      <c r="I71" s="34">
        <v>43402</v>
      </c>
      <c r="J71">
        <v>1</v>
      </c>
      <c r="K71" t="str">
        <v>Permanent</v>
      </c>
      <c r="L71" t="str">
        <v>Remote</v>
      </c>
      <c r="M71" s="35">
        <v>5.6493150684931503</v>
      </c>
      <c r="N71" t="str">
        <v>Full time</v>
      </c>
    </row>
    <row r="72" spans="2:28" x14ac:dyDescent="0.25">
      <c r="B72" t="str">
        <v>SQ04612</v>
      </c>
      <c r="C72" t="str">
        <v>Mick</v>
      </c>
      <c r="D72" t="str">
        <v>Spraberry</v>
      </c>
      <c r="E72" t="str">
        <v>Female</v>
      </c>
      <c r="F72" t="str">
        <v>Services</v>
      </c>
      <c r="G72" s="32">
        <v>120000</v>
      </c>
      <c r="H72" t="str">
        <v>Above 100k</v>
      </c>
      <c r="I72" s="34">
        <v>43902</v>
      </c>
      <c r="J72">
        <v>0.9</v>
      </c>
      <c r="K72" t="str">
        <v>Permanent</v>
      </c>
      <c r="L72" t="str">
        <v>Remote</v>
      </c>
      <c r="M72" s="35">
        <v>4.279452054794521</v>
      </c>
      <c r="N72" t="str">
        <v>Part time</v>
      </c>
    </row>
    <row r="73" spans="2:28" x14ac:dyDescent="0.25">
      <c r="B73" t="str">
        <v>TN01281</v>
      </c>
      <c r="C73" t="str">
        <v>Cletus</v>
      </c>
      <c r="D73" t="str">
        <v>McGarahan</v>
      </c>
      <c r="E73" t="str">
        <v>Female</v>
      </c>
      <c r="F73" t="str">
        <v>Engineering</v>
      </c>
      <c r="G73" s="32">
        <v>114425.19</v>
      </c>
      <c r="H73" t="str">
        <v>Above 100k</v>
      </c>
      <c r="I73" s="34">
        <v>43857</v>
      </c>
      <c r="J73">
        <v>1</v>
      </c>
      <c r="K73" t="str">
        <v>Permanent</v>
      </c>
      <c r="L73" t="str">
        <v>Wellington, New Zealand</v>
      </c>
      <c r="M73" s="35">
        <v>4.4027397260273968</v>
      </c>
      <c r="N73" t="str">
        <v>Full time</v>
      </c>
    </row>
    <row r="74" spans="2:28" x14ac:dyDescent="0.25">
      <c r="B74" t="str">
        <v>VT01893</v>
      </c>
      <c r="C74" t="str">
        <v>Lindy</v>
      </c>
      <c r="D74" t="str">
        <v>Guillet</v>
      </c>
      <c r="E74" t="str">
        <v>Male</v>
      </c>
      <c r="F74" t="str">
        <v>Training</v>
      </c>
      <c r="G74" s="32">
        <v>112778.28</v>
      </c>
      <c r="H74" t="str">
        <v>Above 100k</v>
      </c>
      <c r="I74" s="34">
        <v>43250</v>
      </c>
      <c r="J74">
        <v>1</v>
      </c>
      <c r="K74" t="str">
        <v>Fixed Term</v>
      </c>
      <c r="L74" t="str">
        <v>Remote</v>
      </c>
      <c r="M74" s="35">
        <v>6.065753424657534</v>
      </c>
      <c r="N74" t="str">
        <v>Full time</v>
      </c>
    </row>
    <row r="75" spans="2:28" x14ac:dyDescent="0.25">
      <c r="B75" t="str">
        <v>VT01893</v>
      </c>
      <c r="C75" t="str">
        <v>Lindy</v>
      </c>
      <c r="D75" t="str">
        <v>Guillet</v>
      </c>
      <c r="E75" t="str">
        <v>Male</v>
      </c>
      <c r="F75" t="str">
        <v>Training</v>
      </c>
      <c r="G75" s="32">
        <v>112778.28</v>
      </c>
      <c r="H75" t="str">
        <v>Above 100k</v>
      </c>
      <c r="I75" s="34">
        <v>43250</v>
      </c>
      <c r="J75">
        <v>1</v>
      </c>
      <c r="K75" t="str">
        <v>Fixed Term</v>
      </c>
      <c r="L75" t="str">
        <v>Remote</v>
      </c>
      <c r="M75" s="35">
        <v>6.065753424657534</v>
      </c>
      <c r="N75" t="str">
        <v>Full time</v>
      </c>
    </row>
    <row r="76" spans="2:28" x14ac:dyDescent="0.25">
      <c r="B76" t="str">
        <v>VT02491</v>
      </c>
      <c r="C76" t="str">
        <v>Alexis</v>
      </c>
      <c r="D76" t="str">
        <v>Gotfrey</v>
      </c>
      <c r="E76" t="str">
        <v>Male</v>
      </c>
      <c r="F76" t="str">
        <v>Engineering</v>
      </c>
      <c r="G76" s="32">
        <v>114465.93</v>
      </c>
      <c r="H76" t="str">
        <v>Above 100k</v>
      </c>
      <c r="I76" s="34">
        <v>43291</v>
      </c>
      <c r="J76">
        <v>1</v>
      </c>
      <c r="K76" t="str">
        <v>Temporary</v>
      </c>
      <c r="L76" t="str">
        <v>Wellington, New Zealand</v>
      </c>
      <c r="M76" s="35">
        <v>5.9534246575342467</v>
      </c>
      <c r="N76" t="str">
        <v>Full time</v>
      </c>
    </row>
    <row r="77" spans="2:28" x14ac:dyDescent="0.25">
      <c r="B77" t="str">
        <v>VT02801</v>
      </c>
      <c r="C77" t="str">
        <v>Shellysheldon</v>
      </c>
      <c r="D77" t="str">
        <v>Mahady</v>
      </c>
      <c r="E77" t="str">
        <v>Male</v>
      </c>
      <c r="F77" t="str">
        <v>Training</v>
      </c>
      <c r="G77" s="32">
        <v>114691.03</v>
      </c>
      <c r="H77" t="str">
        <v>Above 100k</v>
      </c>
      <c r="I77" s="34">
        <v>44039</v>
      </c>
      <c r="J77">
        <v>1</v>
      </c>
      <c r="K77" t="str">
        <v>Temporary</v>
      </c>
      <c r="L77" t="str">
        <v>Wellington, New Zealand</v>
      </c>
      <c r="M77" s="35">
        <v>3.904109589041096</v>
      </c>
      <c r="N77" t="str">
        <v>Full time</v>
      </c>
    </row>
    <row r="78" spans="2:28" x14ac:dyDescent="0.25">
      <c r="B78" t="str">
        <v>VT03421</v>
      </c>
      <c r="C78" t="str">
        <v>Alic</v>
      </c>
      <c r="D78" t="str">
        <v>Bagg</v>
      </c>
      <c r="E78" t="str">
        <v>Male</v>
      </c>
      <c r="F78" t="str">
        <v>Legal</v>
      </c>
      <c r="G78" s="32">
        <v>113747.56</v>
      </c>
      <c r="H78" t="str">
        <v>Above 100k</v>
      </c>
      <c r="I78" s="34">
        <v>44270</v>
      </c>
      <c r="J78">
        <v>0.7</v>
      </c>
      <c r="K78" t="str">
        <v>Temporary</v>
      </c>
      <c r="L78" t="str">
        <v>Columbus, USA</v>
      </c>
      <c r="M78" s="35">
        <v>3.2712328767123289</v>
      </c>
      <c r="N78" t="str">
        <v>Part time</v>
      </c>
    </row>
    <row r="79" spans="2:28" x14ac:dyDescent="0.25">
      <c r="B79" t="str">
        <v>VT03421</v>
      </c>
      <c r="C79" t="str">
        <v>Alic</v>
      </c>
      <c r="D79" t="str">
        <v>Bagg</v>
      </c>
      <c r="E79" t="str">
        <v>Male</v>
      </c>
      <c r="F79" t="str">
        <v>Legal</v>
      </c>
      <c r="G79" s="32">
        <v>113747.56</v>
      </c>
      <c r="H79" t="str">
        <v>Above 100k</v>
      </c>
      <c r="I79" s="34">
        <v>44270</v>
      </c>
      <c r="J79">
        <v>0.7</v>
      </c>
      <c r="K79" t="str">
        <v>Temporary</v>
      </c>
      <c r="L79" t="str">
        <v>Columbus, USA</v>
      </c>
      <c r="M79" s="35">
        <v>3.2712328767123289</v>
      </c>
      <c r="N79" t="str">
        <v>Part time</v>
      </c>
    </row>
    <row r="80" spans="2:28" x14ac:dyDescent="0.25">
      <c r="B80" t="str">
        <v>VT04028</v>
      </c>
      <c r="C80" t="str">
        <v>Michale</v>
      </c>
      <c r="D80" t="str">
        <v>Rolf</v>
      </c>
      <c r="E80" t="str">
        <v>Male</v>
      </c>
      <c r="F80" t="str">
        <v>Services</v>
      </c>
      <c r="G80" s="32">
        <v>111815.49</v>
      </c>
      <c r="H80" t="str">
        <v>Above 100k</v>
      </c>
      <c r="I80" s="34">
        <v>43895</v>
      </c>
      <c r="J80">
        <v>0.7</v>
      </c>
      <c r="K80" t="str">
        <v>Temporary</v>
      </c>
      <c r="L80" t="str">
        <v>Remote</v>
      </c>
      <c r="M80" s="35">
        <v>4.2986301369863016</v>
      </c>
      <c r="N80" t="str">
        <v>Part time</v>
      </c>
    </row>
    <row r="81" spans="2:14" x14ac:dyDescent="0.25">
      <c r="B81" t="str">
        <v>VT04028</v>
      </c>
      <c r="C81" t="str">
        <v>Michale</v>
      </c>
      <c r="D81" t="str">
        <v>Rolf</v>
      </c>
      <c r="E81" t="str">
        <v>Male</v>
      </c>
      <c r="F81" t="str">
        <v>Services</v>
      </c>
      <c r="G81" s="32">
        <v>111815.49</v>
      </c>
      <c r="H81" t="str">
        <v>Above 100k</v>
      </c>
      <c r="I81" s="34">
        <v>43895</v>
      </c>
      <c r="J81">
        <v>0.7</v>
      </c>
      <c r="K81" t="str">
        <v>Temporary</v>
      </c>
      <c r="L81" t="str">
        <v>Remote</v>
      </c>
      <c r="M81" s="35">
        <v>4.2986301369863016</v>
      </c>
      <c r="N81" t="str">
        <v>Part time</v>
      </c>
    </row>
    <row r="82" spans="2:14" x14ac:dyDescent="0.25">
      <c r="B82" t="str">
        <v>VT04093</v>
      </c>
      <c r="C82" t="str">
        <v>Prasanna</v>
      </c>
      <c r="D82" t="str">
        <v>Lakshmi</v>
      </c>
      <c r="E82" t="str">
        <v>Female</v>
      </c>
      <c r="F82" t="str">
        <v>Training</v>
      </c>
      <c r="G82" s="32">
        <v>116767.63</v>
      </c>
      <c r="H82" t="str">
        <v>Above 100k</v>
      </c>
      <c r="I82" s="34">
        <v>43949</v>
      </c>
      <c r="J82">
        <v>0.4</v>
      </c>
      <c r="K82" t="str">
        <v>Temporary</v>
      </c>
      <c r="L82" t="str">
        <v>Chennai, India</v>
      </c>
      <c r="M82" s="35">
        <v>4.1506849315068495</v>
      </c>
      <c r="N82" t="str">
        <v>Part time</v>
      </c>
    </row>
    <row r="83" spans="2:14" x14ac:dyDescent="0.25">
      <c r="B83" t="str">
        <v>VT04093</v>
      </c>
      <c r="C83" t="str">
        <v>Baruna</v>
      </c>
      <c r="D83" t="str">
        <v>Ogale</v>
      </c>
      <c r="E83" t="str">
        <v>Female</v>
      </c>
      <c r="F83" t="str">
        <v>Training</v>
      </c>
      <c r="G83" s="32">
        <v>116767.63</v>
      </c>
      <c r="H83" t="str">
        <v>Above 100k</v>
      </c>
      <c r="I83" s="34">
        <v>43949</v>
      </c>
      <c r="J83">
        <v>0.4</v>
      </c>
      <c r="K83" t="str">
        <v>Temporary</v>
      </c>
      <c r="L83" t="str">
        <v>Chennai, India</v>
      </c>
      <c r="M83" s="35">
        <v>4.1506849315068495</v>
      </c>
      <c r="N83" t="str">
        <v>Part time</v>
      </c>
    </row>
    <row r="84" spans="2:14" x14ac:dyDescent="0.25">
      <c r="B84" t="str">
        <v>VT04681</v>
      </c>
      <c r="C84" t="str">
        <v>Nickolai</v>
      </c>
      <c r="D84" t="str">
        <v>Artin</v>
      </c>
      <c r="E84" t="str">
        <v>Female</v>
      </c>
      <c r="F84" t="str">
        <v>Product Management</v>
      </c>
      <c r="G84" s="32">
        <v>110906.35</v>
      </c>
      <c r="H84" t="str">
        <v>Above 100k</v>
      </c>
      <c r="I84" s="34">
        <v>43434</v>
      </c>
      <c r="J84">
        <v>1</v>
      </c>
      <c r="K84" t="str">
        <v>Temporary</v>
      </c>
      <c r="L84" t="str">
        <v>Wellington, New Zealand</v>
      </c>
      <c r="M84" s="35">
        <v>5.5616438356164384</v>
      </c>
      <c r="N84" t="str">
        <v>Full time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E7FBF-E585-41A1-B82F-BAC29399DE24}">
  <dimension ref="B3:H17"/>
  <sheetViews>
    <sheetView zoomScale="185" workbookViewId="0">
      <selection activeCell="C9" sqref="C9"/>
    </sheetView>
  </sheetViews>
  <sheetFormatPr defaultRowHeight="15" x14ac:dyDescent="0.25"/>
  <cols>
    <col min="2" max="2" width="20" customWidth="1"/>
    <col min="3" max="3" width="14.140625" customWidth="1"/>
    <col min="4" max="5" width="12.85546875" bestFit="1" customWidth="1"/>
    <col min="8" max="8" width="11" customWidth="1"/>
  </cols>
  <sheetData>
    <row r="3" spans="2:8" x14ac:dyDescent="0.25">
      <c r="B3" s="26" t="s">
        <v>778</v>
      </c>
    </row>
    <row r="6" spans="2:8" x14ac:dyDescent="0.25">
      <c r="C6" s="37" t="s">
        <v>779</v>
      </c>
      <c r="D6" s="37" t="s">
        <v>780</v>
      </c>
      <c r="E6" s="37" t="s">
        <v>15</v>
      </c>
      <c r="H6">
        <v>1</v>
      </c>
    </row>
    <row r="7" spans="2:8" x14ac:dyDescent="0.25">
      <c r="B7" s="26" t="s">
        <v>781</v>
      </c>
      <c r="C7" s="38">
        <f>MAX(staff[Salary])</f>
        <v>120000</v>
      </c>
      <c r="D7" s="38">
        <f>_xlfn.MAXIFS(staff[Salary],staff[Gender],"Female")</f>
        <v>120000</v>
      </c>
      <c r="E7" s="38">
        <f>_xlfn.MAXIFS(staff[Salary],staff[Gender],E$6)</f>
        <v>120000</v>
      </c>
      <c r="H7">
        <v>2</v>
      </c>
    </row>
    <row r="8" spans="2:8" x14ac:dyDescent="0.25">
      <c r="B8" s="26" t="s">
        <v>782</v>
      </c>
      <c r="C8" s="38">
        <f>MIN(staff[Salary])</f>
        <v>28160.79</v>
      </c>
      <c r="D8" s="38">
        <f>_xlfn.MINIFS(staff[Salary],staff[Gender],"Female")</f>
        <v>28305.08</v>
      </c>
      <c r="E8" s="38">
        <f>_xlfn.MINIFS(staff[Salary],staff[Gender],E$6)</f>
        <v>28160.79</v>
      </c>
      <c r="H8">
        <v>3</v>
      </c>
    </row>
    <row r="9" spans="2:8" x14ac:dyDescent="0.25">
      <c r="B9" s="26" t="s">
        <v>783</v>
      </c>
      <c r="C9" s="38" cm="1">
        <f t="array" ref="C9:C13">LARGE(staff[Salary],H6:H10)</f>
        <v>120000</v>
      </c>
      <c r="D9" s="38" cm="1">
        <f t="array" ref="D9">LARGE(_xlfn._xlws.FILTER(staff[Salary],staff[Gender]="Female"),H6)</f>
        <v>120000</v>
      </c>
      <c r="E9" s="38" cm="1">
        <f t="array" ref="E9">LARGE(_xlfn._xlws.FILTER(staff[Salary],staff[Gender]="Male"),H6)</f>
        <v>120000</v>
      </c>
      <c r="H9">
        <v>4</v>
      </c>
    </row>
    <row r="10" spans="2:8" x14ac:dyDescent="0.25">
      <c r="C10" s="38">
        <v>120000</v>
      </c>
      <c r="D10" s="38" cm="1">
        <f t="array" ref="D10">LARGE(_xlfn._xlws.FILTER(staff[Salary],staff[Gender]="Female"),H7)</f>
        <v>118442.54</v>
      </c>
      <c r="E10" s="38" cm="1">
        <f t="array" ref="E10">LARGE(_xlfn._xlws.FILTER(staff[Salary],staff[Gender]="Male"),H7)</f>
        <v>119022.49</v>
      </c>
      <c r="H10">
        <v>5</v>
      </c>
    </row>
    <row r="11" spans="2:8" x14ac:dyDescent="0.25">
      <c r="C11" s="38">
        <v>119022.49</v>
      </c>
      <c r="D11" s="38" cm="1">
        <f t="array" ref="D11">LARGE(_xlfn._xlws.FILTER(staff[Salary],staff[Gender]="Female"),H8)</f>
        <v>116767.63</v>
      </c>
      <c r="E11" s="38" cm="1">
        <f t="array" ref="E11">LARGE(_xlfn._xlws.FILTER(staff[Salary],staff[Gender]="Male"),H8)</f>
        <v>118976.16</v>
      </c>
    </row>
    <row r="12" spans="2:8" x14ac:dyDescent="0.25">
      <c r="C12" s="38">
        <v>118976.16</v>
      </c>
      <c r="D12" s="38" cm="1">
        <f t="array" ref="D12">LARGE(_xlfn._xlws.FILTER(staff[Salary],staff[Gender]="Female"),H9)</f>
        <v>116767.63</v>
      </c>
      <c r="E12" s="38" cm="1">
        <f t="array" ref="E12">LARGE(_xlfn._xlws.FILTER(staff[Salary],staff[Gender]="Male"),H9)</f>
        <v>115191.38</v>
      </c>
    </row>
    <row r="13" spans="2:8" x14ac:dyDescent="0.25">
      <c r="C13" s="38">
        <v>118442.54</v>
      </c>
      <c r="D13" s="38" cm="1">
        <f t="array" ref="D13">LARGE(_xlfn._xlws.FILTER(staff[Salary],staff[Gender]="Female"),H10)</f>
        <v>114772.32</v>
      </c>
      <c r="E13" s="38" cm="1">
        <f t="array" ref="E13">LARGE(_xlfn._xlws.FILTER(staff[Salary],staff[Gender]="Male"),H10)</f>
        <v>114691.03</v>
      </c>
    </row>
    <row r="16" spans="2:8" x14ac:dyDescent="0.25">
      <c r="B16" t="s">
        <v>784</v>
      </c>
      <c r="C16" t="e" cm="1">
        <f t="array" aca="1" ref="C16" ca="1">take(_xlfn._xlws.SORT(staff[Salary],,-1),5)</f>
        <v>#NAME?</v>
      </c>
    </row>
    <row r="17" spans="2:2" x14ac:dyDescent="0.25">
      <c r="B17" t="s">
        <v>785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6D5D-C8A0-40D3-B3FE-241DF4C6B0C0}">
  <dimension ref="B2:G23"/>
  <sheetViews>
    <sheetView topLeftCell="A3" workbookViewId="0">
      <selection activeCell="C29" sqref="C29"/>
    </sheetView>
  </sheetViews>
  <sheetFormatPr defaultRowHeight="15" x14ac:dyDescent="0.25"/>
  <sheetData>
    <row r="2" spans="2:7" x14ac:dyDescent="0.25">
      <c r="B2" s="26" t="s">
        <v>788</v>
      </c>
    </row>
    <row r="6" spans="2:7" x14ac:dyDescent="0.25">
      <c r="B6" s="26" t="s">
        <v>789</v>
      </c>
      <c r="D6" t="s">
        <v>790</v>
      </c>
    </row>
    <row r="7" spans="2:7" x14ac:dyDescent="0.25">
      <c r="E7" s="26" t="s">
        <v>791</v>
      </c>
      <c r="F7">
        <f>COUNTA(_xlfn.ANCHORARRAY(B8))</f>
        <v>13</v>
      </c>
      <c r="G7" t="s">
        <v>792</v>
      </c>
    </row>
    <row r="8" spans="2:7" x14ac:dyDescent="0.25">
      <c r="B8" t="str" cm="1">
        <f t="array" ref="B8:B20">_xlfn.UNIQUE(staff[Department])</f>
        <v>Training</v>
      </c>
      <c r="G8" t="s">
        <v>793</v>
      </c>
    </row>
    <row r="9" spans="2:7" x14ac:dyDescent="0.25">
      <c r="B9" t="str">
        <v>Business Growth</v>
      </c>
    </row>
    <row r="10" spans="2:7" x14ac:dyDescent="0.25">
      <c r="B10" t="str">
        <v>Business Development</v>
      </c>
    </row>
    <row r="11" spans="2:7" x14ac:dyDescent="0.25">
      <c r="B11" t="str">
        <v>Engineering</v>
      </c>
    </row>
    <row r="12" spans="2:7" x14ac:dyDescent="0.25">
      <c r="B12" t="str">
        <v>Marketing</v>
      </c>
    </row>
    <row r="13" spans="2:7" x14ac:dyDescent="0.25">
      <c r="B13" t="str">
        <v>Legal</v>
      </c>
    </row>
    <row r="14" spans="2:7" x14ac:dyDescent="0.25">
      <c r="B14" t="str">
        <v>Accounting</v>
      </c>
    </row>
    <row r="15" spans="2:7" x14ac:dyDescent="0.25">
      <c r="B15" t="str">
        <v>Human Resources</v>
      </c>
    </row>
    <row r="16" spans="2:7" x14ac:dyDescent="0.25">
      <c r="B16" t="str">
        <v>Research and Development</v>
      </c>
    </row>
    <row r="17" spans="2:2" x14ac:dyDescent="0.25">
      <c r="B17" t="str">
        <v>Services</v>
      </c>
    </row>
    <row r="18" spans="2:2" x14ac:dyDescent="0.25">
      <c r="B18" t="str">
        <v>Product Management</v>
      </c>
    </row>
    <row r="19" spans="2:2" x14ac:dyDescent="0.25">
      <c r="B19" t="str">
        <v>Support</v>
      </c>
    </row>
    <row r="20" spans="2:2" x14ac:dyDescent="0.25">
      <c r="B20" t="str">
        <v>Sales</v>
      </c>
    </row>
    <row r="22" spans="2:2" x14ac:dyDescent="0.25">
      <c r="B22" s="26" t="s">
        <v>795</v>
      </c>
    </row>
    <row r="23" spans="2:2" x14ac:dyDescent="0.25">
      <c r="B23" t="str">
        <f>_xlfn.TEXTJOIN(",",TRUE,_xlfn.UNIQUE(staff[Department]))</f>
        <v>Training,Business Growth,Business Development,Engineering,Marketing,Legal,Accounting,Human Resources,Research and Development,Services,Product Management,Support,Sales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E971-0861-4CDA-9D5C-7CABF612F9A6}">
  <dimension ref="A1:W60"/>
  <sheetViews>
    <sheetView zoomScale="101" workbookViewId="0">
      <selection activeCell="G61" sqref="G61"/>
    </sheetView>
  </sheetViews>
  <sheetFormatPr defaultRowHeight="15" x14ac:dyDescent="0.25"/>
  <cols>
    <col min="2" max="2" width="17.140625" customWidth="1"/>
    <col min="3" max="3" width="26.5703125" customWidth="1"/>
  </cols>
  <sheetData>
    <row r="1" spans="1:10" x14ac:dyDescent="0.25">
      <c r="B1" s="26" t="s">
        <v>796</v>
      </c>
    </row>
    <row r="3" spans="1:10" x14ac:dyDescent="0.25">
      <c r="C3" s="26" t="s">
        <v>807</v>
      </c>
      <c r="E3" s="26" t="s">
        <v>808</v>
      </c>
    </row>
    <row r="4" spans="1:10" x14ac:dyDescent="0.25">
      <c r="B4" s="26" t="s">
        <v>797</v>
      </c>
      <c r="C4" s="29" t="s">
        <v>59</v>
      </c>
    </row>
    <row r="6" spans="1:10" x14ac:dyDescent="0.25">
      <c r="A6">
        <v>2</v>
      </c>
      <c r="B6" s="26" t="s">
        <v>798</v>
      </c>
      <c r="C6" t="str" cm="1">
        <f t="array" ref="C6:C10">IFERROR(VLOOKUP(C4,staff[],A6:A10,FALSE),"Not Found")</f>
        <v>Billi</v>
      </c>
      <c r="E6" t="str">
        <f>_xlfn.XLOOKUP(C$4,staff[Emp ID],staff[First Name],"NOT FOUND",0)</f>
        <v>Billi</v>
      </c>
      <c r="J6" t="s">
        <v>803</v>
      </c>
    </row>
    <row r="7" spans="1:10" x14ac:dyDescent="0.25">
      <c r="A7">
        <v>3</v>
      </c>
      <c r="B7" s="26" t="s">
        <v>799</v>
      </c>
      <c r="C7" t="str">
        <v>Fellgate</v>
      </c>
      <c r="E7" t="str">
        <f>_xlfn.XLOOKUP(C$4,staff[Emp ID],staff[Last Name],"NOT FOUND",0)</f>
        <v>Fellgate</v>
      </c>
      <c r="J7" t="s">
        <v>809</v>
      </c>
    </row>
    <row r="8" spans="1:10" x14ac:dyDescent="0.25">
      <c r="A8">
        <v>5</v>
      </c>
      <c r="B8" s="26" t="s">
        <v>800</v>
      </c>
      <c r="C8" t="str">
        <v>Business Development</v>
      </c>
      <c r="E8" t="str">
        <f>_xlfn.XLOOKUP(C$4,staff[Emp ID],staff[Department],"NOT FOUND",0)</f>
        <v>Business Development</v>
      </c>
    </row>
    <row r="9" spans="1:10" x14ac:dyDescent="0.25">
      <c r="A9">
        <v>6</v>
      </c>
      <c r="B9" s="26" t="s">
        <v>801</v>
      </c>
      <c r="C9">
        <v>68980.52</v>
      </c>
      <c r="E9">
        <f>_xlfn.XLOOKUP(C$4,staff[Emp ID],staff[Salary],"NOT FOUND",0)</f>
        <v>68980.52</v>
      </c>
      <c r="J9" t="s">
        <v>804</v>
      </c>
    </row>
    <row r="10" spans="1:10" x14ac:dyDescent="0.25">
      <c r="A10">
        <v>4</v>
      </c>
      <c r="B10" s="26" t="s">
        <v>802</v>
      </c>
      <c r="C10" t="str">
        <v>Female</v>
      </c>
      <c r="E10" t="str">
        <f>_xlfn.XLOOKUP(C$4,staff[Emp ID],staff[Gender],"NOT FOUND",0)</f>
        <v>Female</v>
      </c>
    </row>
    <row r="19" spans="2:19" x14ac:dyDescent="0.25">
      <c r="B19" s="26" t="s">
        <v>805</v>
      </c>
    </row>
    <row r="21" spans="2:19" x14ac:dyDescent="0.25">
      <c r="B21" t="s">
        <v>799</v>
      </c>
      <c r="C21" s="29" t="s">
        <v>535</v>
      </c>
      <c r="D21" s="26" t="s">
        <v>808</v>
      </c>
    </row>
    <row r="23" spans="2:19" x14ac:dyDescent="0.25">
      <c r="B23" s="26" t="s">
        <v>798</v>
      </c>
      <c r="C23" t="str">
        <f>INDEX(staff[First Name],MATCH(C21,staff[Last Name],0))</f>
        <v>Iris</v>
      </c>
      <c r="D23" t="str">
        <f>_xlfn.XLOOKUP(C$21,staff[Last Name],staff[First Name],"Not Found",0)</f>
        <v>Iris</v>
      </c>
      <c r="G23" t="s">
        <v>810</v>
      </c>
    </row>
    <row r="24" spans="2:19" x14ac:dyDescent="0.25">
      <c r="B24" s="26" t="s">
        <v>797</v>
      </c>
      <c r="C24" t="str">
        <f>INDEX(staff[Emp ID],MATCH(C21,staff[Last Name],0))</f>
        <v>PR02016</v>
      </c>
      <c r="D24" t="str">
        <f>_xlfn.XLOOKUP(C$21,staff[Last Name],staff[Emp ID],"Not Found",0)</f>
        <v>PR02016</v>
      </c>
    </row>
    <row r="25" spans="2:19" x14ac:dyDescent="0.25">
      <c r="B25" s="26" t="s">
        <v>806</v>
      </c>
      <c r="C25" t="str">
        <f>INDEX(staff[Department],MATCH(C21,staff[Last Name],0))</f>
        <v>Engineering</v>
      </c>
      <c r="D25" t="str">
        <f>_xlfn.XLOOKUP(C$21,staff[Last Name],staff[Department],"Not Found",0)</f>
        <v>Engineering</v>
      </c>
      <c r="G25" s="26" t="s">
        <v>811</v>
      </c>
    </row>
    <row r="26" spans="2:19" x14ac:dyDescent="0.25">
      <c r="B26" s="26" t="s">
        <v>801</v>
      </c>
      <c r="C26">
        <f>INDEX(staff[Salary],MATCH(C21,staff[Last Name],0))</f>
        <v>58861.19</v>
      </c>
      <c r="D26">
        <f>_xlfn.XLOOKUP(C$21,staff[Last Name],staff[Salary],"Not Found",0)</f>
        <v>58861.19</v>
      </c>
    </row>
    <row r="27" spans="2:19" x14ac:dyDescent="0.25">
      <c r="G27" t="str" cm="1">
        <f t="array" ref="G27:S27">staff[#Headers]</f>
        <v>Emp ID</v>
      </c>
      <c r="H27" t="str">
        <v>First Name</v>
      </c>
      <c r="I27" t="str">
        <v>Last Name</v>
      </c>
      <c r="J27" t="str">
        <v>Gender</v>
      </c>
      <c r="K27" t="str">
        <v>Department</v>
      </c>
      <c r="L27" t="str">
        <v>Salary</v>
      </c>
      <c r="M27" t="str">
        <v>Salary Bucket</v>
      </c>
      <c r="N27" t="str">
        <v>Start Date</v>
      </c>
      <c r="O27" t="str">
        <v>FTE</v>
      </c>
      <c r="P27" t="str">
        <v>Employee type</v>
      </c>
      <c r="Q27" t="str">
        <v>Work location</v>
      </c>
      <c r="R27" t="str">
        <v>Tenure</v>
      </c>
      <c r="S27" t="str">
        <v>Work Type</v>
      </c>
    </row>
    <row r="28" spans="2:19" x14ac:dyDescent="0.25">
      <c r="G28" t="str" cm="1">
        <f t="array" ref="G28:S28">_xlfn.XLOOKUP(C21,staff[Last Name],staff[],"NOT FOUND",0)</f>
        <v>PR02016</v>
      </c>
      <c r="H28" t="str">
        <v>Iris</v>
      </c>
      <c r="I28" t="str">
        <v>Wagg</v>
      </c>
      <c r="J28" t="str">
        <v>Female</v>
      </c>
      <c r="K28" t="str">
        <v>Engineering</v>
      </c>
      <c r="L28">
        <v>58861.19</v>
      </c>
      <c r="M28" t="str">
        <v>50k to 100k</v>
      </c>
      <c r="N28">
        <v>43654</v>
      </c>
      <c r="O28">
        <v>1</v>
      </c>
      <c r="P28" t="str">
        <v>Permanent</v>
      </c>
      <c r="Q28" t="str">
        <v>Columbus, USA</v>
      </c>
      <c r="R28">
        <v>4.9589041095890414</v>
      </c>
      <c r="S28" t="str">
        <v>Full time</v>
      </c>
    </row>
    <row r="30" spans="2:19" x14ac:dyDescent="0.25">
      <c r="D30" t="s">
        <v>812</v>
      </c>
    </row>
    <row r="37" spans="5:23" x14ac:dyDescent="0.25">
      <c r="H37" t="s">
        <v>814</v>
      </c>
    </row>
    <row r="39" spans="5:23" x14ac:dyDescent="0.25">
      <c r="E39" t="str" cm="1">
        <f t="array" ref="E39:E51">TRANSPOSE(staff[#Headers])</f>
        <v>Emp ID</v>
      </c>
      <c r="F39" t="str" cm="1">
        <f t="array" ref="F39:F51">TRANSPOSE(_xlfn.XLOOKUP(C21,staff[Last Name],staff[],"NOT FOUND",0))</f>
        <v>PR02016</v>
      </c>
      <c r="H39" t="s">
        <v>813</v>
      </c>
    </row>
    <row r="40" spans="5:23" x14ac:dyDescent="0.25">
      <c r="E40" t="str">
        <v>First Name</v>
      </c>
      <c r="F40" t="str">
        <v>Iris</v>
      </c>
    </row>
    <row r="41" spans="5:23" x14ac:dyDescent="0.25">
      <c r="E41" t="str">
        <v>Last Name</v>
      </c>
      <c r="F41" t="str">
        <v>Wagg</v>
      </c>
    </row>
    <row r="42" spans="5:23" x14ac:dyDescent="0.25">
      <c r="E42" t="str">
        <v>Gender</v>
      </c>
      <c r="F42" t="str">
        <v>Female</v>
      </c>
    </row>
    <row r="43" spans="5:23" x14ac:dyDescent="0.25">
      <c r="E43" t="str">
        <v>Department</v>
      </c>
      <c r="F43" t="str">
        <v>Engineering</v>
      </c>
    </row>
    <row r="44" spans="5:23" x14ac:dyDescent="0.25">
      <c r="E44" t="str">
        <v>Salary</v>
      </c>
      <c r="F44">
        <v>58861.19</v>
      </c>
      <c r="K44" s="26" t="s">
        <v>815</v>
      </c>
    </row>
    <row r="45" spans="5:23" x14ac:dyDescent="0.25">
      <c r="E45" t="str">
        <v>Salary Bucket</v>
      </c>
      <c r="F45" t="str">
        <v>50k to 100k</v>
      </c>
    </row>
    <row r="46" spans="5:23" x14ac:dyDescent="0.25">
      <c r="E46" t="str">
        <v>Start Date</v>
      </c>
      <c r="F46">
        <v>43654</v>
      </c>
      <c r="K46" t="str" cm="1">
        <f t="array" ref="K46:W47">_xlfn._xlws.FILTER(staff[],staff[Salary]=120000,"NOT FOUND")</f>
        <v>PR00147</v>
      </c>
      <c r="L46" t="str">
        <v>Minerva</v>
      </c>
      <c r="M46" t="str">
        <v>Ricardot</v>
      </c>
      <c r="N46" t="str">
        <v>Male</v>
      </c>
      <c r="O46" t="str">
        <v>Engineering</v>
      </c>
      <c r="P46">
        <v>120000</v>
      </c>
      <c r="Q46" t="str">
        <v>Above 100k</v>
      </c>
      <c r="R46">
        <v>43416</v>
      </c>
      <c r="S46">
        <v>1</v>
      </c>
      <c r="T46" t="str">
        <v>Permanent</v>
      </c>
      <c r="U46" t="str">
        <v>Remote</v>
      </c>
      <c r="V46">
        <v>5.6109589041095891</v>
      </c>
      <c r="W46" t="str">
        <v>Full time</v>
      </c>
    </row>
    <row r="47" spans="5:23" x14ac:dyDescent="0.25">
      <c r="E47" t="str">
        <v>FTE</v>
      </c>
      <c r="F47">
        <v>1</v>
      </c>
      <c r="K47" t="str">
        <v>SQ04612</v>
      </c>
      <c r="L47" t="str">
        <v>Mick</v>
      </c>
      <c r="M47" t="str">
        <v>Spraberry</v>
      </c>
      <c r="N47" t="str">
        <v>Female</v>
      </c>
      <c r="O47" t="str">
        <v>Services</v>
      </c>
      <c r="P47">
        <v>120000</v>
      </c>
      <c r="Q47" t="str">
        <v>Above 100k</v>
      </c>
      <c r="R47">
        <v>43902</v>
      </c>
      <c r="S47">
        <v>0.9</v>
      </c>
      <c r="T47" t="str">
        <v>Permanent</v>
      </c>
      <c r="U47" t="str">
        <v>Remote</v>
      </c>
      <c r="V47">
        <v>4.279452054794521</v>
      </c>
      <c r="W47" t="str">
        <v>Part time</v>
      </c>
    </row>
    <row r="48" spans="5:23" x14ac:dyDescent="0.25">
      <c r="E48" t="str">
        <v>Employee type</v>
      </c>
      <c r="F48" t="str">
        <v>Permanent</v>
      </c>
    </row>
    <row r="49" spans="5:9" x14ac:dyDescent="0.25">
      <c r="E49" t="str">
        <v>Work location</v>
      </c>
      <c r="F49" t="str">
        <v>Columbus, USA</v>
      </c>
    </row>
    <row r="50" spans="5:9" x14ac:dyDescent="0.25">
      <c r="E50" t="str">
        <v>Tenure</v>
      </c>
      <c r="F50">
        <v>4.9589041095890414</v>
      </c>
    </row>
    <row r="51" spans="5:9" x14ac:dyDescent="0.25">
      <c r="E51" t="str">
        <v>Work Type</v>
      </c>
      <c r="F51" t="str">
        <v>Full time</v>
      </c>
    </row>
    <row r="53" spans="5:9" x14ac:dyDescent="0.25">
      <c r="I53" s="26" t="s">
        <v>816</v>
      </c>
    </row>
    <row r="55" spans="5:9" x14ac:dyDescent="0.25">
      <c r="I55" t="str" cm="1">
        <f t="array" ref="I55:I56">_xlfn._xlws.FILTER(staff[First Name]&amp;" "&amp;staff[Last Name],staff[Salary]=120000,"NOT FOUND")</f>
        <v>Minerva Ricardot</v>
      </c>
    </row>
    <row r="56" spans="5:9" x14ac:dyDescent="0.25">
      <c r="I56" t="str">
        <v>Mick Spraberry</v>
      </c>
    </row>
    <row r="58" spans="5:9" x14ac:dyDescent="0.25">
      <c r="I58" s="26" t="s">
        <v>817</v>
      </c>
    </row>
    <row r="60" spans="5:9" x14ac:dyDescent="0.25">
      <c r="I60" t="str" cm="1">
        <f t="array" ref="I60">_xlfn.TEXTJOIN(",",,_xlfn._xlws.FILTER(staff[First Name]&amp;" "&amp;staff[Last Name],staff[Salary]=120000,"NOT FOUND"))</f>
        <v>Minerva Ricardot,Mick Spraberry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6757-C74D-45A0-9DA0-970643F8BA17}">
  <dimension ref="B3:AD169"/>
  <sheetViews>
    <sheetView topLeftCell="F19" workbookViewId="0">
      <selection activeCell="R46" sqref="R46"/>
    </sheetView>
  </sheetViews>
  <sheetFormatPr defaultRowHeight="15" x14ac:dyDescent="0.25"/>
  <cols>
    <col min="24" max="24" width="22.85546875" customWidth="1"/>
    <col min="25" max="25" width="13.42578125" bestFit="1" customWidth="1"/>
  </cols>
  <sheetData>
    <row r="3" spans="2:28" x14ac:dyDescent="0.25">
      <c r="B3" s="26" t="s">
        <v>818</v>
      </c>
    </row>
    <row r="4" spans="2:28" x14ac:dyDescent="0.25">
      <c r="P4" s="26" t="s">
        <v>820</v>
      </c>
    </row>
    <row r="5" spans="2:28" x14ac:dyDescent="0.25">
      <c r="B5" t="str" cm="1">
        <f t="array" ref="B5:N12">_xlfn._xlws.FILTER(staff[],LEFT(staff[First Name],1)="P")</f>
        <v>PR01306</v>
      </c>
      <c r="C5" t="str">
        <v>Patti</v>
      </c>
      <c r="D5" t="str">
        <v>Dradey</v>
      </c>
      <c r="E5" t="str">
        <v>Male</v>
      </c>
      <c r="F5" t="str">
        <v>Services</v>
      </c>
      <c r="G5">
        <v>84742.86</v>
      </c>
      <c r="H5" t="str">
        <v>50k to 100k</v>
      </c>
      <c r="I5">
        <v>44098</v>
      </c>
      <c r="J5">
        <v>1</v>
      </c>
      <c r="K5" t="str">
        <v>Permanent</v>
      </c>
      <c r="L5" t="str">
        <v>Auckland, New Zealand</v>
      </c>
      <c r="M5">
        <v>3.7424657534246575</v>
      </c>
      <c r="N5" t="str">
        <v>Full time</v>
      </c>
      <c r="P5" t="str" cm="1">
        <f t="array" ref="P5:AB7">_xlfn._xlws.FILTER(staff[],RIGHT(staff[First Name],2)="ee")</f>
        <v>PR01055</v>
      </c>
      <c r="Q5" t="str">
        <v>Devasree</v>
      </c>
      <c r="R5" t="str">
        <v>Fullara</v>
      </c>
      <c r="S5" t="str">
        <v>Male</v>
      </c>
      <c r="T5" t="str">
        <v>Accounting</v>
      </c>
      <c r="U5">
        <v>35936.31</v>
      </c>
      <c r="V5" t="str">
        <v>Under 50k</v>
      </c>
      <c r="W5">
        <v>43241</v>
      </c>
      <c r="X5">
        <v>1</v>
      </c>
      <c r="Y5" t="str">
        <v>Permanent</v>
      </c>
      <c r="Z5" t="str">
        <v>Chennai, India</v>
      </c>
      <c r="AA5">
        <v>6.0904109589041093</v>
      </c>
      <c r="AB5" t="str">
        <v>Full time</v>
      </c>
    </row>
    <row r="6" spans="2:28" x14ac:dyDescent="0.25">
      <c r="B6" t="str">
        <v>PR02010</v>
      </c>
      <c r="C6" t="str">
        <v>Prerana</v>
      </c>
      <c r="D6" t="str">
        <v>Nishita</v>
      </c>
      <c r="E6" t="str">
        <v>Male</v>
      </c>
      <c r="F6" t="str">
        <v>Product Management</v>
      </c>
      <c r="G6">
        <v>115191.38</v>
      </c>
      <c r="H6" t="str">
        <v>Above 100k</v>
      </c>
      <c r="I6">
        <v>44004</v>
      </c>
      <c r="J6">
        <v>1</v>
      </c>
      <c r="K6" t="str">
        <v>Permanent</v>
      </c>
      <c r="L6" t="str">
        <v>Hyderabad, India</v>
      </c>
      <c r="M6">
        <v>4</v>
      </c>
      <c r="N6" t="str">
        <v>Full time</v>
      </c>
      <c r="P6" t="str">
        <v>PR01476</v>
      </c>
      <c r="Q6" t="str">
        <v>Jaishree</v>
      </c>
      <c r="R6" t="str">
        <v>Atasi</v>
      </c>
      <c r="S6" t="str">
        <v>Male</v>
      </c>
      <c r="T6" t="str">
        <v>Services</v>
      </c>
      <c r="U6">
        <v>77096.05</v>
      </c>
      <c r="V6" t="str">
        <v>50k to 100k</v>
      </c>
      <c r="W6">
        <v>43217</v>
      </c>
      <c r="X6">
        <v>1</v>
      </c>
      <c r="Y6" t="str">
        <v>Permanent</v>
      </c>
      <c r="Z6" t="str">
        <v>Chennai, India</v>
      </c>
      <c r="AA6">
        <v>6.1561643835616442</v>
      </c>
      <c r="AB6" t="str">
        <v>Full time</v>
      </c>
    </row>
    <row r="7" spans="2:28" x14ac:dyDescent="0.25">
      <c r="B7" t="str">
        <v>PR03804</v>
      </c>
      <c r="C7" t="str">
        <v>Pratigya</v>
      </c>
      <c r="D7" t="str">
        <v>Rema</v>
      </c>
      <c r="E7" t="str">
        <v>Male</v>
      </c>
      <c r="F7" t="str">
        <v>Legal</v>
      </c>
      <c r="G7">
        <v>66572.58</v>
      </c>
      <c r="H7" t="str">
        <v>50k to 100k</v>
      </c>
      <c r="I7">
        <v>44193</v>
      </c>
      <c r="J7">
        <v>1</v>
      </c>
      <c r="K7" t="str">
        <v>Permanent</v>
      </c>
      <c r="L7" t="str">
        <v>Chennai, India</v>
      </c>
      <c r="M7">
        <v>3.4821917808219176</v>
      </c>
      <c r="N7" t="str">
        <v>Full time</v>
      </c>
      <c r="P7" t="str">
        <v>SQ04603</v>
      </c>
      <c r="Q7" t="str">
        <v>Natalee</v>
      </c>
      <c r="R7" t="str">
        <v>Craiker</v>
      </c>
      <c r="S7" t="str">
        <v>Male</v>
      </c>
      <c r="T7" t="str">
        <v>Product Management</v>
      </c>
      <c r="U7">
        <v>111229.47</v>
      </c>
      <c r="V7" t="str">
        <v>Above 100k</v>
      </c>
      <c r="W7">
        <v>43402</v>
      </c>
      <c r="X7">
        <v>1</v>
      </c>
      <c r="Y7" t="str">
        <v>Permanent</v>
      </c>
      <c r="Z7" t="str">
        <v>Remote</v>
      </c>
      <c r="AA7">
        <v>5.6493150684931503</v>
      </c>
      <c r="AB7" t="str">
        <v>Full time</v>
      </c>
    </row>
    <row r="8" spans="2:28" x14ac:dyDescent="0.25">
      <c r="B8" t="str">
        <v>SQ02223</v>
      </c>
      <c r="C8" t="str">
        <v>Pippy</v>
      </c>
      <c r="D8" t="str">
        <v>Shepperd</v>
      </c>
      <c r="E8" t="str">
        <v>Female</v>
      </c>
      <c r="F8" t="str">
        <v>Accounting</v>
      </c>
      <c r="G8">
        <v>44845.33</v>
      </c>
      <c r="H8" t="str">
        <v>Under 50k</v>
      </c>
      <c r="I8">
        <v>43277</v>
      </c>
      <c r="J8">
        <v>1</v>
      </c>
      <c r="K8" t="str">
        <v>Permanent</v>
      </c>
      <c r="L8" t="str">
        <v>Seattle, USA</v>
      </c>
      <c r="M8">
        <v>5.9917808219178079</v>
      </c>
      <c r="N8" t="str">
        <v>Full time</v>
      </c>
    </row>
    <row r="9" spans="2:28" x14ac:dyDescent="0.25">
      <c r="B9" t="str">
        <v>SQ04598</v>
      </c>
      <c r="C9" t="str">
        <v>Pearla</v>
      </c>
      <c r="D9" t="str">
        <v>Beteriss</v>
      </c>
      <c r="E9" t="str">
        <v>Male</v>
      </c>
      <c r="F9" t="str">
        <v>Services</v>
      </c>
      <c r="G9">
        <v>69913.39</v>
      </c>
      <c r="H9" t="str">
        <v>50k to 100k</v>
      </c>
      <c r="I9">
        <v>43584</v>
      </c>
      <c r="J9">
        <v>1</v>
      </c>
      <c r="K9" t="str">
        <v>Permanent</v>
      </c>
      <c r="L9" t="str">
        <v>Remote</v>
      </c>
      <c r="M9">
        <v>5.1506849315068495</v>
      </c>
      <c r="N9" t="str">
        <v>Full time</v>
      </c>
    </row>
    <row r="10" spans="2:28" x14ac:dyDescent="0.25">
      <c r="B10" t="str">
        <v>TN02496</v>
      </c>
      <c r="C10" t="str">
        <v>Ponnan</v>
      </c>
      <c r="D10" t="str">
        <v>Delhi</v>
      </c>
      <c r="E10" t="str">
        <v>Need to check</v>
      </c>
      <c r="F10" t="str">
        <v>Human Resources</v>
      </c>
      <c r="G10">
        <v>67957.899999999994</v>
      </c>
      <c r="H10" t="str">
        <v>50k to 100k</v>
      </c>
      <c r="I10">
        <v>43430</v>
      </c>
      <c r="J10">
        <v>1</v>
      </c>
      <c r="K10" t="str">
        <v>Permanent</v>
      </c>
      <c r="L10" t="str">
        <v>Chennai, India</v>
      </c>
      <c r="M10">
        <v>5.5726027397260278</v>
      </c>
      <c r="N10" t="str">
        <v>Full time</v>
      </c>
    </row>
    <row r="11" spans="2:28" x14ac:dyDescent="0.25">
      <c r="B11" t="str">
        <v>TN02749</v>
      </c>
      <c r="C11" t="str">
        <v>Parasuramudu</v>
      </c>
      <c r="D11" t="str">
        <v>Jamakayala</v>
      </c>
      <c r="E11" t="str">
        <v>Female</v>
      </c>
      <c r="F11" t="str">
        <v>Training</v>
      </c>
      <c r="G11">
        <v>57002.02</v>
      </c>
      <c r="H11" t="str">
        <v>50k to 100k</v>
      </c>
      <c r="I11">
        <v>43192</v>
      </c>
      <c r="J11">
        <v>0.7</v>
      </c>
      <c r="K11" t="str">
        <v>Permanent</v>
      </c>
      <c r="L11" t="str">
        <v>Hyderabad, India</v>
      </c>
      <c r="M11">
        <v>6.2246575342465755</v>
      </c>
      <c r="N11" t="str">
        <v>Part time</v>
      </c>
    </row>
    <row r="12" spans="2:28" x14ac:dyDescent="0.25">
      <c r="B12" t="str">
        <v>VT04093</v>
      </c>
      <c r="C12" t="str">
        <v>Prasanna</v>
      </c>
      <c r="D12" t="str">
        <v>Lakshmi</v>
      </c>
      <c r="E12" t="str">
        <v>Female</v>
      </c>
      <c r="F12" t="str">
        <v>Training</v>
      </c>
      <c r="G12">
        <v>116767.63</v>
      </c>
      <c r="H12" t="str">
        <v>Above 100k</v>
      </c>
      <c r="I12">
        <v>43949</v>
      </c>
      <c r="J12">
        <v>0.4</v>
      </c>
      <c r="K12" t="str">
        <v>Temporary</v>
      </c>
      <c r="L12" t="str">
        <v>Chennai, India</v>
      </c>
      <c r="M12">
        <v>4.1506849315068495</v>
      </c>
      <c r="N12" t="str">
        <v>Part time</v>
      </c>
    </row>
    <row r="14" spans="2:28" x14ac:dyDescent="0.25">
      <c r="B14" s="26" t="s">
        <v>819</v>
      </c>
    </row>
    <row r="15" spans="2:28" x14ac:dyDescent="0.25">
      <c r="B15" t="str" cm="1">
        <f t="array" ref="B15:N54">_xlfn._xlws.FILTER(staff[],RIGHT(staff[First Name],1)="e")</f>
        <v>PR00007</v>
      </c>
      <c r="C15" t="str">
        <v>Torrance</v>
      </c>
      <c r="D15" t="str">
        <v>Collier</v>
      </c>
      <c r="E15" t="str">
        <v>Female</v>
      </c>
      <c r="F15" t="str">
        <v>Training</v>
      </c>
      <c r="G15">
        <v>96135.75</v>
      </c>
      <c r="H15" t="str">
        <v>50k to 100k</v>
      </c>
      <c r="I15">
        <v>44025</v>
      </c>
      <c r="J15">
        <v>0.3</v>
      </c>
      <c r="K15" t="str">
        <v>Permanent</v>
      </c>
      <c r="L15" t="str">
        <v>Wellington, New Zealand</v>
      </c>
      <c r="M15">
        <v>3.9424657534246577</v>
      </c>
      <c r="N15" t="str">
        <v>Part time</v>
      </c>
    </row>
    <row r="16" spans="2:28" x14ac:dyDescent="0.25">
      <c r="B16" t="str">
        <v>PR01055</v>
      </c>
      <c r="C16" t="str">
        <v>Devasree</v>
      </c>
      <c r="D16" t="str">
        <v>Fullara</v>
      </c>
      <c r="E16" t="str">
        <v>Male</v>
      </c>
      <c r="F16" t="str">
        <v>Accounting</v>
      </c>
      <c r="G16">
        <v>35936.31</v>
      </c>
      <c r="H16" t="str">
        <v>Under 50k</v>
      </c>
      <c r="I16">
        <v>43241</v>
      </c>
      <c r="J16">
        <v>1</v>
      </c>
      <c r="K16" t="str">
        <v>Permanent</v>
      </c>
      <c r="L16" t="str">
        <v>Chennai, India</v>
      </c>
      <c r="M16">
        <v>6.0904109589041093</v>
      </c>
      <c r="N16" t="str">
        <v>Full time</v>
      </c>
      <c r="R16" s="30" t="s">
        <v>821</v>
      </c>
      <c r="S16" s="29"/>
      <c r="T16" s="29"/>
      <c r="U16" s="29"/>
      <c r="V16" s="29"/>
      <c r="W16" s="29"/>
    </row>
    <row r="17" spans="2:30" x14ac:dyDescent="0.25">
      <c r="B17" t="str">
        <v>PR01159</v>
      </c>
      <c r="C17" t="str">
        <v>Mollie</v>
      </c>
      <c r="D17" t="str">
        <v>Hanway</v>
      </c>
      <c r="E17" t="str">
        <v>Male</v>
      </c>
      <c r="F17" t="str">
        <v>Engineering</v>
      </c>
      <c r="G17">
        <v>112645.99</v>
      </c>
      <c r="H17" t="str">
        <v>Above 100k</v>
      </c>
      <c r="I17">
        <v>43759</v>
      </c>
      <c r="J17">
        <v>0.6</v>
      </c>
      <c r="K17" t="str">
        <v>Permanent</v>
      </c>
      <c r="L17" t="str">
        <v>Seattle, USA</v>
      </c>
      <c r="M17">
        <v>4.6712328767123283</v>
      </c>
      <c r="N17" t="str">
        <v>Part time</v>
      </c>
      <c r="R17" t="str" cm="1">
        <f t="array" ref="R17:AD38">_xlfn._xlws.FILTER(staff[],MONTH(staff[Start Date])=3)</f>
        <v>PR00746</v>
      </c>
      <c r="S17" t="str">
        <v>Hogan</v>
      </c>
      <c r="T17" t="str">
        <v>Iles</v>
      </c>
      <c r="U17" t="str">
        <v>Female</v>
      </c>
      <c r="V17" t="str">
        <v>Accounting</v>
      </c>
      <c r="W17">
        <v>114177.23</v>
      </c>
      <c r="X17" t="str">
        <v>Above 100k</v>
      </c>
      <c r="Y17" s="39">
        <v>43908</v>
      </c>
      <c r="Z17">
        <v>1</v>
      </c>
      <c r="AA17" t="str">
        <v>Permanent</v>
      </c>
      <c r="AB17" t="str">
        <v>Wellington, New Zealand</v>
      </c>
      <c r="AC17">
        <v>4.2630136986301368</v>
      </c>
      <c r="AD17" t="str">
        <v>Full time</v>
      </c>
    </row>
    <row r="18" spans="2:30" x14ac:dyDescent="0.25">
      <c r="B18" t="str">
        <v>PR01269</v>
      </c>
      <c r="C18" t="str">
        <v>Eleonore</v>
      </c>
      <c r="D18" t="str">
        <v>Airdrie</v>
      </c>
      <c r="E18" t="str">
        <v>Female</v>
      </c>
      <c r="F18" t="str">
        <v>Engineering</v>
      </c>
      <c r="G18">
        <v>97105.19</v>
      </c>
      <c r="H18" t="str">
        <v>50k to 100k</v>
      </c>
      <c r="I18">
        <v>44425</v>
      </c>
      <c r="J18">
        <v>1</v>
      </c>
      <c r="K18" t="str">
        <v>Permanent</v>
      </c>
      <c r="L18" t="str">
        <v>Columbus, USA</v>
      </c>
      <c r="M18">
        <v>2.8465753424657536</v>
      </c>
      <c r="N18" t="str">
        <v>Full time</v>
      </c>
      <c r="R18" t="str">
        <v>PR00893</v>
      </c>
      <c r="S18" t="str">
        <v>Vasavi</v>
      </c>
      <c r="T18" t="str">
        <v>Veeravasarapu</v>
      </c>
      <c r="U18" t="str">
        <v>Male</v>
      </c>
      <c r="V18" t="str">
        <v>Human Resources</v>
      </c>
      <c r="W18">
        <v>50310.09</v>
      </c>
      <c r="X18" t="str">
        <v>50k to 100k</v>
      </c>
      <c r="Y18" s="39">
        <v>44285</v>
      </c>
      <c r="Z18">
        <v>0.4</v>
      </c>
      <c r="AA18" t="str">
        <v>Permanent</v>
      </c>
      <c r="AB18" t="str">
        <v>Hyderabad, India</v>
      </c>
      <c r="AC18">
        <v>3.2301369863013698</v>
      </c>
      <c r="AD18" t="str">
        <v>Part time</v>
      </c>
    </row>
    <row r="19" spans="2:30" x14ac:dyDescent="0.25">
      <c r="B19" t="str">
        <v>PR01476</v>
      </c>
      <c r="C19" t="str">
        <v>Jaishree</v>
      </c>
      <c r="D19" t="str">
        <v>Atasi</v>
      </c>
      <c r="E19" t="str">
        <v>Male</v>
      </c>
      <c r="F19" t="str">
        <v>Services</v>
      </c>
      <c r="G19">
        <v>77096.05</v>
      </c>
      <c r="H19" t="str">
        <v>50k to 100k</v>
      </c>
      <c r="I19">
        <v>43217</v>
      </c>
      <c r="J19">
        <v>1</v>
      </c>
      <c r="K19" t="str">
        <v>Permanent</v>
      </c>
      <c r="L19" t="str">
        <v>Chennai, India</v>
      </c>
      <c r="M19">
        <v>6.1561643835616442</v>
      </c>
      <c r="N19" t="str">
        <v>Full time</v>
      </c>
      <c r="R19" t="str">
        <v>SQ00022</v>
      </c>
      <c r="S19" t="str">
        <v>Carlin</v>
      </c>
      <c r="T19" t="str">
        <v>Demke</v>
      </c>
      <c r="U19" t="str">
        <v>Male</v>
      </c>
      <c r="V19" t="str">
        <v>Business Development</v>
      </c>
      <c r="W19">
        <v>110042.37</v>
      </c>
      <c r="X19" t="str">
        <v>Above 100k</v>
      </c>
      <c r="Y19" s="39">
        <v>43914</v>
      </c>
      <c r="Z19">
        <v>1</v>
      </c>
      <c r="AA19" t="str">
        <v>Permanent</v>
      </c>
      <c r="AB19" t="str">
        <v>Columbus, USA</v>
      </c>
      <c r="AC19">
        <v>4.2465753424657535</v>
      </c>
      <c r="AD19" t="str">
        <v>Full time</v>
      </c>
    </row>
    <row r="20" spans="2:30" x14ac:dyDescent="0.25">
      <c r="B20" t="str">
        <v>PR02113</v>
      </c>
      <c r="C20" t="str">
        <v>Beverie</v>
      </c>
      <c r="D20" t="str">
        <v>Moffet</v>
      </c>
      <c r="E20" t="str">
        <v>Female</v>
      </c>
      <c r="F20" t="str">
        <v>Support</v>
      </c>
      <c r="G20">
        <v>75974.990000000005</v>
      </c>
      <c r="H20" t="str">
        <v>50k to 100k</v>
      </c>
      <c r="I20">
        <v>44172</v>
      </c>
      <c r="J20">
        <v>1</v>
      </c>
      <c r="K20" t="str">
        <v>Permanent</v>
      </c>
      <c r="L20" t="str">
        <v>Remote</v>
      </c>
      <c r="M20">
        <v>3.5397260273972604</v>
      </c>
      <c r="N20" t="str">
        <v>Full time</v>
      </c>
      <c r="R20" t="str">
        <v>SQ00105</v>
      </c>
      <c r="S20" t="str">
        <v>Sarayu</v>
      </c>
      <c r="T20" t="str">
        <v>Ragunathan</v>
      </c>
      <c r="U20" t="str">
        <v>Female</v>
      </c>
      <c r="V20" t="str">
        <v>Training</v>
      </c>
      <c r="W20">
        <v>86010.54</v>
      </c>
      <c r="X20" t="str">
        <v>50k to 100k</v>
      </c>
      <c r="Y20" s="39">
        <v>43164</v>
      </c>
      <c r="Z20">
        <v>1</v>
      </c>
      <c r="AA20" t="str">
        <v>Permanent</v>
      </c>
      <c r="AB20" t="str">
        <v>Chennai, India</v>
      </c>
      <c r="AC20">
        <v>6.3013698630136989</v>
      </c>
      <c r="AD20" t="str">
        <v>Full time</v>
      </c>
    </row>
    <row r="21" spans="2:30" x14ac:dyDescent="0.25">
      <c r="B21" t="str">
        <v>PR02275</v>
      </c>
      <c r="C21" t="str">
        <v>Louise</v>
      </c>
      <c r="D21" t="str">
        <v>Lamming</v>
      </c>
      <c r="E21" t="str">
        <v>Female</v>
      </c>
      <c r="F21" t="str">
        <v>Sales</v>
      </c>
      <c r="G21">
        <v>41934.71</v>
      </c>
      <c r="H21" t="str">
        <v>Under 50k</v>
      </c>
      <c r="I21">
        <v>43780</v>
      </c>
      <c r="J21">
        <v>1</v>
      </c>
      <c r="K21" t="str">
        <v>Permanent</v>
      </c>
      <c r="L21" t="str">
        <v>Remote</v>
      </c>
      <c r="M21">
        <v>4.6136986301369864</v>
      </c>
      <c r="N21" t="str">
        <v>Full time</v>
      </c>
      <c r="R21" t="str">
        <v>SQ01519</v>
      </c>
      <c r="S21" t="str">
        <v>Caron</v>
      </c>
      <c r="T21" t="str">
        <v>Kolakovic</v>
      </c>
      <c r="U21" t="str">
        <v>Male</v>
      </c>
      <c r="V21" t="str">
        <v>Accounting</v>
      </c>
      <c r="W21">
        <v>49915.14</v>
      </c>
      <c r="X21" t="str">
        <v>Under 50k</v>
      </c>
      <c r="Y21" s="39">
        <v>43550</v>
      </c>
      <c r="Z21">
        <v>1</v>
      </c>
      <c r="AA21" t="str">
        <v>Permanent</v>
      </c>
      <c r="AB21" t="str">
        <v>Remote</v>
      </c>
      <c r="AC21">
        <v>5.2438356164383562</v>
      </c>
      <c r="AD21" t="str">
        <v>Full time</v>
      </c>
    </row>
    <row r="22" spans="2:30" x14ac:dyDescent="0.25">
      <c r="B22" t="str">
        <v>PR02321</v>
      </c>
      <c r="C22" t="str">
        <v>Evanne</v>
      </c>
      <c r="D22" t="str">
        <v>Sheryn</v>
      </c>
      <c r="E22" t="str">
        <v>Female</v>
      </c>
      <c r="F22" t="str">
        <v>Services</v>
      </c>
      <c r="G22">
        <v>81897.789999999994</v>
      </c>
      <c r="H22" t="str">
        <v>50k to 100k</v>
      </c>
      <c r="I22">
        <v>43146</v>
      </c>
      <c r="J22">
        <v>1</v>
      </c>
      <c r="K22" t="str">
        <v>Permanent</v>
      </c>
      <c r="L22" t="str">
        <v>Auckland, New Zealand</v>
      </c>
      <c r="M22">
        <v>6.3506849315068497</v>
      </c>
      <c r="N22" t="str">
        <v>Full time</v>
      </c>
      <c r="R22" t="str">
        <v>SQ03112</v>
      </c>
      <c r="S22" t="str">
        <v>Kantimoy</v>
      </c>
      <c r="T22" t="str">
        <v>Pritish</v>
      </c>
      <c r="U22" t="str">
        <v>Male</v>
      </c>
      <c r="V22" t="str">
        <v>Product Management</v>
      </c>
      <c r="W22">
        <v>77743.149999999994</v>
      </c>
      <c r="X22" t="str">
        <v>50k to 100k</v>
      </c>
      <c r="Y22" s="39">
        <v>43920</v>
      </c>
      <c r="Z22">
        <v>1</v>
      </c>
      <c r="AA22" t="str">
        <v>Permanent</v>
      </c>
      <c r="AB22" t="str">
        <v>Chennai, India</v>
      </c>
      <c r="AC22">
        <v>4.2301369863013702</v>
      </c>
      <c r="AD22" t="str">
        <v>Full time</v>
      </c>
    </row>
    <row r="23" spans="2:30" x14ac:dyDescent="0.25">
      <c r="B23" t="str">
        <v>PR02436</v>
      </c>
      <c r="C23" t="str">
        <v>Marmaduke</v>
      </c>
      <c r="D23" t="str">
        <v>Worssam</v>
      </c>
      <c r="E23" t="str">
        <v>Female</v>
      </c>
      <c r="F23" t="str">
        <v>Engineering</v>
      </c>
      <c r="G23">
        <v>78378.2</v>
      </c>
      <c r="H23" t="str">
        <v>50k to 100k</v>
      </c>
      <c r="I23">
        <v>43465</v>
      </c>
      <c r="J23">
        <v>0.4</v>
      </c>
      <c r="K23" t="str">
        <v>Permanent</v>
      </c>
      <c r="L23" t="str">
        <v>Remote</v>
      </c>
      <c r="M23">
        <v>5.4767123287671229</v>
      </c>
      <c r="N23" t="str">
        <v>Part time</v>
      </c>
      <c r="R23" t="str">
        <v>SQ03625</v>
      </c>
      <c r="S23" t="str">
        <v>Fidela</v>
      </c>
      <c r="T23" t="str">
        <v>Artis</v>
      </c>
      <c r="U23" t="str">
        <v>Female</v>
      </c>
      <c r="V23" t="str">
        <v>Sales</v>
      </c>
      <c r="W23">
        <v>78020.39</v>
      </c>
      <c r="X23" t="str">
        <v>50k to 100k</v>
      </c>
      <c r="Y23" s="39">
        <v>43899</v>
      </c>
      <c r="Z23">
        <v>1</v>
      </c>
      <c r="AA23" t="str">
        <v>Permanent</v>
      </c>
      <c r="AB23" t="str">
        <v>Remote</v>
      </c>
      <c r="AC23">
        <v>4.2876712328767121</v>
      </c>
      <c r="AD23" t="str">
        <v>Full time</v>
      </c>
    </row>
    <row r="24" spans="2:30" x14ac:dyDescent="0.25">
      <c r="B24" t="str">
        <v>PR03445</v>
      </c>
      <c r="C24" t="str">
        <v>Myrle</v>
      </c>
      <c r="D24" t="str">
        <v>Prandoni</v>
      </c>
      <c r="E24" t="str">
        <v>Male</v>
      </c>
      <c r="F24" t="str">
        <v>Sales</v>
      </c>
      <c r="G24">
        <v>62195.47</v>
      </c>
      <c r="H24" t="str">
        <v>50k to 100k</v>
      </c>
      <c r="I24">
        <v>44434</v>
      </c>
      <c r="J24">
        <v>1</v>
      </c>
      <c r="K24" t="str">
        <v>Permanent</v>
      </c>
      <c r="L24" t="str">
        <v>Remote</v>
      </c>
      <c r="M24">
        <v>2.8219178082191783</v>
      </c>
      <c r="N24" t="str">
        <v>Full time</v>
      </c>
      <c r="R24" t="str">
        <v>SQ04612</v>
      </c>
      <c r="S24" t="str">
        <v>Mick</v>
      </c>
      <c r="T24" t="str">
        <v>Spraberry</v>
      </c>
      <c r="U24" t="str">
        <v>Female</v>
      </c>
      <c r="V24" t="str">
        <v>Services</v>
      </c>
      <c r="W24">
        <v>120000</v>
      </c>
      <c r="X24" t="str">
        <v>Above 100k</v>
      </c>
      <c r="Y24" s="39">
        <v>43902</v>
      </c>
      <c r="Z24">
        <v>0.9</v>
      </c>
      <c r="AA24" t="str">
        <v>Permanent</v>
      </c>
      <c r="AB24" t="str">
        <v>Remote</v>
      </c>
      <c r="AC24">
        <v>4.279452054794521</v>
      </c>
      <c r="AD24" t="str">
        <v>Part time</v>
      </c>
    </row>
    <row r="25" spans="2:30" x14ac:dyDescent="0.25">
      <c r="B25" t="str">
        <v>PR03844</v>
      </c>
      <c r="C25" t="str">
        <v>Brose</v>
      </c>
      <c r="D25" t="str">
        <v>MacCorkell</v>
      </c>
      <c r="E25" t="str">
        <v>Female</v>
      </c>
      <c r="F25" t="str">
        <v>Human Resources</v>
      </c>
      <c r="G25">
        <v>35943.620000000003</v>
      </c>
      <c r="H25" t="str">
        <v>Under 50k</v>
      </c>
      <c r="I25">
        <v>44078</v>
      </c>
      <c r="J25">
        <v>1</v>
      </c>
      <c r="K25" t="str">
        <v>Permanent</v>
      </c>
      <c r="L25" t="str">
        <v>Columbus, USA</v>
      </c>
      <c r="M25">
        <v>3.7972602739726029</v>
      </c>
      <c r="N25" t="str">
        <v>Full time</v>
      </c>
      <c r="R25" t="str">
        <v>TN01256</v>
      </c>
      <c r="S25" t="str">
        <v>Shattesh</v>
      </c>
      <c r="T25" t="str">
        <v>Utpat</v>
      </c>
      <c r="U25" t="str">
        <v>Male</v>
      </c>
      <c r="V25" t="str">
        <v>Legal</v>
      </c>
      <c r="W25">
        <v>28481.16</v>
      </c>
      <c r="X25" t="str">
        <v>Under 50k</v>
      </c>
      <c r="Y25" s="39">
        <v>43916</v>
      </c>
      <c r="Z25">
        <v>1</v>
      </c>
      <c r="AA25" t="str">
        <v>Permanent</v>
      </c>
      <c r="AB25" t="str">
        <v>Hyderabad, India</v>
      </c>
      <c r="AC25">
        <v>4.2410958904109588</v>
      </c>
      <c r="AD25" t="str">
        <v>Full time</v>
      </c>
    </row>
    <row r="26" spans="2:30" x14ac:dyDescent="0.25">
      <c r="B26" t="str">
        <v>SQ00450</v>
      </c>
      <c r="C26" t="str">
        <v>Louise</v>
      </c>
      <c r="D26" t="str">
        <v>Lamming</v>
      </c>
      <c r="E26" t="str">
        <v>Female</v>
      </c>
      <c r="F26" t="str">
        <v>Sales</v>
      </c>
      <c r="G26">
        <v>41934.71</v>
      </c>
      <c r="H26" t="str">
        <v>Under 50k</v>
      </c>
      <c r="I26">
        <v>43943</v>
      </c>
      <c r="J26">
        <v>1</v>
      </c>
      <c r="K26" t="str">
        <v>Permanent</v>
      </c>
      <c r="L26" t="str">
        <v>Remote</v>
      </c>
      <c r="M26">
        <v>4.1671232876712327</v>
      </c>
      <c r="N26" t="str">
        <v>Full time</v>
      </c>
      <c r="R26" t="str">
        <v>TN01256</v>
      </c>
      <c r="S26" t="str">
        <v>Sawini</v>
      </c>
      <c r="T26" t="str">
        <v>Chandan</v>
      </c>
      <c r="U26" t="str">
        <v>Male</v>
      </c>
      <c r="V26" t="str">
        <v>Legal</v>
      </c>
      <c r="W26">
        <v>28481.16</v>
      </c>
      <c r="X26" t="str">
        <v>Under 50k</v>
      </c>
      <c r="Y26" s="39">
        <v>43916</v>
      </c>
      <c r="Z26">
        <v>1</v>
      </c>
      <c r="AA26" t="str">
        <v>Permanent</v>
      </c>
      <c r="AB26" t="str">
        <v>Hyderabad, India</v>
      </c>
      <c r="AC26">
        <v>4.2410958904109588</v>
      </c>
      <c r="AD26" t="str">
        <v>Full time</v>
      </c>
    </row>
    <row r="27" spans="2:30" x14ac:dyDescent="0.25">
      <c r="B27" t="str">
        <v>SQ01730</v>
      </c>
      <c r="C27" t="str">
        <v>Austine</v>
      </c>
      <c r="D27" t="str">
        <v>Littlewood</v>
      </c>
      <c r="E27" t="str">
        <v>Female</v>
      </c>
      <c r="F27" t="str">
        <v>Services</v>
      </c>
      <c r="G27">
        <v>32269.91</v>
      </c>
      <c r="H27" t="str">
        <v>Under 50k</v>
      </c>
      <c r="I27">
        <v>43346</v>
      </c>
      <c r="J27">
        <v>1</v>
      </c>
      <c r="K27" t="str">
        <v>Permanent</v>
      </c>
      <c r="L27" t="str">
        <v>Remote</v>
      </c>
      <c r="M27">
        <v>5.8027397260273972</v>
      </c>
      <c r="N27" t="str">
        <v>Full time</v>
      </c>
      <c r="R27" t="str">
        <v>TN01601</v>
      </c>
      <c r="S27" t="str">
        <v>Melva</v>
      </c>
      <c r="T27" t="str">
        <v>Jickells</v>
      </c>
      <c r="U27" t="str">
        <v>Female</v>
      </c>
      <c r="V27" t="str">
        <v>Product Management</v>
      </c>
      <c r="W27">
        <v>68795.48</v>
      </c>
      <c r="X27" t="str">
        <v>50k to 100k</v>
      </c>
      <c r="Y27" s="39">
        <v>44277</v>
      </c>
      <c r="Z27">
        <v>0.2</v>
      </c>
      <c r="AA27" t="str">
        <v>Permanent</v>
      </c>
      <c r="AB27" t="str">
        <v>Remote</v>
      </c>
      <c r="AC27">
        <v>3.2520547945205478</v>
      </c>
      <c r="AD27" t="str">
        <v>Part time</v>
      </c>
    </row>
    <row r="28" spans="2:30" x14ac:dyDescent="0.25">
      <c r="B28" t="str">
        <v>SQ02465</v>
      </c>
      <c r="C28" t="str">
        <v>Bernie</v>
      </c>
      <c r="D28" t="str">
        <v>Gorges</v>
      </c>
      <c r="E28" t="str">
        <v>Female</v>
      </c>
      <c r="F28" t="str">
        <v>Training</v>
      </c>
      <c r="G28">
        <v>99965.97</v>
      </c>
      <c r="H28" t="str">
        <v>50k to 100k</v>
      </c>
      <c r="I28">
        <v>43133</v>
      </c>
      <c r="J28">
        <v>1</v>
      </c>
      <c r="K28" t="str">
        <v>Permanent</v>
      </c>
      <c r="L28" t="str">
        <v>Remote</v>
      </c>
      <c r="M28">
        <v>6.3863013698630136</v>
      </c>
      <c r="N28" t="str">
        <v>Full time</v>
      </c>
      <c r="R28" t="str">
        <v>TN01601</v>
      </c>
      <c r="S28" t="str">
        <v>Melva</v>
      </c>
      <c r="T28" t="str">
        <v>Jickells</v>
      </c>
      <c r="U28" t="str">
        <v>Female</v>
      </c>
      <c r="V28" t="str">
        <v>Product Management</v>
      </c>
      <c r="W28">
        <v>68795.48</v>
      </c>
      <c r="X28" t="str">
        <v>50k to 100k</v>
      </c>
      <c r="Y28" s="39">
        <v>44277</v>
      </c>
      <c r="Z28">
        <v>0.2</v>
      </c>
      <c r="AA28" t="str">
        <v>Permanent</v>
      </c>
      <c r="AB28" t="str">
        <v>Remote</v>
      </c>
      <c r="AC28">
        <v>3.2520547945205478</v>
      </c>
      <c r="AD28" t="str">
        <v>Part time</v>
      </c>
    </row>
    <row r="29" spans="2:30" x14ac:dyDescent="0.25">
      <c r="B29" t="str">
        <v>SQ02525</v>
      </c>
      <c r="C29" t="str">
        <v>Mickie</v>
      </c>
      <c r="D29" t="str">
        <v>Dagwell</v>
      </c>
      <c r="E29" t="str">
        <v>Male</v>
      </c>
      <c r="F29" t="str">
        <v>Engineering</v>
      </c>
      <c r="G29">
        <v>50855.53</v>
      </c>
      <c r="H29" t="str">
        <v>50k to 100k</v>
      </c>
      <c r="I29">
        <v>44221</v>
      </c>
      <c r="J29">
        <v>1</v>
      </c>
      <c r="K29" t="str">
        <v>Permanent</v>
      </c>
      <c r="L29" t="str">
        <v>Wellington, New Zealand</v>
      </c>
      <c r="M29">
        <v>3.4054794520547946</v>
      </c>
      <c r="N29" t="str">
        <v>Full time</v>
      </c>
      <c r="R29" t="str">
        <v>TN04892</v>
      </c>
      <c r="S29" t="str">
        <v>Luca</v>
      </c>
      <c r="T29" t="str">
        <v>Wolstenholme</v>
      </c>
      <c r="U29" t="str">
        <v>Male</v>
      </c>
      <c r="V29" t="str">
        <v>Engineering</v>
      </c>
      <c r="W29">
        <v>53184.02</v>
      </c>
      <c r="X29" t="str">
        <v>50k to 100k</v>
      </c>
      <c r="Y29" s="39">
        <v>43180</v>
      </c>
      <c r="Z29">
        <v>1</v>
      </c>
      <c r="AA29" t="str">
        <v>Fixed Term</v>
      </c>
      <c r="AB29" t="str">
        <v>Remote</v>
      </c>
      <c r="AC29">
        <v>6.2575342465753421</v>
      </c>
      <c r="AD29" t="str">
        <v>Full time</v>
      </c>
    </row>
    <row r="30" spans="2:30" x14ac:dyDescent="0.25">
      <c r="B30" t="str">
        <v>SQ03024</v>
      </c>
      <c r="C30" t="str">
        <v>Inge</v>
      </c>
      <c r="D30" t="str">
        <v>Creer</v>
      </c>
      <c r="E30" t="str">
        <v>Female</v>
      </c>
      <c r="F30" t="str">
        <v>Services</v>
      </c>
      <c r="G30">
        <v>69057.320000000007</v>
      </c>
      <c r="H30" t="str">
        <v>50k to 100k</v>
      </c>
      <c r="I30">
        <v>43390</v>
      </c>
      <c r="J30">
        <v>1</v>
      </c>
      <c r="K30" t="str">
        <v>Permanent</v>
      </c>
      <c r="L30" t="str">
        <v>Wellington, New Zealand</v>
      </c>
      <c r="M30">
        <v>5.6821917808219178</v>
      </c>
      <c r="N30" t="str">
        <v>Full time</v>
      </c>
      <c r="R30" t="str">
        <v>VT01762</v>
      </c>
      <c r="S30" t="str">
        <v>Geena</v>
      </c>
      <c r="T30" t="str">
        <v>Raghavanpillai</v>
      </c>
      <c r="U30" t="str">
        <v>Male</v>
      </c>
      <c r="V30" t="str">
        <v>Accounting</v>
      </c>
      <c r="W30">
        <v>102515.81</v>
      </c>
      <c r="X30" t="str">
        <v>Above 100k</v>
      </c>
      <c r="Y30" s="39">
        <v>43902</v>
      </c>
      <c r="Z30">
        <v>1</v>
      </c>
      <c r="AA30" t="str">
        <v>Fixed Term</v>
      </c>
      <c r="AB30" t="str">
        <v>Chennai, India</v>
      </c>
      <c r="AC30">
        <v>4.279452054794521</v>
      </c>
      <c r="AD30" t="str">
        <v>Full time</v>
      </c>
    </row>
    <row r="31" spans="2:30" x14ac:dyDescent="0.25">
      <c r="B31" t="str">
        <v>SQ03024</v>
      </c>
      <c r="C31" t="str">
        <v>Inge</v>
      </c>
      <c r="D31" t="str">
        <v>Creer</v>
      </c>
      <c r="E31" t="str">
        <v>Female</v>
      </c>
      <c r="F31" t="str">
        <v>Services</v>
      </c>
      <c r="G31">
        <v>69057.320000000007</v>
      </c>
      <c r="H31" t="str">
        <v>50k to 100k</v>
      </c>
      <c r="I31">
        <v>43390</v>
      </c>
      <c r="J31">
        <v>1</v>
      </c>
      <c r="K31" t="str">
        <v>Permanent</v>
      </c>
      <c r="L31" t="str">
        <v>Wellington, New Zealand</v>
      </c>
      <c r="M31">
        <v>5.6821917808219178</v>
      </c>
      <c r="N31" t="str">
        <v>Full time</v>
      </c>
      <c r="R31" t="str">
        <v>VT01803</v>
      </c>
      <c r="S31" t="str">
        <v>Freddy</v>
      </c>
      <c r="T31" t="str">
        <v>Linford</v>
      </c>
      <c r="U31" t="str">
        <v>Female</v>
      </c>
      <c r="V31" t="str">
        <v>Training</v>
      </c>
      <c r="W31">
        <v>93128.34</v>
      </c>
      <c r="X31" t="str">
        <v>50k to 100k</v>
      </c>
      <c r="Y31" s="39">
        <v>43164</v>
      </c>
      <c r="Z31">
        <v>1</v>
      </c>
      <c r="AA31" t="str">
        <v>Fixed Term</v>
      </c>
      <c r="AB31" t="str">
        <v>Seattle, USA</v>
      </c>
      <c r="AC31">
        <v>6.3013698630136989</v>
      </c>
      <c r="AD31" t="str">
        <v>Full time</v>
      </c>
    </row>
    <row r="32" spans="2:30" x14ac:dyDescent="0.25">
      <c r="B32" t="str">
        <v>SQ03350</v>
      </c>
      <c r="C32" t="str">
        <v>Felice</v>
      </c>
      <c r="D32" t="str">
        <v>McMurty</v>
      </c>
      <c r="E32" t="str">
        <v>Female</v>
      </c>
      <c r="F32" t="str">
        <v>Product Management</v>
      </c>
      <c r="G32">
        <v>66865.490000000005</v>
      </c>
      <c r="H32" t="str">
        <v>50k to 100k</v>
      </c>
      <c r="I32">
        <v>43514</v>
      </c>
      <c r="J32">
        <v>1</v>
      </c>
      <c r="K32" t="str">
        <v>Permanent</v>
      </c>
      <c r="L32" t="str">
        <v>Seattle, USA</v>
      </c>
      <c r="M32">
        <v>5.3424657534246576</v>
      </c>
      <c r="N32" t="str">
        <v>Full time</v>
      </c>
      <c r="R32" t="str">
        <v>VT02417</v>
      </c>
      <c r="S32" t="str">
        <v>Evangelina</v>
      </c>
      <c r="T32" t="str">
        <v>Lergan</v>
      </c>
      <c r="U32" t="str">
        <v>Male</v>
      </c>
      <c r="V32" t="str">
        <v>Support</v>
      </c>
      <c r="W32">
        <v>61214.26</v>
      </c>
      <c r="X32" t="str">
        <v>50k to 100k</v>
      </c>
      <c r="Y32" s="39">
        <v>43171</v>
      </c>
      <c r="Z32">
        <v>1</v>
      </c>
      <c r="AA32" t="str">
        <v>Temporary</v>
      </c>
      <c r="AB32" t="str">
        <v>Auckland, New Zealand</v>
      </c>
      <c r="AC32">
        <v>6.2821917808219174</v>
      </c>
      <c r="AD32" t="str">
        <v>Full time</v>
      </c>
    </row>
    <row r="33" spans="2:30" x14ac:dyDescent="0.25">
      <c r="B33" t="str">
        <v>SQ03350</v>
      </c>
      <c r="C33" t="str">
        <v>Felice</v>
      </c>
      <c r="D33" t="str">
        <v>McMurty</v>
      </c>
      <c r="E33" t="str">
        <v>Female</v>
      </c>
      <c r="F33" t="str">
        <v>Product Management</v>
      </c>
      <c r="G33">
        <v>66865.490000000005</v>
      </c>
      <c r="H33" t="str">
        <v>50k to 100k</v>
      </c>
      <c r="I33">
        <v>43514</v>
      </c>
      <c r="J33">
        <v>1</v>
      </c>
      <c r="K33" t="str">
        <v>Permanent</v>
      </c>
      <c r="L33" t="str">
        <v>Seattle, USA</v>
      </c>
      <c r="M33">
        <v>5.3424657534246576</v>
      </c>
      <c r="N33" t="str">
        <v>Full time</v>
      </c>
      <c r="R33" t="str">
        <v>VT03421</v>
      </c>
      <c r="S33" t="str">
        <v>Alic</v>
      </c>
      <c r="T33" t="str">
        <v>Bagg</v>
      </c>
      <c r="U33" t="str">
        <v>Male</v>
      </c>
      <c r="V33" t="str">
        <v>Legal</v>
      </c>
      <c r="W33">
        <v>113747.56</v>
      </c>
      <c r="X33" t="str">
        <v>Above 100k</v>
      </c>
      <c r="Y33" s="39">
        <v>44270</v>
      </c>
      <c r="Z33">
        <v>0.7</v>
      </c>
      <c r="AA33" t="str">
        <v>Temporary</v>
      </c>
      <c r="AB33" t="str">
        <v>Columbus, USA</v>
      </c>
      <c r="AC33">
        <v>3.2712328767123289</v>
      </c>
      <c r="AD33" t="str">
        <v>Part time</v>
      </c>
    </row>
    <row r="34" spans="2:30" x14ac:dyDescent="0.25">
      <c r="B34" t="str">
        <v>SQ04603</v>
      </c>
      <c r="C34" t="str">
        <v>Natalee</v>
      </c>
      <c r="D34" t="str">
        <v>Craiker</v>
      </c>
      <c r="E34" t="str">
        <v>Male</v>
      </c>
      <c r="F34" t="str">
        <v>Product Management</v>
      </c>
      <c r="G34">
        <v>111229.47</v>
      </c>
      <c r="H34" t="str">
        <v>Above 100k</v>
      </c>
      <c r="I34">
        <v>43402</v>
      </c>
      <c r="J34">
        <v>1</v>
      </c>
      <c r="K34" t="str">
        <v>Permanent</v>
      </c>
      <c r="L34" t="str">
        <v>Remote</v>
      </c>
      <c r="M34">
        <v>5.6493150684931503</v>
      </c>
      <c r="N34" t="str">
        <v>Full time</v>
      </c>
      <c r="R34" t="str">
        <v>VT03421</v>
      </c>
      <c r="S34" t="str">
        <v>Alic</v>
      </c>
      <c r="T34" t="str">
        <v>Bagg</v>
      </c>
      <c r="U34" t="str">
        <v>Male</v>
      </c>
      <c r="V34" t="str">
        <v>Legal</v>
      </c>
      <c r="W34">
        <v>113747.56</v>
      </c>
      <c r="X34" t="str">
        <v>Above 100k</v>
      </c>
      <c r="Y34" s="39">
        <v>44270</v>
      </c>
      <c r="Z34">
        <v>0.7</v>
      </c>
      <c r="AA34" t="str">
        <v>Temporary</v>
      </c>
      <c r="AB34" t="str">
        <v>Columbus, USA</v>
      </c>
      <c r="AC34">
        <v>3.2712328767123289</v>
      </c>
      <c r="AD34" t="str">
        <v>Part time</v>
      </c>
    </row>
    <row r="35" spans="2:30" x14ac:dyDescent="0.25">
      <c r="B35" t="str">
        <v>TN00258</v>
      </c>
      <c r="C35" t="str">
        <v>Joyce</v>
      </c>
      <c r="D35" t="str">
        <v>Leyband</v>
      </c>
      <c r="E35" t="str">
        <v>Female</v>
      </c>
      <c r="F35" t="str">
        <v>Product Management</v>
      </c>
      <c r="G35">
        <v>68197.899999999994</v>
      </c>
      <c r="H35" t="str">
        <v>50k to 100k</v>
      </c>
      <c r="I35">
        <v>44119</v>
      </c>
      <c r="J35">
        <v>1</v>
      </c>
      <c r="K35" t="str">
        <v>Permanent</v>
      </c>
      <c r="L35" t="str">
        <v>Auckland, New Zealand</v>
      </c>
      <c r="M35">
        <v>3.6849315068493151</v>
      </c>
      <c r="N35" t="str">
        <v>Full time</v>
      </c>
      <c r="R35" t="str">
        <v>VT03993</v>
      </c>
      <c r="S35" t="str">
        <v>Dulce</v>
      </c>
      <c r="T35" t="str">
        <v>Colbeck</v>
      </c>
      <c r="U35" t="str">
        <v>Male</v>
      </c>
      <c r="V35" t="str">
        <v>Human Resources</v>
      </c>
      <c r="W35">
        <v>83396.5</v>
      </c>
      <c r="X35" t="str">
        <v>50k to 100k</v>
      </c>
      <c r="Y35" s="39">
        <v>44285</v>
      </c>
      <c r="Z35">
        <v>1</v>
      </c>
      <c r="AA35" t="str">
        <v>Temporary</v>
      </c>
      <c r="AB35" t="str">
        <v>Auckland, New Zealand</v>
      </c>
      <c r="AC35">
        <v>3.2301369863013698</v>
      </c>
      <c r="AD35" t="str">
        <v>Full time</v>
      </c>
    </row>
    <row r="36" spans="2:30" x14ac:dyDescent="0.25">
      <c r="B36" t="str">
        <v>TN00328</v>
      </c>
      <c r="C36" t="str">
        <v>Jeannie</v>
      </c>
      <c r="D36" t="str">
        <v>Petracco</v>
      </c>
      <c r="E36" t="str">
        <v>Female</v>
      </c>
      <c r="F36" t="str">
        <v>Engineering</v>
      </c>
      <c r="G36">
        <v>94815.28</v>
      </c>
      <c r="H36" t="str">
        <v>50k to 100k</v>
      </c>
      <c r="I36">
        <v>43440</v>
      </c>
      <c r="J36">
        <v>1</v>
      </c>
      <c r="K36" t="str">
        <v>Permanent</v>
      </c>
      <c r="L36" t="str">
        <v>Seattle, USA</v>
      </c>
      <c r="M36">
        <v>5.5452054794520551</v>
      </c>
      <c r="N36" t="str">
        <v>Full time</v>
      </c>
      <c r="R36" t="str">
        <v>VT04028</v>
      </c>
      <c r="S36" t="str">
        <v>Michale</v>
      </c>
      <c r="T36" t="str">
        <v>Rolf</v>
      </c>
      <c r="U36" t="str">
        <v>Male</v>
      </c>
      <c r="V36" t="str">
        <v>Services</v>
      </c>
      <c r="W36">
        <v>111815.49</v>
      </c>
      <c r="X36" t="str">
        <v>Above 100k</v>
      </c>
      <c r="Y36" s="39">
        <v>43895</v>
      </c>
      <c r="Z36">
        <v>0.7</v>
      </c>
      <c r="AA36" t="str">
        <v>Temporary</v>
      </c>
      <c r="AB36" t="str">
        <v>Remote</v>
      </c>
      <c r="AC36">
        <v>4.2986301369863016</v>
      </c>
      <c r="AD36" t="str">
        <v>Part time</v>
      </c>
    </row>
    <row r="37" spans="2:30" x14ac:dyDescent="0.25">
      <c r="B37" t="str">
        <v>TN00698</v>
      </c>
      <c r="C37" t="str">
        <v>Barbara-anne</v>
      </c>
      <c r="D37" t="str">
        <v>Kenchington</v>
      </c>
      <c r="E37" t="str">
        <v>Female</v>
      </c>
      <c r="F37" t="str">
        <v>Support</v>
      </c>
      <c r="G37">
        <v>88034.67</v>
      </c>
      <c r="H37" t="str">
        <v>50k to 100k</v>
      </c>
      <c r="I37">
        <v>43669</v>
      </c>
      <c r="J37">
        <v>1</v>
      </c>
      <c r="K37" t="str">
        <v>Permanent</v>
      </c>
      <c r="L37" t="str">
        <v>Remote</v>
      </c>
      <c r="M37">
        <v>4.9178082191780819</v>
      </c>
      <c r="N37" t="str">
        <v>Full time</v>
      </c>
      <c r="R37" t="str">
        <v>VT04028</v>
      </c>
      <c r="S37" t="str">
        <v>Michale</v>
      </c>
      <c r="T37" t="str">
        <v>Rolf</v>
      </c>
      <c r="U37" t="str">
        <v>Male</v>
      </c>
      <c r="V37" t="str">
        <v>Services</v>
      </c>
      <c r="W37">
        <v>111815.49</v>
      </c>
      <c r="X37" t="str">
        <v>Above 100k</v>
      </c>
      <c r="Y37" s="39">
        <v>43895</v>
      </c>
      <c r="Z37">
        <v>0.7</v>
      </c>
      <c r="AA37" t="str">
        <v>Temporary</v>
      </c>
      <c r="AB37" t="str">
        <v>Remote</v>
      </c>
      <c r="AC37">
        <v>4.2986301369863016</v>
      </c>
      <c r="AD37" t="str">
        <v>Part time</v>
      </c>
    </row>
    <row r="38" spans="2:30" x14ac:dyDescent="0.25">
      <c r="B38" t="str">
        <v>TN01566</v>
      </c>
      <c r="C38" t="str">
        <v>Fonzie</v>
      </c>
      <c r="D38" t="str">
        <v>O'Shea</v>
      </c>
      <c r="E38" t="str">
        <v>Male</v>
      </c>
      <c r="F38" t="str">
        <v>Product Management</v>
      </c>
      <c r="G38">
        <v>80360.41</v>
      </c>
      <c r="H38" t="str">
        <v>50k to 100k</v>
      </c>
      <c r="I38">
        <v>44167</v>
      </c>
      <c r="J38">
        <v>1</v>
      </c>
      <c r="K38" t="str">
        <v>Permanent</v>
      </c>
      <c r="L38" t="str">
        <v>Remote</v>
      </c>
      <c r="M38">
        <v>3.5534246575342467</v>
      </c>
      <c r="N38" t="str">
        <v>Full time</v>
      </c>
      <c r="R38" t="str">
        <v>VT04415</v>
      </c>
      <c r="S38" t="str">
        <v>Malory</v>
      </c>
      <c r="T38" t="str">
        <v>Biles</v>
      </c>
      <c r="U38" t="str">
        <v>Female</v>
      </c>
      <c r="V38" t="str">
        <v>Training</v>
      </c>
      <c r="W38">
        <v>58744.17</v>
      </c>
      <c r="X38" t="str">
        <v>50k to 100k</v>
      </c>
      <c r="Y38" s="39">
        <v>43171</v>
      </c>
      <c r="Z38">
        <v>1</v>
      </c>
      <c r="AA38" t="str">
        <v>Temporary</v>
      </c>
      <c r="AB38" t="str">
        <v>Columbus, USA</v>
      </c>
      <c r="AC38">
        <v>6.2821917808219174</v>
      </c>
      <c r="AD38" t="str">
        <v>Full time</v>
      </c>
    </row>
    <row r="39" spans="2:30" x14ac:dyDescent="0.25">
      <c r="B39" t="str">
        <v>TN03097</v>
      </c>
      <c r="C39" t="str">
        <v>Bendite</v>
      </c>
      <c r="D39" t="str">
        <v>Bloan</v>
      </c>
      <c r="E39" t="str">
        <v>Male</v>
      </c>
      <c r="F39" t="str">
        <v>Marketing</v>
      </c>
      <c r="G39">
        <v>31816.57</v>
      </c>
      <c r="H39" t="str">
        <v>Under 50k</v>
      </c>
      <c r="I39">
        <v>43497</v>
      </c>
      <c r="J39">
        <v>0.3</v>
      </c>
      <c r="K39" t="str">
        <v>Fixed Term</v>
      </c>
      <c r="L39" t="str">
        <v>Remote</v>
      </c>
      <c r="M39">
        <v>5.3890410958904109</v>
      </c>
      <c r="N39" t="str">
        <v>Part time</v>
      </c>
    </row>
    <row r="40" spans="2:30" x14ac:dyDescent="0.25">
      <c r="B40" t="str">
        <v>TN03169</v>
      </c>
      <c r="C40" t="str">
        <v>Doe</v>
      </c>
      <c r="D40" t="str">
        <v>Clubley</v>
      </c>
      <c r="E40" t="str">
        <v>Female</v>
      </c>
      <c r="F40" t="str">
        <v>Product Management</v>
      </c>
      <c r="G40">
        <v>67818.14</v>
      </c>
      <c r="H40" t="str">
        <v>50k to 100k</v>
      </c>
      <c r="I40">
        <v>43406</v>
      </c>
      <c r="J40">
        <v>0.6</v>
      </c>
      <c r="K40" t="str">
        <v>Fixed Term</v>
      </c>
      <c r="L40" t="str">
        <v>Remote</v>
      </c>
      <c r="M40">
        <v>5.6383561643835618</v>
      </c>
      <c r="N40" t="str">
        <v>Part time</v>
      </c>
    </row>
    <row r="41" spans="2:30" x14ac:dyDescent="0.25">
      <c r="B41" t="str">
        <v>TN03169</v>
      </c>
      <c r="C41" t="str">
        <v>Doe</v>
      </c>
      <c r="D41" t="str">
        <v>Clubley</v>
      </c>
      <c r="E41" t="str">
        <v>Female</v>
      </c>
      <c r="F41" t="str">
        <v>Product Management</v>
      </c>
      <c r="G41">
        <v>67818.14</v>
      </c>
      <c r="H41" t="str">
        <v>50k to 100k</v>
      </c>
      <c r="I41">
        <v>43406</v>
      </c>
      <c r="J41">
        <v>0.6</v>
      </c>
      <c r="K41" t="str">
        <v>Fixed Term</v>
      </c>
      <c r="L41" t="str">
        <v>Remote</v>
      </c>
      <c r="M41">
        <v>5.6383561643835618</v>
      </c>
      <c r="N41" t="str">
        <v>Part time</v>
      </c>
    </row>
    <row r="42" spans="2:30" x14ac:dyDescent="0.25">
      <c r="B42" t="str">
        <v>TN04101</v>
      </c>
      <c r="C42" t="str">
        <v>Marline</v>
      </c>
      <c r="D42" t="str">
        <v>Wahncke</v>
      </c>
      <c r="E42" t="str">
        <v>Male</v>
      </c>
      <c r="F42" t="str">
        <v>Legal</v>
      </c>
      <c r="G42">
        <v>72843.23</v>
      </c>
      <c r="H42" t="str">
        <v>50k to 100k</v>
      </c>
      <c r="I42">
        <v>43280</v>
      </c>
      <c r="J42">
        <v>1</v>
      </c>
      <c r="K42" t="str">
        <v>Fixed Term</v>
      </c>
      <c r="L42" t="str">
        <v>Wellington, New Zealand</v>
      </c>
      <c r="M42">
        <v>5.9835616438356167</v>
      </c>
      <c r="N42" t="str">
        <v>Full time</v>
      </c>
    </row>
    <row r="43" spans="2:30" x14ac:dyDescent="0.25">
      <c r="B43" t="str">
        <v>VT00194</v>
      </c>
      <c r="C43" t="str">
        <v>Violante</v>
      </c>
      <c r="D43" t="str">
        <v>Courtonne</v>
      </c>
      <c r="E43" t="str">
        <v>Female</v>
      </c>
      <c r="F43" t="str">
        <v>Product Management</v>
      </c>
      <c r="G43">
        <v>49625.64</v>
      </c>
      <c r="H43" t="str">
        <v>Under 50k</v>
      </c>
      <c r="I43">
        <v>44384</v>
      </c>
      <c r="J43">
        <v>0.5</v>
      </c>
      <c r="K43" t="str">
        <v>Fixed Term</v>
      </c>
      <c r="L43" t="str">
        <v>Remote</v>
      </c>
      <c r="M43">
        <v>2.9589041095890409</v>
      </c>
      <c r="N43" t="str">
        <v>Part time</v>
      </c>
      <c r="R43" s="26" t="s">
        <v>822</v>
      </c>
    </row>
    <row r="44" spans="2:30" x14ac:dyDescent="0.25">
      <c r="B44" t="str">
        <v>VT00534</v>
      </c>
      <c r="C44" t="str">
        <v>Roselle</v>
      </c>
      <c r="D44" t="str">
        <v>Wandrach</v>
      </c>
      <c r="E44" t="str">
        <v>Male</v>
      </c>
      <c r="F44" t="str">
        <v>Sales</v>
      </c>
      <c r="G44">
        <v>91314.75</v>
      </c>
      <c r="H44" t="str">
        <v>50k to 100k</v>
      </c>
      <c r="I44">
        <v>43931</v>
      </c>
      <c r="J44">
        <v>1</v>
      </c>
      <c r="K44" t="str">
        <v>Fixed Term</v>
      </c>
      <c r="L44" t="str">
        <v>Seattle, USA</v>
      </c>
      <c r="M44">
        <v>4.2</v>
      </c>
      <c r="N44" t="str">
        <v>Full time</v>
      </c>
    </row>
    <row r="45" spans="2:30" x14ac:dyDescent="0.25">
      <c r="B45" t="str">
        <v>VT01523</v>
      </c>
      <c r="C45" t="str">
        <v>Charmane</v>
      </c>
      <c r="D45" t="str">
        <v>Heistermann</v>
      </c>
      <c r="E45" t="str">
        <v>Female</v>
      </c>
      <c r="F45" t="str">
        <v>Business Development</v>
      </c>
      <c r="G45">
        <v>86558.58</v>
      </c>
      <c r="H45" t="str">
        <v>50k to 100k</v>
      </c>
      <c r="I45">
        <v>43887</v>
      </c>
      <c r="J45">
        <v>1</v>
      </c>
      <c r="K45" t="str">
        <v>Fixed Term</v>
      </c>
      <c r="L45" t="str">
        <v>Remote</v>
      </c>
      <c r="M45">
        <v>4.3205479452054796</v>
      </c>
      <c r="N45" t="str">
        <v>Full time</v>
      </c>
      <c r="R45" t="str" cm="1">
        <f t="array" ref="R45:T169">_xlfn._xlws.FILTER(staff[[Emp ID]:[Last Name]],(staff[Gender]="Female")*(WEEKDAY(staff[Start Date]=1)))</f>
        <v>PR00007</v>
      </c>
      <c r="S45" t="str">
        <v>Torrance</v>
      </c>
      <c r="T45" t="str">
        <v>Collier</v>
      </c>
    </row>
    <row r="46" spans="2:30" x14ac:dyDescent="0.25">
      <c r="B46" t="str">
        <v>VT02374</v>
      </c>
      <c r="C46" t="str">
        <v>Delphine</v>
      </c>
      <c r="D46" t="str">
        <v>Jewis</v>
      </c>
      <c r="E46" t="str">
        <v>Female</v>
      </c>
      <c r="F46" t="str">
        <v>Accounting</v>
      </c>
      <c r="G46">
        <v>71823.56</v>
      </c>
      <c r="H46" t="str">
        <v>50k to 100k</v>
      </c>
      <c r="I46">
        <v>43374</v>
      </c>
      <c r="J46">
        <v>0.3</v>
      </c>
      <c r="K46" t="str">
        <v>Temporary</v>
      </c>
      <c r="L46" t="str">
        <v>Remote</v>
      </c>
      <c r="M46">
        <v>5.7260273972602738</v>
      </c>
      <c r="N46" t="str">
        <v>Part time</v>
      </c>
      <c r="R46" t="str">
        <v>PR00095</v>
      </c>
      <c r="S46" t="str">
        <v>Devrat</v>
      </c>
      <c r="T46" t="str">
        <v>Damarsingh</v>
      </c>
    </row>
    <row r="47" spans="2:30" x14ac:dyDescent="0.25">
      <c r="B47" t="str">
        <v>VT02374</v>
      </c>
      <c r="C47" t="str">
        <v>Delphine</v>
      </c>
      <c r="D47" t="str">
        <v>Jewis</v>
      </c>
      <c r="E47" t="str">
        <v>Female</v>
      </c>
      <c r="F47" t="str">
        <v>Accounting</v>
      </c>
      <c r="G47">
        <v>71823.56</v>
      </c>
      <c r="H47" t="str">
        <v>50k to 100k</v>
      </c>
      <c r="I47">
        <v>43374</v>
      </c>
      <c r="J47">
        <v>0.3</v>
      </c>
      <c r="K47" t="str">
        <v>Temporary</v>
      </c>
      <c r="L47" t="str">
        <v>Remote</v>
      </c>
      <c r="M47">
        <v>5.7260273972602738</v>
      </c>
      <c r="N47" t="str">
        <v>Part time</v>
      </c>
      <c r="R47" t="str">
        <v>PR00113</v>
      </c>
      <c r="S47" t="str">
        <v>Van</v>
      </c>
      <c r="T47" t="str">
        <v>Tuxwell</v>
      </c>
    </row>
    <row r="48" spans="2:30" x14ac:dyDescent="0.25">
      <c r="B48" t="str">
        <v>VT02539</v>
      </c>
      <c r="C48" t="str">
        <v>Devinne</v>
      </c>
      <c r="D48" t="str">
        <v>Tuny</v>
      </c>
      <c r="E48" t="str">
        <v>Male</v>
      </c>
      <c r="F48" t="str">
        <v>Engineering</v>
      </c>
      <c r="G48">
        <v>39969.72</v>
      </c>
      <c r="H48" t="str">
        <v>Under 50k</v>
      </c>
      <c r="I48">
        <v>43444</v>
      </c>
      <c r="J48">
        <v>1</v>
      </c>
      <c r="K48" t="str">
        <v>Temporary</v>
      </c>
      <c r="L48" t="str">
        <v>Columbus, USA</v>
      </c>
      <c r="M48">
        <v>5.5342465753424657</v>
      </c>
      <c r="N48" t="str">
        <v>Full time</v>
      </c>
      <c r="R48" t="str">
        <v>PR00113</v>
      </c>
      <c r="S48" t="str">
        <v>Van</v>
      </c>
      <c r="T48" t="str">
        <v>Tuxwell</v>
      </c>
    </row>
    <row r="49" spans="2:20" x14ac:dyDescent="0.25">
      <c r="B49" t="str">
        <v>VT03307</v>
      </c>
      <c r="C49" t="str">
        <v>Tallie</v>
      </c>
      <c r="D49" t="str">
        <v>Chaikovski</v>
      </c>
      <c r="E49" t="str">
        <v>Male</v>
      </c>
      <c r="F49" t="str">
        <v>Sales</v>
      </c>
      <c r="G49">
        <v>83191.95</v>
      </c>
      <c r="H49" t="str">
        <v>50k to 100k</v>
      </c>
      <c r="I49">
        <v>43700</v>
      </c>
      <c r="J49">
        <v>0.6</v>
      </c>
      <c r="K49" t="str">
        <v>Temporary</v>
      </c>
      <c r="L49" t="str">
        <v>Remote</v>
      </c>
      <c r="M49">
        <v>4.8328767123287673</v>
      </c>
      <c r="N49" t="str">
        <v>Part time</v>
      </c>
      <c r="R49" t="str">
        <v>PR00246</v>
      </c>
      <c r="S49" t="str">
        <v>Husein</v>
      </c>
      <c r="T49" t="str">
        <v>Augar</v>
      </c>
    </row>
    <row r="50" spans="2:20" x14ac:dyDescent="0.25">
      <c r="B50" t="str">
        <v>VT03771</v>
      </c>
      <c r="C50" t="str">
        <v>Marjie</v>
      </c>
      <c r="D50" t="str">
        <v>Bamford</v>
      </c>
      <c r="E50" t="str">
        <v>Male</v>
      </c>
      <c r="F50" t="str">
        <v>Sales</v>
      </c>
      <c r="G50">
        <v>80772.92</v>
      </c>
      <c r="H50" t="str">
        <v>50k to 100k</v>
      </c>
      <c r="I50">
        <v>44137</v>
      </c>
      <c r="J50">
        <v>1</v>
      </c>
      <c r="K50" t="str">
        <v>Temporary</v>
      </c>
      <c r="L50" t="str">
        <v>Remote</v>
      </c>
      <c r="M50">
        <v>3.6356164383561644</v>
      </c>
      <c r="N50" t="str">
        <v>Full time</v>
      </c>
      <c r="R50" t="str">
        <v>PR00419</v>
      </c>
      <c r="S50" t="str">
        <v>Billi</v>
      </c>
      <c r="T50" t="str">
        <v>Fellgate</v>
      </c>
    </row>
    <row r="51" spans="2:20" x14ac:dyDescent="0.25">
      <c r="B51" t="str">
        <v>VT03993</v>
      </c>
      <c r="C51" t="str">
        <v>Dulce</v>
      </c>
      <c r="D51" t="str">
        <v>Colbeck</v>
      </c>
      <c r="E51" t="str">
        <v>Male</v>
      </c>
      <c r="F51" t="str">
        <v>Human Resources</v>
      </c>
      <c r="G51">
        <v>83396.5</v>
      </c>
      <c r="H51" t="str">
        <v>50k to 100k</v>
      </c>
      <c r="I51">
        <v>44285</v>
      </c>
      <c r="J51">
        <v>1</v>
      </c>
      <c r="K51" t="str">
        <v>Temporary</v>
      </c>
      <c r="L51" t="str">
        <v>Auckland, New Zealand</v>
      </c>
      <c r="M51">
        <v>3.2301369863013698</v>
      </c>
      <c r="N51" t="str">
        <v>Full time</v>
      </c>
      <c r="R51" t="str">
        <v>PR00576</v>
      </c>
      <c r="S51" t="str">
        <v>Lalitchandra</v>
      </c>
      <c r="T51" t="str">
        <v>Vadali</v>
      </c>
    </row>
    <row r="52" spans="2:20" x14ac:dyDescent="0.25">
      <c r="B52" t="str">
        <v>VT04028</v>
      </c>
      <c r="C52" t="str">
        <v>Michale</v>
      </c>
      <c r="D52" t="str">
        <v>Rolf</v>
      </c>
      <c r="E52" t="str">
        <v>Male</v>
      </c>
      <c r="F52" t="str">
        <v>Services</v>
      </c>
      <c r="G52">
        <v>111815.49</v>
      </c>
      <c r="H52" t="str">
        <v>Above 100k</v>
      </c>
      <c r="I52">
        <v>43895</v>
      </c>
      <c r="J52">
        <v>0.7</v>
      </c>
      <c r="K52" t="str">
        <v>Temporary</v>
      </c>
      <c r="L52" t="str">
        <v>Remote</v>
      </c>
      <c r="M52">
        <v>4.2986301369863016</v>
      </c>
      <c r="N52" t="str">
        <v>Part time</v>
      </c>
      <c r="R52" t="str">
        <v>PR00746</v>
      </c>
      <c r="S52" t="str">
        <v>Hogan</v>
      </c>
      <c r="T52" t="str">
        <v>Iles</v>
      </c>
    </row>
    <row r="53" spans="2:20" x14ac:dyDescent="0.25">
      <c r="B53" t="str">
        <v>VT04028</v>
      </c>
      <c r="C53" t="str">
        <v>Michale</v>
      </c>
      <c r="D53" t="str">
        <v>Rolf</v>
      </c>
      <c r="E53" t="str">
        <v>Male</v>
      </c>
      <c r="F53" t="str">
        <v>Services</v>
      </c>
      <c r="G53">
        <v>111815.49</v>
      </c>
      <c r="H53" t="str">
        <v>Above 100k</v>
      </c>
      <c r="I53">
        <v>43895</v>
      </c>
      <c r="J53">
        <v>0.7</v>
      </c>
      <c r="K53" t="str">
        <v>Temporary</v>
      </c>
      <c r="L53" t="str">
        <v>Remote</v>
      </c>
      <c r="M53">
        <v>4.2986301369863016</v>
      </c>
      <c r="N53" t="str">
        <v>Part time</v>
      </c>
      <c r="R53" t="str">
        <v>PR00916</v>
      </c>
      <c r="S53" t="str">
        <v>Inger</v>
      </c>
      <c r="T53" t="str">
        <v>Chapelhow</v>
      </c>
    </row>
    <row r="54" spans="2:20" x14ac:dyDescent="0.25">
      <c r="B54" t="str">
        <v>VT04627</v>
      </c>
      <c r="C54" t="str">
        <v>Yvette</v>
      </c>
      <c r="D54" t="str">
        <v>Bett</v>
      </c>
      <c r="E54" t="str">
        <v>Male</v>
      </c>
      <c r="F54" t="str">
        <v>Human Resources</v>
      </c>
      <c r="G54">
        <v>76320.44</v>
      </c>
      <c r="H54" t="str">
        <v>50k to 100k</v>
      </c>
      <c r="I54">
        <v>44383</v>
      </c>
      <c r="J54">
        <v>0.8</v>
      </c>
      <c r="K54" t="str">
        <v>Temporary</v>
      </c>
      <c r="L54" t="str">
        <v>Remote</v>
      </c>
      <c r="M54">
        <v>2.9616438356164383</v>
      </c>
      <c r="N54" t="str">
        <v>Part time</v>
      </c>
      <c r="R54" t="str">
        <v>PR01269</v>
      </c>
      <c r="S54" t="str">
        <v>Eleonore</v>
      </c>
      <c r="T54" t="str">
        <v>Airdrie</v>
      </c>
    </row>
    <row r="55" spans="2:20" x14ac:dyDescent="0.25">
      <c r="R55" t="str">
        <v>PR01383</v>
      </c>
      <c r="S55" t="str">
        <v>Addi</v>
      </c>
      <c r="T55" t="str">
        <v>Studdeard</v>
      </c>
    </row>
    <row r="56" spans="2:20" x14ac:dyDescent="0.25">
      <c r="R56" t="str">
        <v>PR01662</v>
      </c>
      <c r="S56" t="str">
        <v>Genevra</v>
      </c>
      <c r="T56" t="str">
        <v>Friday</v>
      </c>
    </row>
    <row r="57" spans="2:20" x14ac:dyDescent="0.25">
      <c r="R57" t="str">
        <v>PR02016</v>
      </c>
      <c r="S57" t="str">
        <v>Iris</v>
      </c>
      <c r="T57" t="str">
        <v>Wagg</v>
      </c>
    </row>
    <row r="58" spans="2:20" x14ac:dyDescent="0.25">
      <c r="R58" t="str">
        <v>PR02113</v>
      </c>
      <c r="S58" t="str">
        <v>Beverie</v>
      </c>
      <c r="T58" t="str">
        <v>Moffet</v>
      </c>
    </row>
    <row r="59" spans="2:20" x14ac:dyDescent="0.25">
      <c r="R59" t="str">
        <v>PR02208</v>
      </c>
      <c r="S59" t="str">
        <v>Gowri</v>
      </c>
      <c r="T59" t="str">
        <v>Sankar</v>
      </c>
    </row>
    <row r="60" spans="2:20" x14ac:dyDescent="0.25">
      <c r="R60" t="str">
        <v>PR02275</v>
      </c>
      <c r="S60" t="str">
        <v>Louise</v>
      </c>
      <c r="T60" t="str">
        <v>Lamming</v>
      </c>
    </row>
    <row r="61" spans="2:20" x14ac:dyDescent="0.25">
      <c r="R61" t="str">
        <v>PR02321</v>
      </c>
      <c r="S61" t="str">
        <v>Evanne</v>
      </c>
      <c r="T61" t="str">
        <v>Sheryn</v>
      </c>
    </row>
    <row r="62" spans="2:20" x14ac:dyDescent="0.25">
      <c r="R62" t="str">
        <v>PR02436</v>
      </c>
      <c r="S62" t="str">
        <v>Marmaduke</v>
      </c>
      <c r="T62" t="str">
        <v>Worssam</v>
      </c>
    </row>
    <row r="63" spans="2:20" x14ac:dyDescent="0.25">
      <c r="R63" t="str">
        <v>PR02603</v>
      </c>
      <c r="S63" t="str">
        <v>Dinanath</v>
      </c>
      <c r="T63" t="str">
        <v>Simhambhatla</v>
      </c>
    </row>
    <row r="64" spans="2:20" x14ac:dyDescent="0.25">
      <c r="R64" t="str">
        <v>PR02957</v>
      </c>
      <c r="S64" t="str">
        <v>Vaughn</v>
      </c>
      <c r="T64" t="str">
        <v>Carvill</v>
      </c>
    </row>
    <row r="65" spans="18:20" x14ac:dyDescent="0.25">
      <c r="R65" t="str">
        <v>PR03158</v>
      </c>
      <c r="S65" t="str">
        <v>Danica</v>
      </c>
      <c r="T65" t="str">
        <v>Nayshe</v>
      </c>
    </row>
    <row r="66" spans="18:20" x14ac:dyDescent="0.25">
      <c r="R66" t="str">
        <v>PR03271</v>
      </c>
      <c r="S66" t="str">
        <v>Stan</v>
      </c>
      <c r="T66" t="str">
        <v>Tolliday</v>
      </c>
    </row>
    <row r="67" spans="18:20" x14ac:dyDescent="0.25">
      <c r="R67" t="str">
        <v>PR03844</v>
      </c>
      <c r="S67" t="str">
        <v>Brose</v>
      </c>
      <c r="T67" t="str">
        <v>MacCorkell</v>
      </c>
    </row>
    <row r="68" spans="18:20" x14ac:dyDescent="0.25">
      <c r="R68" t="str">
        <v>PR04366</v>
      </c>
      <c r="S68" t="str">
        <v>Carry</v>
      </c>
      <c r="T68" t="str">
        <v>Loblie</v>
      </c>
    </row>
    <row r="69" spans="18:20" x14ac:dyDescent="0.25">
      <c r="R69" t="str">
        <v>PR04380</v>
      </c>
      <c r="S69" t="str">
        <v>Van</v>
      </c>
      <c r="T69" t="str">
        <v>Tuxwell</v>
      </c>
    </row>
    <row r="70" spans="18:20" x14ac:dyDescent="0.25">
      <c r="R70" t="str">
        <v>PR04446</v>
      </c>
      <c r="S70" t="str">
        <v>Sameer</v>
      </c>
      <c r="T70" t="str">
        <v>Shashank</v>
      </c>
    </row>
    <row r="71" spans="18:20" x14ac:dyDescent="0.25">
      <c r="R71" t="str">
        <v>PR04473</v>
      </c>
      <c r="S71" t="str">
        <v>Wyn</v>
      </c>
      <c r="T71" t="str">
        <v>Treadger</v>
      </c>
    </row>
    <row r="72" spans="18:20" x14ac:dyDescent="0.25">
      <c r="R72" t="str">
        <v>PR04686</v>
      </c>
      <c r="S72" t="str">
        <v>Oona</v>
      </c>
      <c r="T72" t="str">
        <v>Donan</v>
      </c>
    </row>
    <row r="73" spans="18:20" x14ac:dyDescent="0.25">
      <c r="R73" t="str">
        <v>PR04851</v>
      </c>
      <c r="S73" t="str">
        <v>Rodina</v>
      </c>
      <c r="T73" t="str">
        <v>Drinan</v>
      </c>
    </row>
    <row r="74" spans="18:20" x14ac:dyDescent="0.25">
      <c r="R74" t="str">
        <v>SQ00105</v>
      </c>
      <c r="S74" t="str">
        <v>Sarayu</v>
      </c>
      <c r="T74" t="str">
        <v>Ragunathan</v>
      </c>
    </row>
    <row r="75" spans="18:20" x14ac:dyDescent="0.25">
      <c r="R75" t="str">
        <v>SQ00187</v>
      </c>
      <c r="S75" t="str">
        <v>Rupak</v>
      </c>
      <c r="T75" t="str">
        <v>Mehra</v>
      </c>
    </row>
    <row r="76" spans="18:20" x14ac:dyDescent="0.25">
      <c r="R76" t="str">
        <v>SQ00286</v>
      </c>
      <c r="S76" t="str">
        <v>Ilesh</v>
      </c>
      <c r="T76" t="str">
        <v>Dasgupta</v>
      </c>
    </row>
    <row r="77" spans="18:20" x14ac:dyDescent="0.25">
      <c r="R77" t="str">
        <v>SQ00450</v>
      </c>
      <c r="S77" t="str">
        <v>Louise</v>
      </c>
      <c r="T77" t="str">
        <v>Lamming</v>
      </c>
    </row>
    <row r="78" spans="18:20" x14ac:dyDescent="0.25">
      <c r="R78" t="str">
        <v>SQ00498</v>
      </c>
      <c r="S78" t="str">
        <v>Amery</v>
      </c>
      <c r="T78" t="str">
        <v>Ofer</v>
      </c>
    </row>
    <row r="79" spans="18:20" x14ac:dyDescent="0.25">
      <c r="R79" t="str">
        <v>SQ00841</v>
      </c>
      <c r="S79" t="str">
        <v>Bhuvan</v>
      </c>
      <c r="T79" t="str">
        <v>Pals</v>
      </c>
    </row>
    <row r="80" spans="18:20" x14ac:dyDescent="0.25">
      <c r="R80" t="str">
        <v>SQ00914</v>
      </c>
      <c r="S80" t="str">
        <v>Duran</v>
      </c>
      <c r="T80" t="str">
        <v>Appala</v>
      </c>
    </row>
    <row r="81" spans="18:20" x14ac:dyDescent="0.25">
      <c r="R81" t="str">
        <v>SQ00914</v>
      </c>
      <c r="S81" t="str">
        <v>Karuna</v>
      </c>
      <c r="T81" t="str">
        <v>Pashupathy</v>
      </c>
    </row>
    <row r="82" spans="18:20" x14ac:dyDescent="0.25">
      <c r="R82" t="str">
        <v>SQ00960</v>
      </c>
      <c r="S82" t="str">
        <v>Calvin</v>
      </c>
      <c r="T82" t="str">
        <v>O'Carroll</v>
      </c>
    </row>
    <row r="83" spans="18:20" x14ac:dyDescent="0.25">
      <c r="R83" t="str">
        <v>SQ01283</v>
      </c>
      <c r="S83" t="str">
        <v>Barr</v>
      </c>
      <c r="T83" t="str">
        <v>Faughny</v>
      </c>
    </row>
    <row r="84" spans="18:20" x14ac:dyDescent="0.25">
      <c r="R84" t="str">
        <v>SQ01402</v>
      </c>
      <c r="S84" t="str">
        <v>Sahaj</v>
      </c>
      <c r="T84" t="str">
        <v>Jonnalagadda</v>
      </c>
    </row>
    <row r="85" spans="18:20" x14ac:dyDescent="0.25">
      <c r="R85" t="str">
        <v>SQ01730</v>
      </c>
      <c r="S85" t="str">
        <v>Austine</v>
      </c>
      <c r="T85" t="str">
        <v>Littlewood</v>
      </c>
    </row>
    <row r="86" spans="18:20" x14ac:dyDescent="0.25">
      <c r="R86" t="str">
        <v>SQ01854</v>
      </c>
      <c r="S86" t="str">
        <v>Jessica</v>
      </c>
      <c r="T86" t="str">
        <v>Callcott</v>
      </c>
    </row>
    <row r="87" spans="18:20" x14ac:dyDescent="0.25">
      <c r="R87" t="str">
        <v>SQ02174</v>
      </c>
      <c r="S87" t="str">
        <v>Sidoney</v>
      </c>
      <c r="T87" t="str">
        <v>Yitzhok</v>
      </c>
    </row>
    <row r="88" spans="18:20" x14ac:dyDescent="0.25">
      <c r="R88" t="str">
        <v>SQ02223</v>
      </c>
      <c r="S88" t="str">
        <v>Pippy</v>
      </c>
      <c r="T88" t="str">
        <v>Shepperd</v>
      </c>
    </row>
    <row r="89" spans="18:20" x14ac:dyDescent="0.25">
      <c r="R89" t="str">
        <v>SQ02465</v>
      </c>
      <c r="S89" t="str">
        <v>Bernie</v>
      </c>
      <c r="T89" t="str">
        <v>Gorges</v>
      </c>
    </row>
    <row r="90" spans="18:20" x14ac:dyDescent="0.25">
      <c r="R90" t="str">
        <v>SQ02565</v>
      </c>
      <c r="S90" t="str">
        <v>Konstantin</v>
      </c>
      <c r="T90" t="str">
        <v>Timblett</v>
      </c>
    </row>
    <row r="91" spans="18:20" x14ac:dyDescent="0.25">
      <c r="R91" t="str">
        <v>SQ02582</v>
      </c>
      <c r="S91" t="str">
        <v>Kaishori</v>
      </c>
      <c r="T91" t="str">
        <v>Harathi</v>
      </c>
    </row>
    <row r="92" spans="18:20" x14ac:dyDescent="0.25">
      <c r="R92" t="str">
        <v>SQ02624</v>
      </c>
      <c r="S92" t="str">
        <v>Gwenneth</v>
      </c>
      <c r="T92" t="str">
        <v>Fealey</v>
      </c>
    </row>
    <row r="93" spans="18:20" x14ac:dyDescent="0.25">
      <c r="R93" t="str">
        <v>SQ02643</v>
      </c>
      <c r="S93" t="str">
        <v>Indu</v>
      </c>
      <c r="T93" t="str">
        <v>Varada</v>
      </c>
    </row>
    <row r="94" spans="18:20" x14ac:dyDescent="0.25">
      <c r="R94" t="str">
        <v>SQ02703</v>
      </c>
      <c r="S94" t="str">
        <v>Deepit</v>
      </c>
      <c r="T94" t="str">
        <v>Ranjana</v>
      </c>
    </row>
    <row r="95" spans="18:20" x14ac:dyDescent="0.25">
      <c r="R95" t="str">
        <v>SQ03024</v>
      </c>
      <c r="S95" t="str">
        <v>Inge</v>
      </c>
      <c r="T95" t="str">
        <v>Creer</v>
      </c>
    </row>
    <row r="96" spans="18:20" x14ac:dyDescent="0.25">
      <c r="R96" t="str">
        <v>SQ03024</v>
      </c>
      <c r="S96" t="str">
        <v>Inge</v>
      </c>
      <c r="T96" t="str">
        <v>Creer</v>
      </c>
    </row>
    <row r="97" spans="18:20" x14ac:dyDescent="0.25">
      <c r="R97" t="str">
        <v>SQ03321</v>
      </c>
      <c r="S97" t="str">
        <v>Gradey</v>
      </c>
      <c r="T97" t="str">
        <v>Litton</v>
      </c>
    </row>
    <row r="98" spans="18:20" x14ac:dyDescent="0.25">
      <c r="R98" t="str">
        <v>SQ03350</v>
      </c>
      <c r="S98" t="str">
        <v>Felice</v>
      </c>
      <c r="T98" t="str">
        <v>McMurty</v>
      </c>
    </row>
    <row r="99" spans="18:20" x14ac:dyDescent="0.25">
      <c r="R99" t="str">
        <v>SQ03350</v>
      </c>
      <c r="S99" t="str">
        <v>Felice</v>
      </c>
      <c r="T99" t="str">
        <v>McMurty</v>
      </c>
    </row>
    <row r="100" spans="18:20" x14ac:dyDescent="0.25">
      <c r="R100" t="str">
        <v>SQ03387</v>
      </c>
      <c r="S100" t="str">
        <v>Robinia</v>
      </c>
      <c r="T100" t="str">
        <v>Scholling</v>
      </c>
    </row>
    <row r="101" spans="18:20" x14ac:dyDescent="0.25">
      <c r="R101" t="str">
        <v>SQ03491</v>
      </c>
      <c r="S101" t="str">
        <v>Freda</v>
      </c>
      <c r="T101" t="str">
        <v>Legan</v>
      </c>
    </row>
    <row r="102" spans="18:20" x14ac:dyDescent="0.25">
      <c r="R102" t="str">
        <v>SQ03546</v>
      </c>
      <c r="S102" t="str">
        <v>Amlankusum</v>
      </c>
      <c r="T102" t="str">
        <v>Rajabhushan</v>
      </c>
    </row>
    <row r="103" spans="18:20" x14ac:dyDescent="0.25">
      <c r="R103" t="str">
        <v>SQ03625</v>
      </c>
      <c r="S103" t="str">
        <v>Fidela</v>
      </c>
      <c r="T103" t="str">
        <v>Artis</v>
      </c>
    </row>
    <row r="104" spans="18:20" x14ac:dyDescent="0.25">
      <c r="R104" t="str">
        <v>SQ03626</v>
      </c>
      <c r="S104" t="str">
        <v>Krishnakanta</v>
      </c>
      <c r="T104" t="str">
        <v>Vellanki</v>
      </c>
    </row>
    <row r="105" spans="18:20" x14ac:dyDescent="0.25">
      <c r="R105" t="str">
        <v>SQ04437</v>
      </c>
      <c r="S105" t="str">
        <v>Hephzibah</v>
      </c>
      <c r="T105" t="str">
        <v>Summerell</v>
      </c>
    </row>
    <row r="106" spans="18:20" x14ac:dyDescent="0.25">
      <c r="R106" t="str">
        <v>SQ04612</v>
      </c>
      <c r="S106" t="str">
        <v>Mick</v>
      </c>
      <c r="T106" t="str">
        <v>Spraberry</v>
      </c>
    </row>
    <row r="107" spans="18:20" x14ac:dyDescent="0.25">
      <c r="R107" t="str">
        <v>SQ04613</v>
      </c>
      <c r="S107" t="str">
        <v>Sarojini</v>
      </c>
      <c r="T107" t="str">
        <v>Naueshwara</v>
      </c>
    </row>
    <row r="108" spans="18:20" x14ac:dyDescent="0.25">
      <c r="R108" t="str">
        <v>SQ04960</v>
      </c>
      <c r="S108" t="str">
        <v>Shubhra</v>
      </c>
      <c r="T108" t="str">
        <v>Potla</v>
      </c>
    </row>
    <row r="109" spans="18:20" x14ac:dyDescent="0.25">
      <c r="R109" t="str">
        <v>TN00083</v>
      </c>
      <c r="S109" t="str">
        <v>Chandana</v>
      </c>
      <c r="T109" t="str">
        <v>Sannidhi</v>
      </c>
    </row>
    <row r="110" spans="18:20" x14ac:dyDescent="0.25">
      <c r="R110" t="str">
        <v>TN00182</v>
      </c>
      <c r="S110" t="str">
        <v>Camilla</v>
      </c>
      <c r="T110" t="str">
        <v>Castle</v>
      </c>
    </row>
    <row r="111" spans="18:20" x14ac:dyDescent="0.25">
      <c r="R111" t="str">
        <v>TN00214</v>
      </c>
      <c r="S111" t="str">
        <v>Devsena</v>
      </c>
      <c r="T111" t="str">
        <v>Veluvalapalli</v>
      </c>
    </row>
    <row r="112" spans="18:20" x14ac:dyDescent="0.25">
      <c r="R112" t="str">
        <v>TN00214</v>
      </c>
      <c r="S112" t="str">
        <v>Hemavati</v>
      </c>
      <c r="T112" t="str">
        <v>Muthiah</v>
      </c>
    </row>
    <row r="113" spans="18:20" x14ac:dyDescent="0.25">
      <c r="R113" t="str">
        <v>TN00227</v>
      </c>
      <c r="S113" t="str">
        <v>Raghuveer</v>
      </c>
      <c r="T113" t="str">
        <v>Yettugunna</v>
      </c>
    </row>
    <row r="114" spans="18:20" x14ac:dyDescent="0.25">
      <c r="R114" t="str">
        <v>TN00258</v>
      </c>
      <c r="S114" t="str">
        <v>Joyce</v>
      </c>
      <c r="T114" t="str">
        <v>Leyband</v>
      </c>
    </row>
    <row r="115" spans="18:20" x14ac:dyDescent="0.25">
      <c r="R115" t="str">
        <v>TN00328</v>
      </c>
      <c r="S115" t="str">
        <v>Jeannie</v>
      </c>
      <c r="T115" t="str">
        <v>Petracco</v>
      </c>
    </row>
    <row r="116" spans="18:20" x14ac:dyDescent="0.25">
      <c r="R116" t="str">
        <v>TN00579</v>
      </c>
      <c r="S116" t="str">
        <v>Rafaelita</v>
      </c>
      <c r="T116" t="str">
        <v>Blaksland</v>
      </c>
    </row>
    <row r="117" spans="18:20" x14ac:dyDescent="0.25">
      <c r="R117" t="str">
        <v>TN00698</v>
      </c>
      <c r="S117" t="str">
        <v>Barbara-anne</v>
      </c>
      <c r="T117" t="str">
        <v>Kenchington</v>
      </c>
    </row>
    <row r="118" spans="18:20" x14ac:dyDescent="0.25">
      <c r="R118" t="str">
        <v>TN00727</v>
      </c>
      <c r="S118" t="str">
        <v>Dulsea</v>
      </c>
      <c r="T118" t="str">
        <v>Folkes</v>
      </c>
    </row>
    <row r="119" spans="18:20" x14ac:dyDescent="0.25">
      <c r="R119" t="str">
        <v>TN00890</v>
      </c>
      <c r="S119" t="str">
        <v>Mayur</v>
      </c>
      <c r="T119" t="str">
        <v>Kousika</v>
      </c>
    </row>
    <row r="120" spans="18:20" x14ac:dyDescent="0.25">
      <c r="R120" t="str">
        <v>TN01281</v>
      </c>
      <c r="S120" t="str">
        <v>Cletus</v>
      </c>
      <c r="T120" t="str">
        <v>McGarahan</v>
      </c>
    </row>
    <row r="121" spans="18:20" x14ac:dyDescent="0.25">
      <c r="R121" t="str">
        <v>TN01601</v>
      </c>
      <c r="S121" t="str">
        <v>Melva</v>
      </c>
      <c r="T121" t="str">
        <v>Jickells</v>
      </c>
    </row>
    <row r="122" spans="18:20" x14ac:dyDescent="0.25">
      <c r="R122" t="str">
        <v>TN01601</v>
      </c>
      <c r="S122" t="str">
        <v>Melva</v>
      </c>
      <c r="T122" t="str">
        <v>Jickells</v>
      </c>
    </row>
    <row r="123" spans="18:20" x14ac:dyDescent="0.25">
      <c r="R123" t="str">
        <v>TN02570</v>
      </c>
      <c r="S123" t="str">
        <v>Grady</v>
      </c>
      <c r="T123" t="str">
        <v>Rochelle</v>
      </c>
    </row>
    <row r="124" spans="18:20" x14ac:dyDescent="0.25">
      <c r="R124" t="str">
        <v>TN02570</v>
      </c>
      <c r="S124" t="str">
        <v>Grady</v>
      </c>
      <c r="T124" t="str">
        <v>Rochelle</v>
      </c>
    </row>
    <row r="125" spans="18:20" x14ac:dyDescent="0.25">
      <c r="R125" t="str">
        <v>TN02727</v>
      </c>
      <c r="S125" t="str">
        <v>Wald</v>
      </c>
      <c r="T125" t="str">
        <v>Bountiff</v>
      </c>
    </row>
    <row r="126" spans="18:20" x14ac:dyDescent="0.25">
      <c r="R126" t="str">
        <v>TN02749</v>
      </c>
      <c r="S126" t="str">
        <v>Parasuramudu</v>
      </c>
      <c r="T126" t="str">
        <v>Jamakayala</v>
      </c>
    </row>
    <row r="127" spans="18:20" x14ac:dyDescent="0.25">
      <c r="R127" t="str">
        <v>TN02798</v>
      </c>
      <c r="S127" t="str">
        <v>Krittika</v>
      </c>
      <c r="T127" t="str">
        <v>Gaekwad</v>
      </c>
    </row>
    <row r="128" spans="18:20" x14ac:dyDescent="0.25">
      <c r="R128" t="str">
        <v>TN02883</v>
      </c>
      <c r="S128" t="str">
        <v>John</v>
      </c>
      <c r="T128" t="str">
        <v>Joseph</v>
      </c>
    </row>
    <row r="129" spans="18:20" x14ac:dyDescent="0.25">
      <c r="R129" t="str">
        <v>TN03032</v>
      </c>
      <c r="S129" t="str">
        <v>Jaipal</v>
      </c>
      <c r="T129" t="str">
        <v>Potanapudi</v>
      </c>
    </row>
    <row r="130" spans="18:20" x14ac:dyDescent="0.25">
      <c r="R130" t="str">
        <v>TN03032</v>
      </c>
      <c r="S130" t="str">
        <v>Fullara</v>
      </c>
      <c r="T130" t="str">
        <v>Sushanti</v>
      </c>
    </row>
    <row r="131" spans="18:20" x14ac:dyDescent="0.25">
      <c r="R131" t="str">
        <v>TN03169</v>
      </c>
      <c r="S131" t="str">
        <v>Doe</v>
      </c>
      <c r="T131" t="str">
        <v>Clubley</v>
      </c>
    </row>
    <row r="132" spans="18:20" x14ac:dyDescent="0.25">
      <c r="R132" t="str">
        <v>TN03169</v>
      </c>
      <c r="S132" t="str">
        <v>Doe</v>
      </c>
      <c r="T132" t="str">
        <v>Clubley</v>
      </c>
    </row>
    <row r="133" spans="18:20" x14ac:dyDescent="0.25">
      <c r="R133" t="str">
        <v>TN03575</v>
      </c>
      <c r="S133" t="str">
        <v>Janina</v>
      </c>
      <c r="T133" t="str">
        <v>Wolverson</v>
      </c>
    </row>
    <row r="134" spans="18:20" x14ac:dyDescent="0.25">
      <c r="R134" t="str">
        <v>TN03575</v>
      </c>
      <c r="S134" t="str">
        <v>Janina</v>
      </c>
      <c r="T134" t="str">
        <v>Wolverson</v>
      </c>
    </row>
    <row r="135" spans="18:20" x14ac:dyDescent="0.25">
      <c r="R135" t="str">
        <v>TN04067</v>
      </c>
      <c r="S135" t="str">
        <v>Lea</v>
      </c>
      <c r="T135" t="str">
        <v>Chaplin</v>
      </c>
    </row>
    <row r="136" spans="18:20" x14ac:dyDescent="0.25">
      <c r="R136" t="str">
        <v>TN04166</v>
      </c>
      <c r="S136" t="str">
        <v>Tadio</v>
      </c>
      <c r="T136" t="str">
        <v>Dowdle</v>
      </c>
    </row>
    <row r="137" spans="18:20" x14ac:dyDescent="0.25">
      <c r="R137" t="str">
        <v>TN04175</v>
      </c>
      <c r="S137" t="str">
        <v>Hinda</v>
      </c>
      <c r="T137" t="str">
        <v>Label</v>
      </c>
    </row>
    <row r="138" spans="18:20" x14ac:dyDescent="0.25">
      <c r="R138" t="str">
        <v>TN04246</v>
      </c>
      <c r="S138" t="str">
        <v>Shaylyn</v>
      </c>
      <c r="T138" t="str">
        <v>Ransbury</v>
      </c>
    </row>
    <row r="139" spans="18:20" x14ac:dyDescent="0.25">
      <c r="R139" t="str">
        <v>TN04265</v>
      </c>
      <c r="S139" t="str">
        <v>Rushil</v>
      </c>
      <c r="T139" t="str">
        <v>Kripa</v>
      </c>
    </row>
    <row r="140" spans="18:20" x14ac:dyDescent="0.25">
      <c r="R140" t="str">
        <v>TN04740</v>
      </c>
      <c r="S140" t="str">
        <v>Tristam</v>
      </c>
      <c r="T140" t="str">
        <v>Cuming</v>
      </c>
    </row>
    <row r="141" spans="18:20" x14ac:dyDescent="0.25">
      <c r="R141" t="str">
        <v>TN04775</v>
      </c>
      <c r="S141" t="str">
        <v>Hridaynath</v>
      </c>
      <c r="T141" t="str">
        <v>Tendulkar</v>
      </c>
    </row>
    <row r="142" spans="18:20" x14ac:dyDescent="0.25">
      <c r="R142" t="str">
        <v>VT00194</v>
      </c>
      <c r="S142" t="str">
        <v>Violante</v>
      </c>
      <c r="T142" t="str">
        <v>Courtonne</v>
      </c>
    </row>
    <row r="143" spans="18:20" x14ac:dyDescent="0.25">
      <c r="R143" t="str">
        <v>VT00578</v>
      </c>
      <c r="S143" t="str">
        <v>Magnum</v>
      </c>
      <c r="T143" t="str">
        <v>Locksley</v>
      </c>
    </row>
    <row r="144" spans="18:20" x14ac:dyDescent="0.25">
      <c r="R144" t="str">
        <v>VT00596</v>
      </c>
      <c r="S144" t="str">
        <v>Letisha</v>
      </c>
      <c r="T144" t="str">
        <v>Carrett</v>
      </c>
    </row>
    <row r="145" spans="18:20" x14ac:dyDescent="0.25">
      <c r="R145" t="str">
        <v>VT00596</v>
      </c>
      <c r="S145" t="str">
        <v>Letisha</v>
      </c>
      <c r="T145" t="str">
        <v>Carrett</v>
      </c>
    </row>
    <row r="146" spans="18:20" x14ac:dyDescent="0.25">
      <c r="R146" t="str">
        <v>VT00740</v>
      </c>
      <c r="S146" t="str">
        <v>Chitrasen</v>
      </c>
      <c r="T146" t="str">
        <v>Laul</v>
      </c>
    </row>
    <row r="147" spans="18:20" x14ac:dyDescent="0.25">
      <c r="R147" t="str">
        <v>VT01249</v>
      </c>
      <c r="S147" t="str">
        <v>Brendan</v>
      </c>
      <c r="T147" t="str">
        <v>Edgeller</v>
      </c>
    </row>
    <row r="148" spans="18:20" x14ac:dyDescent="0.25">
      <c r="R148" t="str">
        <v>VT01323</v>
      </c>
      <c r="S148" t="str">
        <v>Mardav</v>
      </c>
      <c r="T148" t="str">
        <v>Ramaswami</v>
      </c>
    </row>
    <row r="149" spans="18:20" x14ac:dyDescent="0.25">
      <c r="R149" t="str">
        <v>VT01523</v>
      </c>
      <c r="S149" t="str">
        <v>Charmane</v>
      </c>
      <c r="T149" t="str">
        <v>Heistermann</v>
      </c>
    </row>
    <row r="150" spans="18:20" x14ac:dyDescent="0.25">
      <c r="R150" t="str">
        <v>VT01610</v>
      </c>
      <c r="S150" t="str">
        <v>Dhruv</v>
      </c>
      <c r="T150" t="str">
        <v>Manjunath</v>
      </c>
    </row>
    <row r="151" spans="18:20" x14ac:dyDescent="0.25">
      <c r="R151" t="str">
        <v>VT01610</v>
      </c>
      <c r="S151" t="str">
        <v>Kunja</v>
      </c>
      <c r="T151" t="str">
        <v>Prashanta</v>
      </c>
    </row>
    <row r="152" spans="18:20" x14ac:dyDescent="0.25">
      <c r="R152" t="str">
        <v>VT01684</v>
      </c>
      <c r="S152" t="str">
        <v>Audry</v>
      </c>
      <c r="T152" t="str">
        <v>Yu</v>
      </c>
    </row>
    <row r="153" spans="18:20" x14ac:dyDescent="0.25">
      <c r="R153" t="str">
        <v>VT01740</v>
      </c>
      <c r="S153" t="str">
        <v>Ginger</v>
      </c>
      <c r="T153" t="str">
        <v>Myott</v>
      </c>
    </row>
    <row r="154" spans="18:20" x14ac:dyDescent="0.25">
      <c r="R154" t="str">
        <v>VT01803</v>
      </c>
      <c r="S154" t="str">
        <v>Freddy</v>
      </c>
      <c r="T154" t="str">
        <v>Linford</v>
      </c>
    </row>
    <row r="155" spans="18:20" x14ac:dyDescent="0.25">
      <c r="R155" t="str">
        <v>VT02118</v>
      </c>
      <c r="S155" t="str">
        <v>Oorjit</v>
      </c>
      <c r="T155" t="str">
        <v>Nandanavanam</v>
      </c>
    </row>
    <row r="156" spans="18:20" x14ac:dyDescent="0.25">
      <c r="R156" t="str">
        <v>VT02260</v>
      </c>
      <c r="S156" t="str">
        <v>Rhiamon</v>
      </c>
      <c r="T156" t="str">
        <v>Mollison</v>
      </c>
    </row>
    <row r="157" spans="18:20" x14ac:dyDescent="0.25">
      <c r="R157" t="str">
        <v>VT02319</v>
      </c>
      <c r="S157" t="str">
        <v>Tarala</v>
      </c>
      <c r="T157" t="str">
        <v>Vishaal</v>
      </c>
    </row>
    <row r="158" spans="18:20" x14ac:dyDescent="0.25">
      <c r="R158" t="str">
        <v>VT02374</v>
      </c>
      <c r="S158" t="str">
        <v>Delphine</v>
      </c>
      <c r="T158" t="str">
        <v>Jewis</v>
      </c>
    </row>
    <row r="159" spans="18:20" x14ac:dyDescent="0.25">
      <c r="R159" t="str">
        <v>VT02374</v>
      </c>
      <c r="S159" t="str">
        <v>Delphine</v>
      </c>
      <c r="T159" t="str">
        <v>Jewis</v>
      </c>
    </row>
    <row r="160" spans="18:20" x14ac:dyDescent="0.25">
      <c r="R160" t="str">
        <v>VT02532</v>
      </c>
      <c r="S160" t="str">
        <v>Adey</v>
      </c>
      <c r="T160" t="str">
        <v>Ryal</v>
      </c>
    </row>
    <row r="161" spans="18:20" x14ac:dyDescent="0.25">
      <c r="R161" t="str">
        <v>VT03701</v>
      </c>
      <c r="S161" t="str">
        <v>Narois</v>
      </c>
      <c r="T161" t="str">
        <v>Motiwala</v>
      </c>
    </row>
    <row r="162" spans="18:20" x14ac:dyDescent="0.25">
      <c r="R162" t="str">
        <v>VT03988</v>
      </c>
      <c r="S162" t="str">
        <v>Venkat</v>
      </c>
      <c r="T162" t="str">
        <v>Kodi</v>
      </c>
    </row>
    <row r="163" spans="18:20" x14ac:dyDescent="0.25">
      <c r="R163" t="str">
        <v>VT04093</v>
      </c>
      <c r="S163" t="str">
        <v>Prasanna</v>
      </c>
      <c r="T163" t="str">
        <v>Lakshmi</v>
      </c>
    </row>
    <row r="164" spans="18:20" x14ac:dyDescent="0.25">
      <c r="R164" t="str">
        <v>VT04093</v>
      </c>
      <c r="S164" t="str">
        <v>Baruna</v>
      </c>
      <c r="T164" t="str">
        <v>Ogale</v>
      </c>
    </row>
    <row r="165" spans="18:20" x14ac:dyDescent="0.25">
      <c r="R165" t="str">
        <v>VT04415</v>
      </c>
      <c r="S165" t="str">
        <v>Malory</v>
      </c>
      <c r="T165" t="str">
        <v>Biles</v>
      </c>
    </row>
    <row r="166" spans="18:20" x14ac:dyDescent="0.25">
      <c r="R166" t="str">
        <v>VT04467</v>
      </c>
      <c r="S166" t="str">
        <v>Amal</v>
      </c>
      <c r="T166" t="str">
        <v>Nimesh</v>
      </c>
    </row>
    <row r="167" spans="18:20" x14ac:dyDescent="0.25">
      <c r="R167" t="str">
        <v>VT04552</v>
      </c>
      <c r="S167" t="str">
        <v>Theresita</v>
      </c>
      <c r="T167" t="str">
        <v>Chasmer</v>
      </c>
    </row>
    <row r="168" spans="18:20" x14ac:dyDescent="0.25">
      <c r="R168" t="str">
        <v>VT04681</v>
      </c>
      <c r="S168" t="str">
        <v>Nickolai</v>
      </c>
      <c r="T168" t="str">
        <v>Artin</v>
      </c>
    </row>
    <row r="169" spans="18:20" x14ac:dyDescent="0.25">
      <c r="R169" t="str">
        <v>VT04905</v>
      </c>
      <c r="S169" t="str">
        <v>Suchira</v>
      </c>
      <c r="T169" t="str">
        <v>Bhanupriya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4628-D209-420A-81F5-67D3292DB45C}">
  <dimension ref="B2:I20"/>
  <sheetViews>
    <sheetView tabSelected="1" workbookViewId="0">
      <selection activeCell="J12" sqref="J12"/>
    </sheetView>
  </sheetViews>
  <sheetFormatPr defaultRowHeight="15" x14ac:dyDescent="0.25"/>
  <cols>
    <col min="2" max="2" width="25.28515625" customWidth="1"/>
    <col min="3" max="3" width="12.42578125" customWidth="1"/>
    <col min="4" max="4" width="14.85546875" customWidth="1"/>
    <col min="5" max="5" width="11" customWidth="1"/>
    <col min="6" max="6" width="7.42578125" customWidth="1"/>
    <col min="7" max="7" width="13" customWidth="1"/>
    <col min="8" max="8" width="8.140625" customWidth="1"/>
    <col min="9" max="9" width="7.5703125" customWidth="1"/>
  </cols>
  <sheetData>
    <row r="2" spans="2:9" x14ac:dyDescent="0.25">
      <c r="B2" s="26" t="s">
        <v>756</v>
      </c>
    </row>
    <row r="4" spans="2:9" x14ac:dyDescent="0.25">
      <c r="B4" s="41" t="s">
        <v>823</v>
      </c>
      <c r="C4" s="41">
        <f>COUNTA(staff[Emp ID])</f>
        <v>260</v>
      </c>
      <c r="D4" s="45">
        <f>AVERAGE(staff[Salary])</f>
        <v>73861.325230769246</v>
      </c>
      <c r="E4" s="41"/>
      <c r="F4" s="41"/>
      <c r="G4" s="41">
        <f>MAX(staff[Salary])</f>
        <v>120000</v>
      </c>
    </row>
    <row r="5" spans="2:9" ht="8.25" customHeight="1" x14ac:dyDescent="0.25"/>
    <row r="6" spans="2:9" ht="33" customHeight="1" x14ac:dyDescent="0.25">
      <c r="B6" s="42" t="s">
        <v>824</v>
      </c>
      <c r="C6" s="42" t="s">
        <v>825</v>
      </c>
      <c r="D6" s="42" t="s">
        <v>828</v>
      </c>
      <c r="E6" s="50" t="s">
        <v>826</v>
      </c>
      <c r="F6" s="50"/>
      <c r="G6" s="44" t="s">
        <v>827</v>
      </c>
      <c r="H6" s="44" t="s">
        <v>829</v>
      </c>
      <c r="I6" s="49" t="s">
        <v>830</v>
      </c>
    </row>
    <row r="7" spans="2:9" x14ac:dyDescent="0.25">
      <c r="B7" t="str" cm="1">
        <f t="array" ref="B7:B19">_xlfn._xlws.SORT(_xlfn.UNIQUE(staff[Department]))</f>
        <v>Accounting</v>
      </c>
      <c r="C7" cm="1">
        <f t="array" ref="C7:C19">COUNTIF(staff[Department],_xlfn.ANCHORARRAY(B7))</f>
        <v>26</v>
      </c>
      <c r="D7" s="43" cm="1">
        <f t="array" ref="D7:D19">AVERAGEIFS(staff[Salary],staff[Department],_xlfn.ANCHORARRAY(B7))</f>
        <v>69806.945769230777</v>
      </c>
      <c r="E7" s="46" cm="1">
        <f t="array" ref="E7:E19">_xlfn.ANCHORARRAY(D7)-D4</f>
        <v>-4054.3794615384686</v>
      </c>
      <c r="F7" s="47" cm="1">
        <f t="array" ref="F7:F19">_xlfn.ANCHORARRAY(E7)</f>
        <v>-4054.3794615384686</v>
      </c>
      <c r="G7" s="48" cm="1">
        <f t="array" ref="G7:G19">_xlfn.MAXIFS(staff[Salary],staff[Department],_xlfn.ANCHORARRAY(B7))</f>
        <v>119022.49</v>
      </c>
      <c r="H7" cm="1">
        <f t="array" ref="H7">MEDIAN(_xlfn._xlws.FILTER(staff[Salary],staff[Department]=B7))</f>
        <v>69025.614999999991</v>
      </c>
      <c r="I7" s="51" cm="1">
        <f t="array" ref="I7:I19">COUNTIFS(staff[Department],_xlfn.ANCHORARRAY(B7),staff[Gender],"Female")/COUNTIF(staff[Department],_xlfn.ANCHORARRAY(B7))</f>
        <v>0.34615384615384615</v>
      </c>
    </row>
    <row r="8" spans="2:9" x14ac:dyDescent="0.25">
      <c r="B8" t="str">
        <v>Business Development</v>
      </c>
      <c r="C8">
        <v>24</v>
      </c>
      <c r="D8" s="43">
        <v>80124.239583333358</v>
      </c>
      <c r="E8" s="46">
        <v>6262.9143525641121</v>
      </c>
      <c r="F8" s="47">
        <v>6262.9143525641121</v>
      </c>
      <c r="G8" s="43">
        <v>110042.37</v>
      </c>
      <c r="H8" cm="1">
        <f t="array" ref="H8">MEDIAN(_xlfn._xlws.FILTER(staff[Salary],staff[Department]=B8))</f>
        <v>80695.740000000005</v>
      </c>
      <c r="I8" s="51">
        <v>0.375</v>
      </c>
    </row>
    <row r="9" spans="2:9" x14ac:dyDescent="0.25">
      <c r="B9" t="str">
        <v>Business Growth</v>
      </c>
      <c r="C9">
        <v>2</v>
      </c>
      <c r="D9" s="43">
        <v>75672.600000000006</v>
      </c>
      <c r="E9" s="46">
        <v>1811.2747692307603</v>
      </c>
      <c r="F9" s="47">
        <v>1811.2747692307603</v>
      </c>
      <c r="G9" s="43">
        <v>80695.740000000005</v>
      </c>
      <c r="H9" cm="1">
        <f t="array" ref="H9">MEDIAN(_xlfn._xlws.FILTER(staff[Salary],staff[Department]=B9))</f>
        <v>75672.600000000006</v>
      </c>
      <c r="I9" s="51">
        <v>1</v>
      </c>
    </row>
    <row r="10" spans="2:9" x14ac:dyDescent="0.25">
      <c r="B10" t="str">
        <v>Engineering</v>
      </c>
      <c r="C10">
        <v>26</v>
      </c>
      <c r="D10" s="43">
        <v>81976.441923076913</v>
      </c>
      <c r="E10" s="46">
        <v>8115.1166923076671</v>
      </c>
      <c r="F10" s="47">
        <v>8115.1166923076671</v>
      </c>
      <c r="G10" s="43">
        <v>120000</v>
      </c>
      <c r="H10" cm="1">
        <f t="array" ref="H10">MEDIAN(_xlfn._xlws.FILTER(staff[Salary],staff[Department]=B10))</f>
        <v>85332.304999999993</v>
      </c>
      <c r="I10" s="51">
        <v>0.38461538461538464</v>
      </c>
    </row>
    <row r="11" spans="2:9" x14ac:dyDescent="0.25">
      <c r="B11" t="str">
        <v>Human Resources</v>
      </c>
      <c r="C11">
        <v>22</v>
      </c>
      <c r="D11" s="43">
        <v>73109.377727272746</v>
      </c>
      <c r="E11" s="46">
        <v>-751.94750349649985</v>
      </c>
      <c r="F11" s="47">
        <v>-751.94750349649985</v>
      </c>
      <c r="G11" s="43">
        <v>103494.94</v>
      </c>
      <c r="H11" cm="1">
        <f t="array" ref="H11">MEDIAN(_xlfn._xlws.FILTER(staff[Salary],staff[Department]=B11))</f>
        <v>73182.794999999998</v>
      </c>
      <c r="I11" s="51">
        <v>0.31818181818181818</v>
      </c>
    </row>
    <row r="12" spans="2:9" x14ac:dyDescent="0.25">
      <c r="B12" t="str">
        <v>Legal</v>
      </c>
      <c r="C12">
        <v>21</v>
      </c>
      <c r="D12" s="43">
        <v>67242.51761904762</v>
      </c>
      <c r="E12" s="46">
        <v>-6618.807611721626</v>
      </c>
      <c r="F12" s="47">
        <v>-6618.807611721626</v>
      </c>
      <c r="G12" s="43">
        <v>113747.56</v>
      </c>
      <c r="H12" cm="1">
        <f t="array" ref="H12">MEDIAN(_xlfn._xlws.FILTER(staff[Salary],staff[Department]=B12))</f>
        <v>66572.58</v>
      </c>
      <c r="I12" s="51">
        <v>0.33333333333333331</v>
      </c>
    </row>
    <row r="13" spans="2:9" x14ac:dyDescent="0.25">
      <c r="B13" t="str">
        <v>Marketing</v>
      </c>
      <c r="C13">
        <v>12</v>
      </c>
      <c r="D13" s="43">
        <v>64441.299999999996</v>
      </c>
      <c r="E13" s="46">
        <v>-9420.0252307692499</v>
      </c>
      <c r="F13" s="47">
        <v>-9420.0252307692499</v>
      </c>
      <c r="G13" s="43">
        <v>104903.79</v>
      </c>
      <c r="H13" cm="1">
        <f t="array" ref="H13">MEDIAN(_xlfn._xlws.FILTER(staff[Salary],staff[Department]=B13))</f>
        <v>66961.489999999991</v>
      </c>
      <c r="I13" s="51">
        <v>0.41666666666666669</v>
      </c>
    </row>
    <row r="14" spans="2:9" x14ac:dyDescent="0.25">
      <c r="B14" t="str">
        <v>Product Management</v>
      </c>
      <c r="C14">
        <v>29</v>
      </c>
      <c r="D14" s="43">
        <v>75179.064482758593</v>
      </c>
      <c r="E14" s="46">
        <v>1317.7392519893474</v>
      </c>
      <c r="F14" s="47">
        <v>1317.7392519893474</v>
      </c>
      <c r="G14" s="43">
        <v>115191.38</v>
      </c>
      <c r="H14" cm="1">
        <f t="array" ref="H14">MEDIAN(_xlfn._xlws.FILTER(staff[Salary],staff[Department]=B14))</f>
        <v>72502.61</v>
      </c>
      <c r="I14" s="51">
        <v>0.58620689655172409</v>
      </c>
    </row>
    <row r="15" spans="2:9" x14ac:dyDescent="0.25">
      <c r="B15" t="str">
        <v>Research and Development</v>
      </c>
      <c r="C15">
        <v>18</v>
      </c>
      <c r="D15" s="43">
        <v>66910.765555555554</v>
      </c>
      <c r="E15" s="46">
        <v>-6950.5596752136917</v>
      </c>
      <c r="F15" s="47">
        <v>-6950.5596752136917</v>
      </c>
      <c r="G15" s="43">
        <v>99683.67</v>
      </c>
      <c r="H15" cm="1">
        <f t="array" ref="H15">MEDIAN(_xlfn._xlws.FILTER(staff[Salary],staff[Department]=B15))</f>
        <v>65995.375</v>
      </c>
      <c r="I15" s="51">
        <v>0.61111111111111116</v>
      </c>
    </row>
    <row r="16" spans="2:9" x14ac:dyDescent="0.25">
      <c r="B16" t="str">
        <v>Sales</v>
      </c>
      <c r="C16">
        <v>18</v>
      </c>
      <c r="D16" s="43">
        <v>71897.095555555556</v>
      </c>
      <c r="E16" s="46">
        <v>-1964.2296752136899</v>
      </c>
      <c r="F16" s="47">
        <v>-1964.2296752136899</v>
      </c>
      <c r="G16" s="43">
        <v>102129.37</v>
      </c>
      <c r="H16" cm="1">
        <f t="array" ref="H16">MEDIAN(_xlfn._xlws.FILTER(staff[Salary],staff[Department]=B16))</f>
        <v>79396.654999999999</v>
      </c>
      <c r="I16" s="51">
        <v>0.55555555555555558</v>
      </c>
    </row>
    <row r="17" spans="2:9" x14ac:dyDescent="0.25">
      <c r="B17" t="str">
        <v>Services</v>
      </c>
      <c r="C17">
        <v>21</v>
      </c>
      <c r="D17" s="43">
        <v>74673.974761904756</v>
      </c>
      <c r="E17" s="46">
        <v>812.64953113551019</v>
      </c>
      <c r="F17" s="47">
        <v>812.64953113551019</v>
      </c>
      <c r="G17" s="43">
        <v>120000</v>
      </c>
      <c r="H17" cm="1">
        <f t="array" ref="H17">MEDIAN(_xlfn._xlws.FILTER(staff[Salary],staff[Department]=B17))</f>
        <v>77096.05</v>
      </c>
      <c r="I17" s="51">
        <v>0.61904761904761907</v>
      </c>
    </row>
    <row r="18" spans="2:9" x14ac:dyDescent="0.25">
      <c r="B18" t="str">
        <v>Support</v>
      </c>
      <c r="C18">
        <v>17</v>
      </c>
      <c r="D18" s="43">
        <v>66432.455882352937</v>
      </c>
      <c r="E18" s="46">
        <v>-7428.8693484163086</v>
      </c>
      <c r="F18" s="47">
        <v>-7428.8693484163086</v>
      </c>
      <c r="G18" s="43">
        <v>104802.63</v>
      </c>
      <c r="H18" cm="1">
        <f t="array" ref="H18">MEDIAN(_xlfn._xlws.FILTER(staff[Salary],staff[Department]=B18))</f>
        <v>61214.26</v>
      </c>
      <c r="I18" s="51">
        <v>0.47058823529411764</v>
      </c>
    </row>
    <row r="19" spans="2:9" x14ac:dyDescent="0.25">
      <c r="B19" t="str">
        <v>Training</v>
      </c>
      <c r="C19">
        <v>24</v>
      </c>
      <c r="D19" s="43">
        <v>83883.965000000011</v>
      </c>
      <c r="E19" s="46">
        <v>10022.639769230766</v>
      </c>
      <c r="F19" s="47">
        <v>10022.639769230766</v>
      </c>
      <c r="G19" s="43">
        <v>116767.63</v>
      </c>
      <c r="H19" cm="1">
        <f t="array" ref="H19">MEDIAN(_xlfn._xlws.FILTER(staff[Salary],staff[Department]=B19))</f>
        <v>89569.44</v>
      </c>
      <c r="I19" s="51">
        <v>0.70833333333333337</v>
      </c>
    </row>
    <row r="20" spans="2:9" x14ac:dyDescent="0.25">
      <c r="I20" s="51"/>
    </row>
  </sheetData>
  <mergeCells count="1">
    <mergeCell ref="E6:F6"/>
  </mergeCells>
  <conditionalFormatting sqref="E7:E19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{40BE08DF-36B0-47D1-A7B6-3A4BB284A93D}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BE08DF-36B0-47D1-A7B6-3A4BB284A9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E7:E19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Concepts</vt:lpstr>
      <vt:lpstr>Data</vt:lpstr>
      <vt:lpstr>1</vt:lpstr>
      <vt:lpstr>2</vt:lpstr>
      <vt:lpstr>3</vt:lpstr>
      <vt:lpstr>4</vt:lpstr>
      <vt:lpstr>5</vt:lpstr>
      <vt:lpstr>6</vt:lpstr>
      <vt:lpstr>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Manjunath k</cp:lastModifiedBy>
  <dcterms:created xsi:type="dcterms:W3CDTF">2021-03-14T20:21:32Z</dcterms:created>
  <dcterms:modified xsi:type="dcterms:W3CDTF">2026-09-20T08:53:39Z</dcterms:modified>
</cp:coreProperties>
</file>