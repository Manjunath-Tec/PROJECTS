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ink/ink1.xml" ContentType="application/inkml+xml"/>
  <Override PartName="/xl/ink/ink2.xml" ContentType="application/inkml+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ink/ink3.xml" ContentType="application/inkml+xml"/>
  <Override PartName="/xl/ink/ink4.xml" ContentType="application/inkml+xml"/>
  <Override PartName="/xl/ink/ink5.xml" ContentType="application/inkml+xml"/>
  <Override PartName="/xl/ink/ink6.xml" ContentType="application/inkml+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ink/ink21.xml" ContentType="application/inkml+xml"/>
  <Override PartName="/xl/ink/ink22.xml" ContentType="application/inkml+xml"/>
  <Override PartName="/xl/ink/ink23.xml" ContentType="application/inkml+xml"/>
  <Override PartName="/xl/ink/ink24.xml" ContentType="application/inkml+xml"/>
  <Override PartName="/xl/ink/ink25.xml" ContentType="application/inkml+xml"/>
  <Override PartName="/xl/ink/ink26.xml" ContentType="application/inkml+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ink/ink27.xml" ContentType="application/inkml+xml"/>
  <Override PartName="/xl/ink/ink28.xml" ContentType="application/inkml+xml"/>
  <Override PartName="/xl/ink/ink29.xml" ContentType="application/inkml+xml"/>
  <Override PartName="/xl/ink/ink30.xml" ContentType="application/inkml+xml"/>
  <Override PartName="/xl/ink/ink31.xml" ContentType="application/inkml+xml"/>
  <Override PartName="/xl/ink/ink32.xml" ContentType="application/inkml+xml"/>
  <Override PartName="/xl/ink/ink33.xml" ContentType="application/inkml+xml"/>
  <Override PartName="/xl/ink/ink34.xml" ContentType="application/inkml+xml"/>
  <Override PartName="/xl/ink/ink35.xml" ContentType="application/inkml+xml"/>
  <Override PartName="/xl/ink/ink36.xml" ContentType="application/inkml+xml"/>
  <Override PartName="/xl/ink/ink37.xml" ContentType="application/inkml+xml"/>
  <Override PartName="/xl/ink/ink38.xml" ContentType="application/inkml+xml"/>
  <Override PartName="/xl/ink/ink39.xml" ContentType="application/inkml+xml"/>
  <Override PartName="/xl/ink/ink40.xml" ContentType="application/inkml+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ink/ink41.xml" ContentType="application/inkml+xml"/>
  <Override PartName="/xl/ink/ink42.xml" ContentType="application/inkml+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ink/ink43.xml" ContentType="application/inkml+xml"/>
  <Override PartName="/xl/ink/ink44.xml" ContentType="application/inkml+xml"/>
  <Override PartName="/xl/ink/ink45.xml" ContentType="application/inkml+xml"/>
  <Override PartName="/xl/ink/ink46.xml" ContentType="application/inkml+xml"/>
  <Override PartName="/xl/ink/ink47.xml" ContentType="application/inkml+xml"/>
  <Override PartName="/xl/ink/ink48.xml" ContentType="application/inkml+xml"/>
  <Override PartName="/xl/ink/ink49.xml" ContentType="application/inkml+xml"/>
  <Override PartName="/xl/ink/ink50.xml" ContentType="application/inkml+xml"/>
  <Override PartName="/xl/ink/ink51.xml" ContentType="application/inkml+xml"/>
  <Override PartName="/xl/ink/ink52.xml" ContentType="application/inkml+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9.xml" ContentType="application/vnd.openxmlformats-officedocument.spreadsheetml.pivotTable+xml"/>
  <Override PartName="/xl/drawings/drawing7.xml" ContentType="application/vnd.openxmlformats-officedocument.drawing+xml"/>
  <Override PartName="/xl/ink/ink53.xml" ContentType="application/inkml+xml"/>
  <Override PartName="/xl/ink/ink54.xml" ContentType="application/inkml+xml"/>
  <Override PartName="/xl/ink/ink55.xml" ContentType="application/inkml+xml"/>
  <Override PartName="/xl/ink/ink56.xml" ContentType="application/inkml+xml"/>
  <Override PartName="/xl/ink/ink57.xml" ContentType="application/inkml+xml"/>
  <Override PartName="/xl/ink/ink58.xml" ContentType="application/inkml+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drawings/drawing9.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ink/ink59.xml" ContentType="application/inkml+xml"/>
  <Override PartName="/xl/ink/ink60.xml" ContentType="application/inkml+xml"/>
  <Override PartName="/xl/ink/ink61.xml" ContentType="application/inkml+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09dd72a3cec08d2/Desktop/4-hour-course-xl-files/"/>
    </mc:Choice>
  </mc:AlternateContent>
  <xr:revisionPtr revIDLastSave="7618" documentId="8_{D70CFACE-AE2A-4BDA-B5D7-119642260E25}" xr6:coauthVersionLast="47" xr6:coauthVersionMax="47" xr10:uidLastSave="{018D3FB6-1005-4005-AD89-051221492B98}"/>
  <bookViews>
    <workbookView xWindow="-120" yWindow="-120" windowWidth="29040" windowHeight="15720" activeTab="1" xr2:uid="{26D4546B-D2A1-4444-8EAF-A6228F96F0C1}"/>
  </bookViews>
  <sheets>
    <sheet name="Pivots" sheetId="1" r:id="rId1"/>
    <sheet name="Report page" sheetId="12" r:id="rId2"/>
    <sheet name="All Calculation" sheetId="13" r:id="rId3"/>
    <sheet name="1,2,3" sheetId="3" r:id="rId4"/>
    <sheet name="4" sheetId="5" r:id="rId5"/>
    <sheet name="5" sheetId="6" r:id="rId6"/>
    <sheet name="6,7" sheetId="7" r:id="rId7"/>
    <sheet name="8" sheetId="9" r:id="rId8"/>
    <sheet name="9,10" sheetId="10" r:id="rId9"/>
    <sheet name="hw" sheetId="11" r:id="rId10"/>
    <sheet name="Data" sheetId="2" r:id="rId11"/>
  </sheets>
  <definedNames>
    <definedName name="_xlnm._FilterDatabase" localSheetId="10" hidden="1">Data!$B$3:$H$1003</definedName>
    <definedName name="_xlchart.v1.0" hidden="1">'All Calculation'!$E$38:$E$42</definedName>
    <definedName name="_xlchart.v1.1" hidden="1">'All Calculation'!$F$38:$F$42</definedName>
    <definedName name="_xlchart.v1.2" hidden="1">'All Calculation'!$H$37</definedName>
    <definedName name="_xlchart.v1.3" hidden="1">'All Calculation'!$H$38:$H$42</definedName>
    <definedName name="_xlcn.WorksheetConnection_05.sampledatapivotsblank.xlsxcalls1" hidden="1">Calls[]</definedName>
    <definedName name="_xlcn.WorksheetConnection_05.sampledatapivotsblank.xlsxcustomer1" hidden="1">customer[]</definedName>
    <definedName name="Slicer_Duration_Bucket">#N/A</definedName>
    <definedName name="Slicer_Representative">#N/A</definedName>
    <definedName name="Slicer_Representative1">#N/A</definedName>
    <definedName name="Slicer_Representative2">#N/A</definedName>
  </definedNames>
  <calcPr calcId="191029"/>
  <pivotCaches>
    <pivotCache cacheId="619" r:id="rId12"/>
    <pivotCache cacheId="622" r:id="rId13"/>
    <pivotCache cacheId="625" r:id="rId14"/>
    <pivotCache cacheId="635" r:id="rId15"/>
    <pivotCache cacheId="905" r:id="rId16"/>
    <pivotCache cacheId="1523" r:id="rId17"/>
    <pivotCache cacheId="1526" r:id="rId18"/>
    <pivotCache cacheId="1529" r:id="rId19"/>
    <pivotCache cacheId="1532" r:id="rId20"/>
    <pivotCache cacheId="1535" r:id="rId21"/>
  </pivotCaches>
  <extLst>
    <ext xmlns:x14="http://schemas.microsoft.com/office/spreadsheetml/2009/9/main" uri="{876F7934-8845-4945-9796-88D515C7AA90}">
      <x14:pivotCaches>
        <pivotCache cacheId="603" r:id="rId22"/>
      </x14:pivotCaches>
    </ext>
    <ext xmlns:x14="http://schemas.microsoft.com/office/spreadsheetml/2009/9/main" uri="{BBE1A952-AA13-448e-AADC-164F8A28A991}">
      <x14:slicerCaches>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customer" connection="WorksheetConnection_05.sample-data-pivots-blank.xlsx!customer"/>
          <x15:modelTable id="calls" name="calls" connection="WorksheetConnection_05.sample-data-pivots-blank.xlsx!calls"/>
        </x15:modelTables>
        <x15:modelRelationships>
          <x15:modelRelationship fromTable="calls" fromColumn="Customer ID" toTable="customer"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50" i="12" l="1"/>
  <c r="U49" i="12"/>
  <c r="U48" i="12"/>
  <c r="U47" i="12"/>
  <c r="U46" i="12"/>
  <c r="U45" i="12"/>
  <c r="U44" i="12"/>
  <c r="U43" i="12"/>
  <c r="U42" i="12"/>
  <c r="U41" i="12"/>
  <c r="U39" i="12"/>
  <c r="U38" i="12"/>
  <c r="U37" i="12"/>
  <c r="U36" i="12"/>
  <c r="U35" i="12"/>
  <c r="U34" i="12"/>
  <c r="U33" i="12"/>
  <c r="U31" i="12"/>
  <c r="T31" i="12"/>
  <c r="V31" i="12"/>
  <c r="W31" i="12"/>
  <c r="X31" i="12"/>
  <c r="Y31" i="12"/>
  <c r="Z31" i="12"/>
  <c r="T33" i="12"/>
  <c r="W33" i="12"/>
  <c r="X33" i="12"/>
  <c r="Y33" i="12"/>
  <c r="Z33" i="12"/>
  <c r="T34" i="12"/>
  <c r="V34" i="12"/>
  <c r="W34" i="12"/>
  <c r="X34" i="12"/>
  <c r="Y34" i="12"/>
  <c r="Z34" i="12"/>
  <c r="T35" i="12"/>
  <c r="V35" i="12"/>
  <c r="W35" i="12"/>
  <c r="X35" i="12"/>
  <c r="Y35" i="12"/>
  <c r="Z35" i="12"/>
  <c r="T36" i="12"/>
  <c r="V36" i="12"/>
  <c r="W36" i="12"/>
  <c r="X36" i="12"/>
  <c r="Y36" i="12"/>
  <c r="Z36" i="12"/>
  <c r="T37" i="12"/>
  <c r="V37" i="12"/>
  <c r="W37" i="12"/>
  <c r="X37" i="12"/>
  <c r="Y37" i="12"/>
  <c r="Z37" i="12"/>
  <c r="T38" i="12"/>
  <c r="V38" i="12"/>
  <c r="W38" i="12"/>
  <c r="X38" i="12"/>
  <c r="Y38" i="12"/>
  <c r="Z38" i="12"/>
  <c r="T39" i="12"/>
  <c r="V39" i="12"/>
  <c r="W39" i="12"/>
  <c r="X39" i="12"/>
  <c r="Y39" i="12"/>
  <c r="Z39" i="12"/>
  <c r="T41" i="12"/>
  <c r="V41" i="12"/>
  <c r="W41" i="12"/>
  <c r="X41" i="12"/>
  <c r="Y41" i="12"/>
  <c r="Z41" i="12"/>
  <c r="T42" i="12"/>
  <c r="V42" i="12"/>
  <c r="W42" i="12"/>
  <c r="X42" i="12"/>
  <c r="Y42" i="12"/>
  <c r="Z42" i="12"/>
  <c r="T43" i="12"/>
  <c r="V43" i="12"/>
  <c r="W43" i="12"/>
  <c r="X43" i="12"/>
  <c r="Y43" i="12"/>
  <c r="Z43" i="12"/>
  <c r="T44" i="12"/>
  <c r="V44" i="12"/>
  <c r="W44" i="12"/>
  <c r="X44" i="12"/>
  <c r="Y44" i="12"/>
  <c r="Z44" i="12"/>
  <c r="T45" i="12"/>
  <c r="V45" i="12"/>
  <c r="W45" i="12"/>
  <c r="X45" i="12"/>
  <c r="Y45" i="12"/>
  <c r="Z45" i="12"/>
  <c r="T46" i="12"/>
  <c r="V46" i="12"/>
  <c r="W46" i="12"/>
  <c r="X46" i="12"/>
  <c r="Y46" i="12"/>
  <c r="Z46" i="12"/>
  <c r="T47" i="12"/>
  <c r="V47" i="12"/>
  <c r="W47" i="12"/>
  <c r="X47" i="12"/>
  <c r="Y47" i="12"/>
  <c r="Z47" i="12"/>
  <c r="T48" i="12"/>
  <c r="V48" i="12"/>
  <c r="W48" i="12"/>
  <c r="X48" i="12"/>
  <c r="Y48" i="12"/>
  <c r="Z48" i="12"/>
  <c r="T49" i="12"/>
  <c r="V49" i="12"/>
  <c r="W49" i="12"/>
  <c r="X49" i="12"/>
  <c r="Y49" i="12"/>
  <c r="Z49" i="12"/>
  <c r="T50" i="12"/>
  <c r="V50" i="12"/>
  <c r="W50" i="12"/>
  <c r="X50" i="12"/>
  <c r="Y50" i="12"/>
  <c r="Z50" i="12"/>
  <c r="V52" i="12"/>
  <c r="W52" i="12"/>
  <c r="X52" i="12"/>
  <c r="Y52" i="12"/>
  <c r="Z52" i="12"/>
  <c r="AA52" i="12"/>
  <c r="AB52" i="12"/>
  <c r="Z30" i="12"/>
  <c r="U30" i="12"/>
  <c r="V30" i="12"/>
  <c r="W30" i="12"/>
  <c r="X30" i="12"/>
  <c r="Y30" i="12"/>
  <c r="T30" i="12"/>
  <c r="D70" i="12"/>
  <c r="F81" i="13"/>
  <c r="E38" i="13" a="1"/>
  <c r="E38" i="13" s="1"/>
  <c r="I35" i="13"/>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c r="K9" i="2" a="1"/>
  <c r="K9" i="2" s="1"/>
  <c r="K10" i="2" a="1"/>
  <c r="K10" i="2"/>
  <c r="K11" i="2" a="1"/>
  <c r="K11" i="2"/>
  <c r="K12" i="2" a="1"/>
  <c r="K12" i="2" s="1"/>
  <c r="K13" i="2" a="1"/>
  <c r="K13" i="2" s="1"/>
  <c r="K14" i="2" a="1"/>
  <c r="K14" i="2" s="1"/>
  <c r="K15" i="2" a="1"/>
  <c r="K15" i="2"/>
  <c r="K16" i="2" a="1"/>
  <c r="K16" i="2" s="1"/>
  <c r="K17" i="2" a="1"/>
  <c r="K17" i="2" s="1"/>
  <c r="K18" i="2" a="1"/>
  <c r="K18" i="2"/>
  <c r="K19" i="2" a="1"/>
  <c r="K19" i="2" s="1"/>
  <c r="K20" i="2" a="1"/>
  <c r="K20" i="2" s="1"/>
  <c r="K21" i="2" a="1"/>
  <c r="K21" i="2" s="1"/>
  <c r="K22" i="2" a="1"/>
  <c r="K22" i="2" s="1"/>
  <c r="K23" i="2" a="1"/>
  <c r="K23" i="2"/>
  <c r="K24" i="2" a="1"/>
  <c r="K24" i="2" s="1"/>
  <c r="K25" i="2" a="1"/>
  <c r="K25" i="2" s="1"/>
  <c r="K26" i="2" a="1"/>
  <c r="K26" i="2" s="1"/>
  <c r="K27" i="2" a="1"/>
  <c r="K27" i="2" s="1"/>
  <c r="K28" i="2" a="1"/>
  <c r="K28" i="2" s="1"/>
  <c r="K29" i="2" a="1"/>
  <c r="K29" i="2" s="1"/>
  <c r="K30" i="2" a="1"/>
  <c r="K30" i="2" s="1"/>
  <c r="K31" i="2" a="1"/>
  <c r="K31" i="2"/>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c r="K47" i="2" a="1"/>
  <c r="K47" i="2"/>
  <c r="K48" i="2" a="1"/>
  <c r="K48" i="2"/>
  <c r="K49" i="2" a="1"/>
  <c r="K49" i="2" s="1"/>
  <c r="K50" i="2" a="1"/>
  <c r="K50" i="2" s="1"/>
  <c r="K51" i="2" a="1"/>
  <c r="K51" i="2" s="1"/>
  <c r="K52" i="2" a="1"/>
  <c r="K52" i="2" s="1"/>
  <c r="K53" i="2" a="1"/>
  <c r="K53" i="2" s="1"/>
  <c r="K54" i="2" a="1"/>
  <c r="K54" i="2"/>
  <c r="K55" i="2" a="1"/>
  <c r="K55" i="2"/>
  <c r="K56" i="2" a="1"/>
  <c r="K56" i="2" s="1"/>
  <c r="K57" i="2" a="1"/>
  <c r="K57" i="2" s="1"/>
  <c r="K58" i="2" a="1"/>
  <c r="K58" i="2" s="1"/>
  <c r="K59" i="2" a="1"/>
  <c r="K59" i="2" s="1"/>
  <c r="K60" i="2" a="1"/>
  <c r="K60" i="2" s="1"/>
  <c r="K61" i="2" a="1"/>
  <c r="K61" i="2" s="1"/>
  <c r="K62" i="2" a="1"/>
  <c r="K62" i="2"/>
  <c r="K63" i="2" a="1"/>
  <c r="K63" i="2" s="1"/>
  <c r="K64" i="2" a="1"/>
  <c r="K64" i="2"/>
  <c r="K65" i="2" a="1"/>
  <c r="K65" i="2"/>
  <c r="K66" i="2" a="1"/>
  <c r="K66" i="2" s="1"/>
  <c r="K67" i="2" a="1"/>
  <c r="K67" i="2" s="1"/>
  <c r="K68" i="2" a="1"/>
  <c r="K68" i="2" s="1"/>
  <c r="K69" i="2" a="1"/>
  <c r="K69" i="2" s="1"/>
  <c r="K70" i="2" a="1"/>
  <c r="K70" i="2" s="1"/>
  <c r="K71" i="2" a="1"/>
  <c r="K71" i="2" s="1"/>
  <c r="K72" i="2" a="1"/>
  <c r="K72" i="2"/>
  <c r="K73" i="2" a="1"/>
  <c r="K73" i="2"/>
  <c r="K74" i="2" a="1"/>
  <c r="K74" i="2" s="1"/>
  <c r="K75" i="2" a="1"/>
  <c r="K75" i="2"/>
  <c r="K76" i="2" a="1"/>
  <c r="K76" i="2" s="1"/>
  <c r="K77" i="2" a="1"/>
  <c r="K77" i="2" s="1"/>
  <c r="K78" i="2" a="1"/>
  <c r="K78" i="2" s="1"/>
  <c r="K79" i="2" a="1"/>
  <c r="K79" i="2" s="1"/>
  <c r="K80" i="2" a="1"/>
  <c r="K80" i="2" s="1"/>
  <c r="K81" i="2" a="1"/>
  <c r="K81" i="2" s="1"/>
  <c r="K82" i="2" a="1"/>
  <c r="K82" i="2"/>
  <c r="K83" i="2" a="1"/>
  <c r="K83" i="2"/>
  <c r="K84" i="2" a="1"/>
  <c r="K84" i="2" s="1"/>
  <c r="K85" i="2" a="1"/>
  <c r="K85" i="2" s="1"/>
  <c r="K86" i="2" a="1"/>
  <c r="K86" i="2" s="1"/>
  <c r="K87" i="2" a="1"/>
  <c r="K87" i="2" s="1"/>
  <c r="K88" i="2" a="1"/>
  <c r="K88" i="2" s="1"/>
  <c r="K89" i="2" a="1"/>
  <c r="K89" i="2" s="1"/>
  <c r="K90" i="2" a="1"/>
  <c r="K90" i="2" s="1"/>
  <c r="K91" i="2" a="1"/>
  <c r="K91" i="2"/>
  <c r="K92" i="2" a="1"/>
  <c r="K92" i="2" s="1"/>
  <c r="K93" i="2" a="1"/>
  <c r="K93" i="2" s="1"/>
  <c r="K94" i="2" a="1"/>
  <c r="K94" i="2"/>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s="1"/>
  <c r="K107" i="2" a="1"/>
  <c r="K107" i="2"/>
  <c r="K108" i="2" a="1"/>
  <c r="K108" i="2" s="1"/>
  <c r="K109" i="2" a="1"/>
  <c r="K109" i="2" s="1"/>
  <c r="K110" i="2" a="1"/>
  <c r="K110" i="2"/>
  <c r="K111" i="2" a="1"/>
  <c r="K111" i="2" s="1"/>
  <c r="K112" i="2" a="1"/>
  <c r="K112" i="2"/>
  <c r="K113" i="2" a="1"/>
  <c r="K113" i="2" s="1"/>
  <c r="K114" i="2" a="1"/>
  <c r="K114" i="2" s="1"/>
  <c r="K115" i="2" a="1"/>
  <c r="K115" i="2" s="1"/>
  <c r="K116" i="2" a="1"/>
  <c r="K116" i="2" s="1"/>
  <c r="K117" i="2" a="1"/>
  <c r="K117" i="2" s="1"/>
  <c r="K118" i="2" a="1"/>
  <c r="K118" i="2" s="1"/>
  <c r="K119" i="2" a="1"/>
  <c r="K119" i="2"/>
  <c r="K120" i="2" a="1"/>
  <c r="K120" i="2"/>
  <c r="K121" i="2" a="1"/>
  <c r="K121" i="2" s="1"/>
  <c r="K122" i="2" a="1"/>
  <c r="K122" i="2" s="1"/>
  <c r="K123" i="2" a="1"/>
  <c r="K123" i="2" s="1"/>
  <c r="K124" i="2" a="1"/>
  <c r="K124" i="2" s="1"/>
  <c r="K125" i="2" a="1"/>
  <c r="K125" i="2" s="1"/>
  <c r="K126" i="2" a="1"/>
  <c r="K126" i="2" s="1"/>
  <c r="K127" i="2" a="1"/>
  <c r="K127" i="2"/>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c r="K139" i="2" a="1"/>
  <c r="K139" i="2"/>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c r="K154" i="2" a="1"/>
  <c r="K154" i="2" s="1"/>
  <c r="K155" i="2" a="1"/>
  <c r="K155" i="2"/>
  <c r="K156" i="2" a="1"/>
  <c r="K156" i="2" s="1"/>
  <c r="K157" i="2" a="1"/>
  <c r="K157" i="2" s="1"/>
  <c r="K158" i="2" a="1"/>
  <c r="K158" i="2"/>
  <c r="K159" i="2" a="1"/>
  <c r="K159" i="2" s="1"/>
  <c r="K160" i="2" a="1"/>
  <c r="K160" i="2" s="1"/>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c r="K172" i="2" a="1"/>
  <c r="K172" i="2" s="1"/>
  <c r="K173" i="2" a="1"/>
  <c r="K173" i="2" s="1"/>
  <c r="K174" i="2" a="1"/>
  <c r="K174" i="2"/>
  <c r="K175" i="2" a="1"/>
  <c r="K175" i="2"/>
  <c r="K176" i="2" a="1"/>
  <c r="K176" i="2"/>
  <c r="K177" i="2" a="1"/>
  <c r="K177" i="2" s="1"/>
  <c r="K178" i="2" a="1"/>
  <c r="K178" i="2" s="1"/>
  <c r="K179" i="2" a="1"/>
  <c r="K179" i="2" s="1"/>
  <c r="K180" i="2" a="1"/>
  <c r="K180" i="2" s="1"/>
  <c r="K181" i="2" a="1"/>
  <c r="K181" i="2" s="1"/>
  <c r="K182" i="2" a="1"/>
  <c r="K182" i="2"/>
  <c r="K183" i="2" a="1"/>
  <c r="K183" i="2" s="1"/>
  <c r="K184" i="2" a="1"/>
  <c r="K184" i="2"/>
  <c r="K185" i="2" a="1"/>
  <c r="K185" i="2" s="1"/>
  <c r="K186" i="2" a="1"/>
  <c r="K186" i="2" s="1"/>
  <c r="K187" i="2" a="1"/>
  <c r="K187" i="2" s="1"/>
  <c r="K188" i="2" a="1"/>
  <c r="K188" i="2" s="1"/>
  <c r="K189" i="2" a="1"/>
  <c r="K189" i="2" s="1"/>
  <c r="K190" i="2" a="1"/>
  <c r="K190" i="2" s="1"/>
  <c r="K191" i="2" a="1"/>
  <c r="K191" i="2" s="1"/>
  <c r="K192" i="2" a="1"/>
  <c r="K192" i="2"/>
  <c r="K193" i="2" a="1"/>
  <c r="K193" i="2"/>
  <c r="K194" i="2" a="1"/>
  <c r="K194" i="2" s="1"/>
  <c r="K195" i="2" a="1"/>
  <c r="K195" i="2" s="1"/>
  <c r="K196" i="2" a="1"/>
  <c r="K196" i="2" s="1"/>
  <c r="K197" i="2" a="1"/>
  <c r="K197" i="2" s="1"/>
  <c r="K198" i="2" a="1"/>
  <c r="K198" i="2" s="1"/>
  <c r="K199" i="2" a="1"/>
  <c r="K199" i="2" s="1"/>
  <c r="K200" i="2" a="1"/>
  <c r="K200" i="2" s="1"/>
  <c r="K201" i="2" a="1"/>
  <c r="K201" i="2" s="1"/>
  <c r="K202" i="2" a="1"/>
  <c r="K202" i="2" s="1"/>
  <c r="K203" i="2" a="1"/>
  <c r="K203" i="2"/>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c r="K218" i="2" a="1"/>
  <c r="K218" i="2"/>
  <c r="K219" i="2" a="1"/>
  <c r="K219" i="2"/>
  <c r="K220" i="2" a="1"/>
  <c r="K220" i="2" s="1"/>
  <c r="K221" i="2" a="1"/>
  <c r="K221" i="2" s="1"/>
  <c r="K222" i="2" a="1"/>
  <c r="K222" i="2"/>
  <c r="K223" i="2" a="1"/>
  <c r="K223" i="2" s="1"/>
  <c r="K224" i="2" a="1"/>
  <c r="K224" i="2" s="1"/>
  <c r="K225" i="2" a="1"/>
  <c r="K225" i="2" s="1"/>
  <c r="K226" i="2" a="1"/>
  <c r="K226" i="2"/>
  <c r="K227" i="2" a="1"/>
  <c r="K227" i="2" s="1"/>
  <c r="K228" i="2" a="1"/>
  <c r="K228" i="2" s="1"/>
  <c r="K229" i="2" a="1"/>
  <c r="K229" i="2" s="1"/>
  <c r="K230" i="2" a="1"/>
  <c r="K230" i="2" s="1"/>
  <c r="K231" i="2" a="1"/>
  <c r="K231" i="2" s="1"/>
  <c r="K232" i="2" a="1"/>
  <c r="K232" i="2" s="1"/>
  <c r="K233" i="2" a="1"/>
  <c r="K233" i="2" s="1"/>
  <c r="K234" i="2" a="1"/>
  <c r="K234" i="2" s="1"/>
  <c r="K235" i="2" a="1"/>
  <c r="K235" i="2"/>
  <c r="K236" i="2" a="1"/>
  <c r="K236" i="2" s="1"/>
  <c r="K237" i="2" a="1"/>
  <c r="K237" i="2" s="1"/>
  <c r="K238" i="2" a="1"/>
  <c r="K238" i="2" s="1"/>
  <c r="K239" i="2" a="1"/>
  <c r="K239" i="2"/>
  <c r="K240" i="2" a="1"/>
  <c r="K240" i="2"/>
  <c r="K241" i="2" a="1"/>
  <c r="K241" i="2" s="1"/>
  <c r="K242" i="2" a="1"/>
  <c r="K242" i="2" s="1"/>
  <c r="K243" i="2" a="1"/>
  <c r="K243" i="2" s="1"/>
  <c r="K244" i="2" a="1"/>
  <c r="K244" i="2" s="1"/>
  <c r="K245" i="2" a="1"/>
  <c r="K245" i="2" s="1"/>
  <c r="K246" i="2" a="1"/>
  <c r="K246" i="2" s="1"/>
  <c r="K247" i="2" a="1"/>
  <c r="K247" i="2"/>
  <c r="K248" i="2" a="1"/>
  <c r="K248" i="2" s="1"/>
  <c r="K249" i="2" a="1"/>
  <c r="K249" i="2" s="1"/>
  <c r="K250" i="2" a="1"/>
  <c r="K250" i="2" s="1"/>
  <c r="K251" i="2" a="1"/>
  <c r="K251" i="2" s="1"/>
  <c r="K252" i="2" a="1"/>
  <c r="K252" i="2" s="1"/>
  <c r="K253" i="2" a="1"/>
  <c r="K253" i="2" s="1"/>
  <c r="K254" i="2" a="1"/>
  <c r="K254" i="2" s="1"/>
  <c r="K255" i="2" a="1"/>
  <c r="K255" i="2" s="1"/>
  <c r="K256" i="2" a="1"/>
  <c r="K256" i="2" s="1"/>
  <c r="K257" i="2" a="1"/>
  <c r="K257" i="2"/>
  <c r="K258" i="2" a="1"/>
  <c r="K258" i="2" s="1"/>
  <c r="K259" i="2" a="1"/>
  <c r="K259" i="2" s="1"/>
  <c r="K260" i="2" a="1"/>
  <c r="K260" i="2" s="1"/>
  <c r="K261" i="2" a="1"/>
  <c r="K261" i="2" s="1"/>
  <c r="K262" i="2" a="1"/>
  <c r="K262" i="2" s="1"/>
  <c r="K263" i="2" a="1"/>
  <c r="K263" i="2" s="1"/>
  <c r="K264" i="2" a="1"/>
  <c r="K264" i="2" s="1"/>
  <c r="K265" i="2" a="1"/>
  <c r="K265" i="2" s="1"/>
  <c r="K266" i="2" a="1"/>
  <c r="K266" i="2" s="1"/>
  <c r="K267" i="2" a="1"/>
  <c r="K267" i="2"/>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c r="K282" i="2" a="1"/>
  <c r="K282" i="2"/>
  <c r="K283" i="2" a="1"/>
  <c r="K283" i="2"/>
  <c r="K284" i="2" a="1"/>
  <c r="K284" i="2" s="1"/>
  <c r="K285" i="2" a="1"/>
  <c r="K285" i="2" s="1"/>
  <c r="K286" i="2" a="1"/>
  <c r="K286" i="2"/>
  <c r="K287" i="2" a="1"/>
  <c r="K287" i="2" s="1"/>
  <c r="K288" i="2" a="1"/>
  <c r="K288" i="2" s="1"/>
  <c r="K289" i="2" a="1"/>
  <c r="K289" i="2" s="1"/>
  <c r="K290" i="2" a="1"/>
  <c r="K290" i="2"/>
  <c r="K291" i="2" a="1"/>
  <c r="K291" i="2"/>
  <c r="K292" i="2" a="1"/>
  <c r="K292" i="2" s="1"/>
  <c r="K293" i="2" a="1"/>
  <c r="K293" i="2" s="1"/>
  <c r="K294" i="2" a="1"/>
  <c r="K294" i="2"/>
  <c r="K295" i="2" a="1"/>
  <c r="K295" i="2" s="1"/>
  <c r="K296" i="2" a="1"/>
  <c r="K296" i="2" s="1"/>
  <c r="K297" i="2" a="1"/>
  <c r="K297" i="2" s="1"/>
  <c r="K298" i="2" a="1"/>
  <c r="K298" i="2" s="1"/>
  <c r="K299" i="2" a="1"/>
  <c r="K299" i="2" s="1"/>
  <c r="K300" i="2" a="1"/>
  <c r="K300" i="2" s="1"/>
  <c r="K301" i="2" a="1"/>
  <c r="K301" i="2" s="1"/>
  <c r="K302" i="2" a="1"/>
  <c r="K302" i="2"/>
  <c r="K303" i="2" a="1"/>
  <c r="K303" i="2"/>
  <c r="K304" i="2" a="1"/>
  <c r="K304" i="2"/>
  <c r="K305" i="2" a="1"/>
  <c r="K305" i="2" s="1"/>
  <c r="K306" i="2" a="1"/>
  <c r="K306" i="2" s="1"/>
  <c r="K307" i="2" a="1"/>
  <c r="K307" i="2" s="1"/>
  <c r="K308" i="2" a="1"/>
  <c r="K308" i="2" s="1"/>
  <c r="K309" i="2" a="1"/>
  <c r="K309" i="2" s="1"/>
  <c r="K310" i="2" a="1"/>
  <c r="K310" i="2" s="1"/>
  <c r="K311" i="2" a="1"/>
  <c r="K311" i="2" s="1"/>
  <c r="K312" i="2" a="1"/>
  <c r="K312" i="2"/>
  <c r="K313" i="2" a="1"/>
  <c r="K313" i="2"/>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c r="K328" i="2" a="1"/>
  <c r="K328" i="2" s="1"/>
  <c r="K329" i="2" a="1"/>
  <c r="K329" i="2" s="1"/>
  <c r="K330" i="2" a="1"/>
  <c r="K330" i="2" s="1"/>
  <c r="K331" i="2" a="1"/>
  <c r="K331" i="2" s="1"/>
  <c r="K332" i="2" a="1"/>
  <c r="K332" i="2" s="1"/>
  <c r="K333" i="2" a="1"/>
  <c r="K333" i="2" s="1"/>
  <c r="K334" i="2" a="1"/>
  <c r="K334" i="2" s="1"/>
  <c r="K335" i="2" a="1"/>
  <c r="K335" i="2" s="1"/>
  <c r="K336" i="2" a="1"/>
  <c r="K336" i="2" s="1"/>
  <c r="K337" i="2" a="1"/>
  <c r="K337" i="2"/>
  <c r="K338" i="2" a="1"/>
  <c r="K338" i="2" s="1"/>
  <c r="K339" i="2" a="1"/>
  <c r="K339" i="2" s="1"/>
  <c r="K340" i="2" a="1"/>
  <c r="K340" i="2" s="1"/>
  <c r="K341" i="2" a="1"/>
  <c r="K341" i="2" s="1"/>
  <c r="K342" i="2" a="1"/>
  <c r="K342" i="2" s="1"/>
  <c r="K343" i="2" a="1"/>
  <c r="K343" i="2" s="1"/>
  <c r="K344" i="2" a="1"/>
  <c r="K344" i="2" s="1"/>
  <c r="K345" i="2" a="1"/>
  <c r="K345" i="2"/>
  <c r="K346" i="2" a="1"/>
  <c r="K346" i="2"/>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c r="K359" i="2" a="1"/>
  <c r="K359" i="2" s="1"/>
  <c r="K360" i="2" a="1"/>
  <c r="K360" i="2" s="1"/>
  <c r="K361" i="2" a="1"/>
  <c r="K361" i="2" s="1"/>
  <c r="K362" i="2" a="1"/>
  <c r="K362" i="2" s="1"/>
  <c r="K363" i="2" a="1"/>
  <c r="K363" i="2"/>
  <c r="K364" i="2" a="1"/>
  <c r="K364" i="2" s="1"/>
  <c r="K365" i="2" a="1"/>
  <c r="K365" i="2" s="1"/>
  <c r="K366" i="2" a="1"/>
  <c r="K366" i="2" s="1"/>
  <c r="K367" i="2" a="1"/>
  <c r="K367" i="2"/>
  <c r="K368" i="2" a="1"/>
  <c r="K368" i="2"/>
  <c r="K369" i="2" a="1"/>
  <c r="K369" i="2" s="1"/>
  <c r="K370" i="2" a="1"/>
  <c r="K370" i="2" s="1"/>
  <c r="K371" i="2" a="1"/>
  <c r="K371" i="2" s="1"/>
  <c r="K372" i="2" a="1"/>
  <c r="K372" i="2" s="1"/>
  <c r="K373" i="2" a="1"/>
  <c r="K373" i="2" s="1"/>
  <c r="K374" i="2" a="1"/>
  <c r="K374" i="2" s="1"/>
  <c r="K375" i="2" a="1"/>
  <c r="K375" i="2" s="1"/>
  <c r="K376" i="2" a="1"/>
  <c r="K376" i="2" s="1"/>
  <c r="K377" i="2" a="1"/>
  <c r="K377" i="2"/>
  <c r="K378" i="2" a="1"/>
  <c r="K378" i="2" s="1"/>
  <c r="K379" i="2" a="1"/>
  <c r="K379" i="2" s="1"/>
  <c r="K380" i="2" a="1"/>
  <c r="K380" i="2" s="1"/>
  <c r="K381" i="2" a="1"/>
  <c r="K381" i="2" s="1"/>
  <c r="K382" i="2" a="1"/>
  <c r="K382" i="2"/>
  <c r="K383" i="2" a="1"/>
  <c r="K383" i="2" s="1"/>
  <c r="K384" i="2" a="1"/>
  <c r="K384" i="2" s="1"/>
  <c r="K385" i="2" a="1"/>
  <c r="K385" i="2" s="1"/>
  <c r="K386" i="2" a="1"/>
  <c r="K386" i="2" s="1"/>
  <c r="K387" i="2" a="1"/>
  <c r="K387" i="2" s="1"/>
  <c r="K388" i="2" a="1"/>
  <c r="K388" i="2" s="1"/>
  <c r="K389" i="2" a="1"/>
  <c r="K389" i="2" s="1"/>
  <c r="K390" i="2" a="1"/>
  <c r="K390" i="2" s="1"/>
  <c r="K391" i="2" a="1"/>
  <c r="K391" i="2"/>
  <c r="K392" i="2" a="1"/>
  <c r="K392" i="2" s="1"/>
  <c r="K393" i="2" a="1"/>
  <c r="K393" i="2" s="1"/>
  <c r="K394" i="2" a="1"/>
  <c r="K394" i="2" s="1"/>
  <c r="K395" i="2" a="1"/>
  <c r="K395" i="2" s="1"/>
  <c r="K396" i="2" a="1"/>
  <c r="K396" i="2" s="1"/>
  <c r="K397" i="2" a="1"/>
  <c r="K397" i="2" s="1"/>
  <c r="K398" i="2" a="1"/>
  <c r="K398" i="2" s="1"/>
  <c r="K399" i="2" a="1"/>
  <c r="K399" i="2" s="1"/>
  <c r="K400" i="2" a="1"/>
  <c r="K400" i="2"/>
  <c r="K401" i="2" a="1"/>
  <c r="K401" i="2" s="1"/>
  <c r="K402" i="2" a="1"/>
  <c r="K402" i="2" s="1"/>
  <c r="K403" i="2" a="1"/>
  <c r="K403" i="2" s="1"/>
  <c r="K404" i="2" a="1"/>
  <c r="K404" i="2" s="1"/>
  <c r="K405" i="2" a="1"/>
  <c r="K405" i="2" s="1"/>
  <c r="K406" i="2" a="1"/>
  <c r="K406" i="2" s="1"/>
  <c r="K407" i="2" a="1"/>
  <c r="K407" i="2" s="1"/>
  <c r="K408" i="2" a="1"/>
  <c r="K408" i="2" s="1"/>
  <c r="K409" i="2" a="1"/>
  <c r="K409" i="2"/>
  <c r="K410" i="2" a="1"/>
  <c r="K410" i="2" s="1"/>
  <c r="K411" i="2" a="1"/>
  <c r="K411" i="2" s="1"/>
  <c r="K412" i="2" a="1"/>
  <c r="K412" i="2" s="1"/>
  <c r="K413" i="2" a="1"/>
  <c r="K413" i="2" s="1"/>
  <c r="K414" i="2" a="1"/>
  <c r="K414" i="2"/>
  <c r="K415" i="2" a="1"/>
  <c r="K415" i="2" s="1"/>
  <c r="K416" i="2" a="1"/>
  <c r="K416" i="2" s="1"/>
  <c r="K417" i="2" a="1"/>
  <c r="K417" i="2" s="1"/>
  <c r="K418" i="2" a="1"/>
  <c r="K418" i="2" s="1"/>
  <c r="K419" i="2" a="1"/>
  <c r="K419" i="2" s="1"/>
  <c r="K420" i="2" a="1"/>
  <c r="K420" i="2" s="1"/>
  <c r="K421" i="2" a="1"/>
  <c r="K421" i="2" s="1"/>
  <c r="K422" i="2" a="1"/>
  <c r="K422" i="2"/>
  <c r="K423" i="2" a="1"/>
  <c r="K423" i="2" s="1"/>
  <c r="K424" i="2" a="1"/>
  <c r="K424" i="2" s="1"/>
  <c r="K425" i="2" a="1"/>
  <c r="K425" i="2" s="1"/>
  <c r="K426" i="2" a="1"/>
  <c r="K426" i="2" s="1"/>
  <c r="K427" i="2" a="1"/>
  <c r="K427" i="2"/>
  <c r="K428" i="2" a="1"/>
  <c r="K428" i="2" s="1"/>
  <c r="K429" i="2" a="1"/>
  <c r="K429" i="2" s="1"/>
  <c r="K430" i="2" a="1"/>
  <c r="K430" i="2" s="1"/>
  <c r="K431" i="2" a="1"/>
  <c r="K431" i="2"/>
  <c r="K432" i="2" a="1"/>
  <c r="K432" i="2"/>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c r="K447" i="2" a="1"/>
  <c r="K447" i="2"/>
  <c r="K448" i="2" a="1"/>
  <c r="K448" i="2" s="1"/>
  <c r="K449" i="2" a="1"/>
  <c r="K449" i="2" s="1"/>
  <c r="K450" i="2" a="1"/>
  <c r="K450" i="2" s="1"/>
  <c r="K451" i="2" a="1"/>
  <c r="K451" i="2" s="1"/>
  <c r="K452" i="2" a="1"/>
  <c r="K452" i="2" s="1"/>
  <c r="K453" i="2" a="1"/>
  <c r="K453" i="2" s="1"/>
  <c r="K454" i="2" a="1"/>
  <c r="K454" i="2" s="1"/>
  <c r="K455" i="2" a="1"/>
  <c r="K455" i="2"/>
  <c r="K456" i="2" a="1"/>
  <c r="K456" i="2" s="1"/>
  <c r="K457" i="2" a="1"/>
  <c r="K457" i="2"/>
  <c r="K458" i="2" a="1"/>
  <c r="K458" i="2" s="1"/>
  <c r="K459" i="2" a="1"/>
  <c r="K459" i="2" s="1"/>
  <c r="K460" i="2" a="1"/>
  <c r="K460" i="2" s="1"/>
  <c r="K461" i="2" a="1"/>
  <c r="K461" i="2" s="1"/>
  <c r="K462" i="2" a="1"/>
  <c r="K462" i="2" s="1"/>
  <c r="K463" i="2" a="1"/>
  <c r="K463" i="2" s="1"/>
  <c r="K464" i="2" a="1"/>
  <c r="K464" i="2"/>
  <c r="K465" i="2" a="1"/>
  <c r="K465" i="2"/>
  <c r="K466" i="2" a="1"/>
  <c r="K466" i="2"/>
  <c r="K467" i="2" a="1"/>
  <c r="K467" i="2" s="1"/>
  <c r="K468" i="2" a="1"/>
  <c r="K468" i="2" s="1"/>
  <c r="K469" i="2" a="1"/>
  <c r="K469" i="2" s="1"/>
  <c r="K470" i="2" a="1"/>
  <c r="K470" i="2" s="1"/>
  <c r="K471" i="2" a="1"/>
  <c r="K471" i="2" s="1"/>
  <c r="K472" i="2" a="1"/>
  <c r="K472" i="2" s="1"/>
  <c r="K473" i="2" a="1"/>
  <c r="K473" i="2" s="1"/>
  <c r="K474" i="2" a="1"/>
  <c r="K474" i="2"/>
  <c r="K475" i="2" a="1"/>
  <c r="K475" i="2" s="1"/>
  <c r="K476" i="2" a="1"/>
  <c r="K476" i="2" s="1"/>
  <c r="K477" i="2" a="1"/>
  <c r="K477" i="2" s="1"/>
  <c r="K478" i="2" a="1"/>
  <c r="K478" i="2"/>
  <c r="K479" i="2" a="1"/>
  <c r="K479" i="2" s="1"/>
  <c r="K480" i="2" a="1"/>
  <c r="K480" i="2" s="1"/>
  <c r="K481" i="2" a="1"/>
  <c r="K481" i="2" s="1"/>
  <c r="K482" i="2" a="1"/>
  <c r="K482" i="2" s="1"/>
  <c r="K483" i="2" a="1"/>
  <c r="K483" i="2" s="1"/>
  <c r="K484" i="2" a="1"/>
  <c r="K484" i="2" s="1"/>
  <c r="K485" i="2" a="1"/>
  <c r="K485" i="2" s="1"/>
  <c r="K486" i="2" a="1"/>
  <c r="K486" i="2" s="1"/>
  <c r="K487" i="2" a="1"/>
  <c r="K487" i="2"/>
  <c r="K488" i="2" a="1"/>
  <c r="K488" i="2" s="1"/>
  <c r="K489" i="2" a="1"/>
  <c r="K489" i="2" s="1"/>
  <c r="K490" i="2" a="1"/>
  <c r="K490" i="2" s="1"/>
  <c r="K491" i="2" a="1"/>
  <c r="K491" i="2"/>
  <c r="K492" i="2" a="1"/>
  <c r="K492" i="2" s="1"/>
  <c r="K493" i="2" a="1"/>
  <c r="K493" i="2" s="1"/>
  <c r="K494" i="2" a="1"/>
  <c r="K494" i="2"/>
  <c r="K495" i="2" a="1"/>
  <c r="K495" i="2"/>
  <c r="K496" i="2" a="1"/>
  <c r="K496" i="2" s="1"/>
  <c r="K497" i="2" a="1"/>
  <c r="K497" i="2" s="1"/>
  <c r="K498" i="2" a="1"/>
  <c r="K498" i="2" s="1"/>
  <c r="K499" i="2" a="1"/>
  <c r="K499" i="2" s="1"/>
  <c r="K500" i="2" a="1"/>
  <c r="K500" i="2" s="1"/>
  <c r="K501" i="2" a="1"/>
  <c r="K501" i="2" s="1"/>
  <c r="K502" i="2" a="1"/>
  <c r="K502" i="2"/>
  <c r="K503" i="2" a="1"/>
  <c r="K503" i="2" s="1"/>
  <c r="K504" i="2" a="1"/>
  <c r="K504" i="2" s="1"/>
  <c r="K505" i="2" a="1"/>
  <c r="K505" i="2" s="1"/>
  <c r="K506" i="2" a="1"/>
  <c r="K506" i="2" s="1"/>
  <c r="K507" i="2" a="1"/>
  <c r="K507" i="2" s="1"/>
  <c r="K508" i="2" a="1"/>
  <c r="K508" i="2" s="1"/>
  <c r="K509" i="2" a="1"/>
  <c r="K509" i="2" s="1"/>
  <c r="K510" i="2" a="1"/>
  <c r="K510" i="2" s="1"/>
  <c r="K511" i="2" a="1"/>
  <c r="K511" i="2"/>
  <c r="K512" i="2" a="1"/>
  <c r="K512" i="2" s="1"/>
  <c r="K513" i="2" a="1"/>
  <c r="K513" i="2" s="1"/>
  <c r="K514" i="2" a="1"/>
  <c r="K514" i="2" s="1"/>
  <c r="K515" i="2" a="1"/>
  <c r="K515" i="2" s="1"/>
  <c r="K516" i="2" a="1"/>
  <c r="K516" i="2" s="1"/>
  <c r="K517" i="2" a="1"/>
  <c r="K517" i="2" s="1"/>
  <c r="K518" i="2" a="1"/>
  <c r="K518" i="2" s="1"/>
  <c r="K519" i="2" a="1"/>
  <c r="K519" i="2"/>
  <c r="K520" i="2" a="1"/>
  <c r="K520" i="2"/>
  <c r="K521" i="2" a="1"/>
  <c r="K521" i="2" s="1"/>
  <c r="K522" i="2" a="1"/>
  <c r="K522" i="2"/>
  <c r="K523" i="2" a="1"/>
  <c r="K523" i="2" s="1"/>
  <c r="K524" i="2" a="1"/>
  <c r="K524" i="2" s="1"/>
  <c r="K525" i="2" a="1"/>
  <c r="K525" i="2" s="1"/>
  <c r="K526" i="2" a="1"/>
  <c r="K526" i="2" s="1"/>
  <c r="K527" i="2" a="1"/>
  <c r="K527" i="2" s="1"/>
  <c r="K528" i="2" a="1"/>
  <c r="K528" i="2" s="1"/>
  <c r="K529" i="2" a="1"/>
  <c r="K529" i="2"/>
  <c r="K530" i="2" a="1"/>
  <c r="K530" i="2"/>
  <c r="K531" i="2" a="1"/>
  <c r="K531" i="2"/>
  <c r="K532" i="2" a="1"/>
  <c r="K532" i="2" s="1"/>
  <c r="K533" i="2" a="1"/>
  <c r="K533" i="2" s="1"/>
  <c r="K534" i="2" a="1"/>
  <c r="K534" i="2" s="1"/>
  <c r="K535" i="2" a="1"/>
  <c r="K535" i="2" s="1"/>
  <c r="K536" i="2" a="1"/>
  <c r="K536" i="2" s="1"/>
  <c r="K537" i="2" a="1"/>
  <c r="K537" i="2"/>
  <c r="K538" i="2" a="1"/>
  <c r="K538" i="2"/>
  <c r="K539" i="2" a="1"/>
  <c r="K539" i="2" s="1"/>
  <c r="K540" i="2" a="1"/>
  <c r="K540" i="2" s="1"/>
  <c r="K541" i="2" a="1"/>
  <c r="K541" i="2" s="1"/>
  <c r="K542" i="2" a="1"/>
  <c r="K542" i="2"/>
  <c r="K543" i="2" a="1"/>
  <c r="K543" i="2" s="1"/>
  <c r="K544" i="2" a="1"/>
  <c r="K544" i="2" s="1"/>
  <c r="K545" i="2" a="1"/>
  <c r="K545" i="2" s="1"/>
  <c r="K546" i="2" a="1"/>
  <c r="K546" i="2" s="1"/>
  <c r="K547" i="2" a="1"/>
  <c r="K547" i="2" s="1"/>
  <c r="K548" i="2" a="1"/>
  <c r="K548" i="2" s="1"/>
  <c r="K549" i="2" a="1"/>
  <c r="K549" i="2" s="1"/>
  <c r="K550" i="2" a="1"/>
  <c r="K550" i="2" s="1"/>
  <c r="K551" i="2" a="1"/>
  <c r="K551" i="2"/>
  <c r="K552" i="2" a="1"/>
  <c r="K552" i="2" s="1"/>
  <c r="K553" i="2" a="1"/>
  <c r="K553" i="2" s="1"/>
  <c r="K554" i="2" a="1"/>
  <c r="K554" i="2" s="1"/>
  <c r="K555" i="2" a="1"/>
  <c r="K555" i="2"/>
  <c r="K556" i="2" a="1"/>
  <c r="K556" i="2" s="1"/>
  <c r="K557" i="2" a="1"/>
  <c r="K557" i="2" s="1"/>
  <c r="K558" i="2" a="1"/>
  <c r="K558" i="2" s="1"/>
  <c r="K559" i="2" a="1"/>
  <c r="K559" i="2"/>
  <c r="K560" i="2" a="1"/>
  <c r="K560" i="2" s="1"/>
  <c r="K561" i="2" a="1"/>
  <c r="K561" i="2" s="1"/>
  <c r="K562" i="2" a="1"/>
  <c r="K562" i="2" s="1"/>
  <c r="K563" i="2" a="1"/>
  <c r="K563" i="2" s="1"/>
  <c r="K564" i="2" a="1"/>
  <c r="K564" i="2" s="1"/>
  <c r="K565" i="2" a="1"/>
  <c r="K565" i="2" s="1"/>
  <c r="K566" i="2" a="1"/>
  <c r="K566" i="2"/>
  <c r="K567" i="2" a="1"/>
  <c r="K567" i="2"/>
  <c r="K568" i="2" a="1"/>
  <c r="K568" i="2" s="1"/>
  <c r="K569" i="2" a="1"/>
  <c r="K569" i="2" s="1"/>
  <c r="K570" i="2" a="1"/>
  <c r="K570" i="2" s="1"/>
  <c r="K571" i="2" a="1"/>
  <c r="K571" i="2" s="1"/>
  <c r="K572" i="2" a="1"/>
  <c r="K572" i="2" s="1"/>
  <c r="K573" i="2" a="1"/>
  <c r="K573" i="2" s="1"/>
  <c r="K574" i="2" a="1"/>
  <c r="K574" i="2"/>
  <c r="K575" i="2" a="1"/>
  <c r="K575" i="2"/>
  <c r="K576" i="2" a="1"/>
  <c r="K576" i="2" s="1"/>
  <c r="K577" i="2" a="1"/>
  <c r="K577" i="2"/>
  <c r="K578" i="2" a="1"/>
  <c r="K578" i="2" s="1"/>
  <c r="K579" i="2" a="1"/>
  <c r="K579" i="2" s="1"/>
  <c r="K580" i="2" a="1"/>
  <c r="K580" i="2" s="1"/>
  <c r="K581" i="2" a="1"/>
  <c r="K581" i="2" s="1"/>
  <c r="K582" i="2" a="1"/>
  <c r="K582" i="2" s="1"/>
  <c r="K583" i="2" a="1"/>
  <c r="K583" i="2" s="1"/>
  <c r="K584" i="2" a="1"/>
  <c r="K584" i="2"/>
  <c r="K585" i="2" a="1"/>
  <c r="K585" i="2"/>
  <c r="K586" i="2" a="1"/>
  <c r="K586" i="2"/>
  <c r="K587" i="2" a="1"/>
  <c r="K587" i="2" s="1"/>
  <c r="K588" i="2" a="1"/>
  <c r="K588" i="2" s="1"/>
  <c r="K589" i="2" a="1"/>
  <c r="K589" i="2" s="1"/>
  <c r="K590" i="2" a="1"/>
  <c r="K590" i="2" s="1"/>
  <c r="K591" i="2" a="1"/>
  <c r="K591" i="2" s="1"/>
  <c r="K592" i="2" a="1"/>
  <c r="K592" i="2" s="1"/>
  <c r="K593" i="2" a="1"/>
  <c r="K593" i="2" s="1"/>
  <c r="K594" i="2" a="1"/>
  <c r="K594" i="2" s="1"/>
  <c r="K595" i="2" a="1"/>
  <c r="K595" i="2"/>
  <c r="K596" i="2" a="1"/>
  <c r="K596" i="2" s="1"/>
  <c r="K597" i="2" a="1"/>
  <c r="K597" i="2" s="1"/>
  <c r="K598" i="2" a="1"/>
  <c r="K598" i="2" s="1"/>
  <c r="K599" i="2" a="1"/>
  <c r="K599" i="2" s="1"/>
  <c r="K600" i="2" a="1"/>
  <c r="K600" i="2" s="1"/>
  <c r="K601" i="2" a="1"/>
  <c r="K601" i="2"/>
  <c r="K602" i="2" a="1"/>
  <c r="K602" i="2"/>
  <c r="K603" i="2" a="1"/>
  <c r="K603" i="2"/>
  <c r="K604" i="2" a="1"/>
  <c r="K604" i="2" s="1"/>
  <c r="K605" i="2" a="1"/>
  <c r="K605" i="2" s="1"/>
  <c r="K606" i="2" a="1"/>
  <c r="K606" i="2"/>
  <c r="K607" i="2" a="1"/>
  <c r="K607" i="2" s="1"/>
  <c r="K608" i="2" a="1"/>
  <c r="K608" i="2" s="1"/>
  <c r="K609" i="2" a="1"/>
  <c r="K609" i="2" s="1"/>
  <c r="K610" i="2" a="1"/>
  <c r="K610" i="2"/>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c r="K623" i="2" a="1"/>
  <c r="K623" i="2"/>
  <c r="K624" i="2" a="1"/>
  <c r="K624" i="2" s="1"/>
  <c r="K625" i="2" a="1"/>
  <c r="K625" i="2" s="1"/>
  <c r="K626" i="2" a="1"/>
  <c r="K626" i="2" s="1"/>
  <c r="K627" i="2" a="1"/>
  <c r="K627" i="2" s="1"/>
  <c r="K628" i="2" a="1"/>
  <c r="K628" i="2" s="1"/>
  <c r="K629" i="2" a="1"/>
  <c r="K629" i="2" s="1"/>
  <c r="K630" i="2" a="1"/>
  <c r="K630" i="2" s="1"/>
  <c r="K631" i="2" a="1"/>
  <c r="K631" i="2"/>
  <c r="K632" i="2" a="1"/>
  <c r="K632" i="2" s="1"/>
  <c r="K633" i="2" a="1"/>
  <c r="K633" i="2" s="1"/>
  <c r="K634" i="2" a="1"/>
  <c r="K634" i="2" s="1"/>
  <c r="K635" i="2" a="1"/>
  <c r="K635" i="2" s="1"/>
  <c r="K636" i="2" a="1"/>
  <c r="K636" i="2" s="1"/>
  <c r="K637" i="2" a="1"/>
  <c r="K637" i="2" s="1"/>
  <c r="K638" i="2" a="1"/>
  <c r="K638" i="2" s="1"/>
  <c r="K639" i="2" a="1"/>
  <c r="K639" i="2"/>
  <c r="K640" i="2" a="1"/>
  <c r="K640" i="2"/>
  <c r="K641" i="2" a="1"/>
  <c r="K641" i="2" s="1"/>
  <c r="K642" i="2" a="1"/>
  <c r="K642" i="2" s="1"/>
  <c r="K643" i="2" a="1"/>
  <c r="K643" i="2" s="1"/>
  <c r="K644" i="2" a="1"/>
  <c r="K644" i="2" s="1"/>
  <c r="K645" i="2" a="1"/>
  <c r="K645" i="2" s="1"/>
  <c r="K646" i="2" a="1"/>
  <c r="K646" i="2" s="1"/>
  <c r="K647" i="2" a="1"/>
  <c r="K647" i="2" s="1"/>
  <c r="K648" i="2" a="1"/>
  <c r="K648" i="2" s="1"/>
  <c r="K649" i="2" a="1"/>
  <c r="K649" i="2"/>
  <c r="K650" i="2" a="1"/>
  <c r="K650" i="2"/>
  <c r="K651" i="2" a="1"/>
  <c r="K651" i="2"/>
  <c r="K652" i="2" a="1"/>
  <c r="K652" i="2" s="1"/>
  <c r="K653" i="2" a="1"/>
  <c r="K653" i="2" s="1"/>
  <c r="K654" i="2" a="1"/>
  <c r="K654" i="2" s="1"/>
  <c r="K655" i="2" a="1"/>
  <c r="K655" i="2" s="1"/>
  <c r="K656" i="2" a="1"/>
  <c r="K656" i="2" s="1"/>
  <c r="K657" i="2" a="1"/>
  <c r="K657" i="2" s="1"/>
  <c r="K658" i="2" a="1"/>
  <c r="K658" i="2"/>
  <c r="K659" i="2" a="1"/>
  <c r="K659" i="2"/>
  <c r="K660" i="2" a="1"/>
  <c r="K660" i="2"/>
  <c r="K661" i="2" a="1"/>
  <c r="K661" i="2" s="1"/>
  <c r="K662" i="2" a="1"/>
  <c r="K662" i="2" s="1"/>
  <c r="K663" i="2" a="1"/>
  <c r="K663" i="2" s="1"/>
  <c r="K664" i="2" a="1"/>
  <c r="K664" i="2" s="1"/>
  <c r="K665" i="2" a="1"/>
  <c r="K665" i="2"/>
  <c r="K666" i="2" a="1"/>
  <c r="K666" i="2"/>
  <c r="K667" i="2" a="1"/>
  <c r="K667" i="2"/>
  <c r="K668" i="2" a="1"/>
  <c r="K668" i="2" s="1"/>
  <c r="K669" i="2" a="1"/>
  <c r="K669" i="2" s="1"/>
  <c r="K670" i="2" a="1"/>
  <c r="K670" i="2"/>
  <c r="K671" i="2" a="1"/>
  <c r="K671" i="2"/>
  <c r="K672" i="2" a="1"/>
  <c r="K672" i="2" s="1"/>
  <c r="K673" i="2" a="1"/>
  <c r="K673" i="2" s="1"/>
  <c r="K674" i="2" a="1"/>
  <c r="K674" i="2" s="1"/>
  <c r="K675" i="2" a="1"/>
  <c r="K675" i="2" s="1"/>
  <c r="K676" i="2" a="1"/>
  <c r="K676" i="2"/>
  <c r="K677" i="2" a="1"/>
  <c r="K677" i="2" s="1"/>
  <c r="K678" i="2" a="1"/>
  <c r="K678" i="2" s="1"/>
  <c r="K679" i="2" a="1"/>
  <c r="K679" i="2" s="1"/>
  <c r="K680" i="2" a="1"/>
  <c r="K680" i="2" s="1"/>
  <c r="K681" i="2" a="1"/>
  <c r="K681" i="2"/>
  <c r="K682" i="2" a="1"/>
  <c r="K682" i="2" s="1"/>
  <c r="K683" i="2" a="1"/>
  <c r="K683" i="2" s="1"/>
  <c r="K684" i="2" a="1"/>
  <c r="K684" i="2" s="1"/>
  <c r="K685" i="2" a="1"/>
  <c r="K685" i="2" s="1"/>
  <c r="K686" i="2" a="1"/>
  <c r="K686" i="2" s="1"/>
  <c r="K687" i="2" a="1"/>
  <c r="K687" i="2" s="1"/>
  <c r="K688" i="2" a="1"/>
  <c r="K688" i="2" s="1"/>
  <c r="K689" i="2" a="1"/>
  <c r="K689" i="2" s="1"/>
  <c r="K690" i="2" a="1"/>
  <c r="K690" i="2" s="1"/>
  <c r="K691" i="2" a="1"/>
  <c r="K691" i="2"/>
  <c r="K692" i="2" a="1"/>
  <c r="K692" i="2"/>
  <c r="K693" i="2" a="1"/>
  <c r="K693" i="2"/>
  <c r="K694" i="2" a="1"/>
  <c r="K694" i="2" s="1"/>
  <c r="K695" i="2" a="1"/>
  <c r="K695" i="2" s="1"/>
  <c r="K696" i="2" a="1"/>
  <c r="K696" i="2" s="1"/>
  <c r="K697" i="2" a="1"/>
  <c r="K697" i="2" s="1"/>
  <c r="K698" i="2" a="1"/>
  <c r="K698" i="2"/>
  <c r="K699" i="2" a="1"/>
  <c r="K699" i="2"/>
  <c r="K700" i="2" a="1"/>
  <c r="K700" i="2"/>
  <c r="K701" i="2" a="1"/>
  <c r="K701" i="2" s="1"/>
  <c r="K702" i="2" a="1"/>
  <c r="K702" i="2" s="1"/>
  <c r="K703" i="2" a="1"/>
  <c r="K703" i="2" s="1"/>
  <c r="K704" i="2" a="1"/>
  <c r="K704" i="2" s="1"/>
  <c r="K705" i="2" a="1"/>
  <c r="K705" i="2"/>
  <c r="K706" i="2" a="1"/>
  <c r="K706" i="2"/>
  <c r="K707" i="2" a="1"/>
  <c r="K707" i="2" s="1"/>
  <c r="K708" i="2" a="1"/>
  <c r="K708" i="2"/>
  <c r="K709" i="2" a="1"/>
  <c r="K709" i="2"/>
  <c r="K710" i="2" a="1"/>
  <c r="K710" i="2" s="1"/>
  <c r="K711" i="2" a="1"/>
  <c r="K711" i="2" s="1"/>
  <c r="K712" i="2" a="1"/>
  <c r="K712" i="2" s="1"/>
  <c r="K713" i="2" a="1"/>
  <c r="K713" i="2" s="1"/>
  <c r="K714" i="2" a="1"/>
  <c r="K714" i="2" s="1"/>
  <c r="K715" i="2" a="1"/>
  <c r="K715" i="2" s="1"/>
  <c r="K716" i="2" a="1"/>
  <c r="K716" i="2"/>
  <c r="K717" i="2" a="1"/>
  <c r="K717" i="2"/>
  <c r="K718" i="2" a="1"/>
  <c r="K718" i="2" s="1"/>
  <c r="K719" i="2" a="1"/>
  <c r="K719" i="2" s="1"/>
  <c r="K720" i="2" a="1"/>
  <c r="K720" i="2" s="1"/>
  <c r="K721" i="2" a="1"/>
  <c r="K721" i="2" s="1"/>
  <c r="K722" i="2" a="1"/>
  <c r="K722" i="2" s="1"/>
  <c r="K723" i="2" a="1"/>
  <c r="K723" i="2"/>
  <c r="K724" i="2" a="1"/>
  <c r="K724" i="2"/>
  <c r="K725" i="2" a="1"/>
  <c r="K725" i="2"/>
  <c r="K726" i="2" a="1"/>
  <c r="K726" i="2" s="1"/>
  <c r="K727" i="2" a="1"/>
  <c r="K727" i="2" s="1"/>
  <c r="K728" i="2" a="1"/>
  <c r="K728" i="2" s="1"/>
  <c r="K729" i="2" a="1"/>
  <c r="K729" i="2" s="1"/>
  <c r="K730" i="2" a="1"/>
  <c r="K730" i="2"/>
  <c r="K731" i="2" a="1"/>
  <c r="K731" i="2" s="1"/>
  <c r="K732" i="2" a="1"/>
  <c r="K732" i="2" s="1"/>
  <c r="K733" i="2" a="1"/>
  <c r="K733" i="2" s="1"/>
  <c r="K734" i="2" a="1"/>
  <c r="K734" i="2" s="1"/>
  <c r="K735" i="2" a="1"/>
  <c r="K735" i="2" s="1"/>
  <c r="K736" i="2" a="1"/>
  <c r="K736" i="2" s="1"/>
  <c r="K737" i="2" a="1"/>
  <c r="K737" i="2"/>
  <c r="K738" i="2" a="1"/>
  <c r="K738" i="2"/>
  <c r="K739" i="2" a="1"/>
  <c r="K739" i="2"/>
  <c r="K740" i="2" a="1"/>
  <c r="K740" i="2" s="1"/>
  <c r="K741" i="2" a="1"/>
  <c r="K741" i="2"/>
  <c r="K742" i="2" a="1"/>
  <c r="K742" i="2" s="1"/>
  <c r="K743" i="2" a="1"/>
  <c r="K743" i="2" s="1"/>
  <c r="K744" i="2" a="1"/>
  <c r="K744" i="2" s="1"/>
  <c r="K745" i="2" a="1"/>
  <c r="K745" i="2" s="1"/>
  <c r="K746" i="2" a="1"/>
  <c r="K746" i="2" s="1"/>
  <c r="K747" i="2" a="1"/>
  <c r="K747" i="2"/>
  <c r="K748" i="2" a="1"/>
  <c r="K748" i="2"/>
  <c r="K749" i="2" a="1"/>
  <c r="K749" i="2"/>
  <c r="K750" i="2" a="1"/>
  <c r="K750" i="2" s="1"/>
  <c r="K751" i="2" a="1"/>
  <c r="K751" i="2" s="1"/>
  <c r="K752" i="2" a="1"/>
  <c r="K752" i="2" s="1"/>
  <c r="K753" i="2" a="1"/>
  <c r="K753" i="2" s="1"/>
  <c r="K754" i="2" a="1"/>
  <c r="K754" i="2" s="1"/>
  <c r="K755" i="2" a="1"/>
  <c r="K755" i="2"/>
  <c r="K756" i="2" a="1"/>
  <c r="K756" i="2"/>
  <c r="K757" i="2" a="1"/>
  <c r="K757" i="2"/>
  <c r="K758" i="2" a="1"/>
  <c r="K758" i="2" s="1"/>
  <c r="K759" i="2" a="1"/>
  <c r="K759" i="2" s="1"/>
  <c r="K760" i="2" a="1"/>
  <c r="K760" i="2" s="1"/>
  <c r="K761" i="2" a="1"/>
  <c r="K761" i="2" s="1"/>
  <c r="K762" i="2" a="1"/>
  <c r="K762" i="2" s="1"/>
  <c r="K763" i="2" a="1"/>
  <c r="K763" i="2" s="1"/>
  <c r="K764" i="2" a="1"/>
  <c r="K764" i="2" s="1"/>
  <c r="K765" i="2" a="1"/>
  <c r="K765" i="2"/>
  <c r="K766" i="2" a="1"/>
  <c r="K766" i="2" s="1"/>
  <c r="K767" i="2" a="1"/>
  <c r="K767" i="2" s="1"/>
  <c r="K768" i="2" a="1"/>
  <c r="K768" i="2" s="1"/>
  <c r="K769" i="2" a="1"/>
  <c r="K769" i="2" s="1"/>
  <c r="K770" i="2" a="1"/>
  <c r="K770" i="2"/>
  <c r="K771" i="2" a="1"/>
  <c r="K771" i="2"/>
  <c r="K772" i="2" a="1"/>
  <c r="K772" i="2" s="1"/>
  <c r="K773" i="2" a="1"/>
  <c r="K773" i="2"/>
  <c r="K774" i="2" a="1"/>
  <c r="K774" i="2" s="1"/>
  <c r="K775" i="2" a="1"/>
  <c r="K775" i="2" s="1"/>
  <c r="K776" i="2" a="1"/>
  <c r="K776" i="2" s="1"/>
  <c r="K777" i="2" a="1"/>
  <c r="K777" i="2"/>
  <c r="K778" i="2" a="1"/>
  <c r="K778" i="2" s="1"/>
  <c r="K779" i="2" a="1"/>
  <c r="K779" i="2"/>
  <c r="K780" i="2" a="1"/>
  <c r="K780" i="2" s="1"/>
  <c r="K781" i="2" a="1"/>
  <c r="K781" i="2" s="1"/>
  <c r="K782" i="2" a="1"/>
  <c r="K782" i="2" s="1"/>
  <c r="K783" i="2" a="1"/>
  <c r="K783" i="2" s="1"/>
  <c r="K784" i="2" a="1"/>
  <c r="K784" i="2" s="1"/>
  <c r="K785" i="2" a="1"/>
  <c r="K785" i="2" s="1"/>
  <c r="K786" i="2" a="1"/>
  <c r="K786" i="2" s="1"/>
  <c r="K787" i="2" a="1"/>
  <c r="K787" i="2" s="1"/>
  <c r="K788" i="2" a="1"/>
  <c r="K788" i="2"/>
  <c r="K789" i="2" a="1"/>
  <c r="K789" i="2"/>
  <c r="K790" i="2" a="1"/>
  <c r="K790" i="2" s="1"/>
  <c r="K791" i="2" a="1"/>
  <c r="K791" i="2" s="1"/>
  <c r="K792" i="2" a="1"/>
  <c r="K792" i="2" s="1"/>
  <c r="K793" i="2" a="1"/>
  <c r="K793" i="2" s="1"/>
  <c r="K794" i="2" a="1"/>
  <c r="K794" i="2" s="1"/>
  <c r="K795" i="2" a="1"/>
  <c r="K795" i="2" s="1"/>
  <c r="K796" i="2" a="1"/>
  <c r="K796" i="2"/>
  <c r="K797" i="2" a="1"/>
  <c r="K797" i="2"/>
  <c r="K798" i="2" a="1"/>
  <c r="K798" i="2" s="1"/>
  <c r="K799" i="2" a="1"/>
  <c r="K799" i="2" s="1"/>
  <c r="K800" i="2" a="1"/>
  <c r="K800" i="2" s="1"/>
  <c r="K801" i="2" a="1"/>
  <c r="K801" i="2" s="1"/>
  <c r="K802" i="2" a="1"/>
  <c r="K802" i="2"/>
  <c r="K803" i="2" a="1"/>
  <c r="K803" i="2"/>
  <c r="K804" i="2" a="1"/>
  <c r="K804" i="2" s="1"/>
  <c r="K805" i="2" a="1"/>
  <c r="K805" i="2" s="1"/>
  <c r="K806" i="2" a="1"/>
  <c r="K806" i="2" s="1"/>
  <c r="K807" i="2" a="1"/>
  <c r="K807" i="2" s="1"/>
  <c r="K808" i="2" a="1"/>
  <c r="K808" i="2" s="1"/>
  <c r="K809" i="2" a="1"/>
  <c r="K809" i="2"/>
  <c r="K810" i="2" a="1"/>
  <c r="K810" i="2" s="1"/>
  <c r="K811" i="2" a="1"/>
  <c r="K811" i="2" s="1"/>
  <c r="K812" i="2" a="1"/>
  <c r="K812" i="2" s="1"/>
  <c r="K813" i="2" a="1"/>
  <c r="K813" i="2" s="1"/>
  <c r="K814" i="2" a="1"/>
  <c r="K814" i="2" s="1"/>
  <c r="K815" i="2" a="1"/>
  <c r="K815" i="2" s="1"/>
  <c r="K816" i="2" a="1"/>
  <c r="K816" i="2" s="1"/>
  <c r="K817" i="2" a="1"/>
  <c r="K817" i="2" s="1"/>
  <c r="K818" i="2" a="1"/>
  <c r="K818" i="2" s="1"/>
  <c r="K819" i="2" a="1"/>
  <c r="K819" i="2" s="1"/>
  <c r="K820" i="2" a="1"/>
  <c r="K820" i="2" s="1"/>
  <c r="K821" i="2" a="1"/>
  <c r="K821" i="2"/>
  <c r="K822" i="2" a="1"/>
  <c r="K822" i="2" s="1"/>
  <c r="K823" i="2" a="1"/>
  <c r="K823" i="2" s="1"/>
  <c r="K824" i="2" a="1"/>
  <c r="K824" i="2" s="1"/>
  <c r="K825" i="2" a="1"/>
  <c r="K825" i="2"/>
  <c r="K826" i="2" a="1"/>
  <c r="K826" i="2"/>
  <c r="K827" i="2" a="1"/>
  <c r="K827" i="2" s="1"/>
  <c r="K828" i="2" a="1"/>
  <c r="K828" i="2"/>
  <c r="K829" i="2" a="1"/>
  <c r="K829" i="2" s="1"/>
  <c r="K830" i="2" a="1"/>
  <c r="K830" i="2" s="1"/>
  <c r="K831" i="2" a="1"/>
  <c r="K831" i="2" s="1"/>
  <c r="K832" i="2" a="1"/>
  <c r="K832" i="2" s="1"/>
  <c r="K833" i="2" a="1"/>
  <c r="K833" i="2" s="1"/>
  <c r="K834" i="2" a="1"/>
  <c r="K834" i="2"/>
  <c r="K835" i="2" a="1"/>
  <c r="K835" i="2"/>
  <c r="K836" i="2" a="1"/>
  <c r="K836" i="2"/>
  <c r="K837" i="2" a="1"/>
  <c r="K837" i="2" s="1"/>
  <c r="K838" i="2" a="1"/>
  <c r="K838" i="2" s="1"/>
  <c r="K839" i="2" a="1"/>
  <c r="K839" i="2" s="1"/>
  <c r="K840" i="2" a="1"/>
  <c r="K840" i="2" s="1"/>
  <c r="K841" i="2" a="1"/>
  <c r="K841" i="2" s="1"/>
  <c r="K842" i="2" a="1"/>
  <c r="K842" i="2" s="1"/>
  <c r="K843" i="2" a="1"/>
  <c r="K843" i="2" s="1"/>
  <c r="K844" i="2" a="1"/>
  <c r="K844" i="2" s="1"/>
  <c r="K845" i="2" a="1"/>
  <c r="K845" i="2"/>
  <c r="K846" i="2" a="1"/>
  <c r="K846" i="2" s="1"/>
  <c r="K847" i="2" a="1"/>
  <c r="K847" i="2" s="1"/>
  <c r="K848" i="2" a="1"/>
  <c r="K848" i="2" s="1"/>
  <c r="K849" i="2" a="1"/>
  <c r="K849" i="2" s="1"/>
  <c r="K850" i="2" a="1"/>
  <c r="K850" i="2" s="1"/>
  <c r="K851" i="2" a="1"/>
  <c r="K851" i="2" s="1"/>
  <c r="K852" i="2" a="1"/>
  <c r="K852" i="2" s="1"/>
  <c r="K853" i="2" a="1"/>
  <c r="K853" i="2"/>
  <c r="K854" i="2" a="1"/>
  <c r="K854" i="2" s="1"/>
  <c r="K855" i="2" a="1"/>
  <c r="K855" i="2" s="1"/>
  <c r="K856" i="2" a="1"/>
  <c r="K856" i="2" s="1"/>
  <c r="K857" i="2" a="1"/>
  <c r="K857" i="2"/>
  <c r="K858" i="2" a="1"/>
  <c r="K858" i="2"/>
  <c r="K859" i="2" a="1"/>
  <c r="K859" i="2" s="1"/>
  <c r="K860" i="2" a="1"/>
  <c r="K860" i="2" s="1"/>
  <c r="K861" i="2" a="1"/>
  <c r="K861" i="2" s="1"/>
  <c r="K862" i="2" a="1"/>
  <c r="K862" i="2" s="1"/>
  <c r="K863" i="2" a="1"/>
  <c r="K863" i="2" s="1"/>
  <c r="K864" i="2" a="1"/>
  <c r="K864" i="2" s="1"/>
  <c r="K865" i="2" a="1"/>
  <c r="K865" i="2"/>
  <c r="K866" i="2" a="1"/>
  <c r="K866" i="2" s="1"/>
  <c r="K867" i="2" a="1"/>
  <c r="K867" i="2"/>
  <c r="K868" i="2" a="1"/>
  <c r="K868" i="2"/>
  <c r="K869" i="2" a="1"/>
  <c r="K869" i="2"/>
  <c r="K870" i="2" a="1"/>
  <c r="K870" i="2" s="1"/>
  <c r="K871" i="2" a="1"/>
  <c r="K871" i="2" s="1"/>
  <c r="K872" i="2" a="1"/>
  <c r="K872" i="2" s="1"/>
  <c r="K873" i="2" a="1"/>
  <c r="K873" i="2" s="1"/>
  <c r="K874" i="2" a="1"/>
  <c r="K874" i="2" s="1"/>
  <c r="K875" i="2" a="1"/>
  <c r="K875" i="2"/>
  <c r="K876" i="2" a="1"/>
  <c r="K876" i="2"/>
  <c r="K877" i="2" a="1"/>
  <c r="K877" i="2"/>
  <c r="K878" i="2" a="1"/>
  <c r="K878" i="2"/>
  <c r="K879" i="2" a="1"/>
  <c r="K879" i="2" s="1"/>
  <c r="K880" i="2" a="1"/>
  <c r="K880" i="2" s="1"/>
  <c r="K881" i="2" a="1"/>
  <c r="K881" i="2" s="1"/>
  <c r="K882" i="2" a="1"/>
  <c r="K882" i="2" s="1"/>
  <c r="K883" i="2" a="1"/>
  <c r="K883" i="2" s="1"/>
  <c r="K884" i="2" a="1"/>
  <c r="K884" i="2"/>
  <c r="K885" i="2" a="1"/>
  <c r="K885" i="2"/>
  <c r="K886" i="2" a="1"/>
  <c r="K886" i="2" s="1"/>
  <c r="K887" i="2" a="1"/>
  <c r="K887" i="2" s="1"/>
  <c r="K888" i="2" a="1"/>
  <c r="K888" i="2" s="1"/>
  <c r="K889" i="2" a="1"/>
  <c r="K889" i="2"/>
  <c r="K890" i="2" a="1"/>
  <c r="K890" i="2" s="1"/>
  <c r="K891" i="2" a="1"/>
  <c r="K891" i="2"/>
  <c r="K892" i="2" a="1"/>
  <c r="K892" i="2"/>
  <c r="K893" i="2" a="1"/>
  <c r="K893" i="2"/>
  <c r="K894" i="2" a="1"/>
  <c r="K894" i="2" s="1"/>
  <c r="K895" i="2" a="1"/>
  <c r="K895" i="2"/>
  <c r="K896" i="2" a="1"/>
  <c r="K896" i="2" s="1"/>
  <c r="K897" i="2" a="1"/>
  <c r="K897" i="2" s="1"/>
  <c r="K898" i="2" a="1"/>
  <c r="K898" i="2" s="1"/>
  <c r="K899" i="2" a="1"/>
  <c r="K899" i="2" s="1"/>
  <c r="K900" i="2" a="1"/>
  <c r="K900" i="2" s="1"/>
  <c r="K901" i="2" a="1"/>
  <c r="K901" i="2" s="1"/>
  <c r="K902" i="2" a="1"/>
  <c r="K902" i="2" s="1"/>
  <c r="K903" i="2" a="1"/>
  <c r="K903" i="2" s="1"/>
  <c r="K904" i="2" a="1"/>
  <c r="K904" i="2" s="1"/>
  <c r="K905" i="2" a="1"/>
  <c r="K905" i="2"/>
  <c r="K906" i="2" a="1"/>
  <c r="K906" i="2"/>
  <c r="K907" i="2" a="1"/>
  <c r="K907" i="2"/>
  <c r="K908" i="2" a="1"/>
  <c r="K908" i="2" s="1"/>
  <c r="K909" i="2" a="1"/>
  <c r="K909" i="2" s="1"/>
  <c r="K910" i="2" a="1"/>
  <c r="K910" i="2" s="1"/>
  <c r="K911" i="2" a="1"/>
  <c r="K911" i="2" s="1"/>
  <c r="K912" i="2" a="1"/>
  <c r="K912" i="2" s="1"/>
  <c r="K913" i="2" a="1"/>
  <c r="K913" i="2" s="1"/>
  <c r="K914" i="2" a="1"/>
  <c r="K914" i="2" s="1"/>
  <c r="K915" i="2" a="1"/>
  <c r="K915" i="2" s="1"/>
  <c r="K916" i="2" a="1"/>
  <c r="K916" i="2"/>
  <c r="K917" i="2" a="1"/>
  <c r="K917" i="2"/>
  <c r="K918" i="2" a="1"/>
  <c r="K918" i="2" s="1"/>
  <c r="K919" i="2" a="1"/>
  <c r="K919" i="2" s="1"/>
  <c r="K920" i="2" a="1"/>
  <c r="K920" i="2" s="1"/>
  <c r="K921" i="2" a="1"/>
  <c r="K921" i="2"/>
  <c r="K922" i="2" a="1"/>
  <c r="K922" i="2"/>
  <c r="K923" i="2" a="1"/>
  <c r="K923" i="2" s="1"/>
  <c r="K924" i="2" a="1"/>
  <c r="K924" i="2"/>
  <c r="K925" i="2" a="1"/>
  <c r="K925" i="2"/>
  <c r="K926" i="2" a="1"/>
  <c r="K926" i="2"/>
  <c r="K927" i="2" a="1"/>
  <c r="K927" i="2" s="1"/>
  <c r="K928" i="2" a="1"/>
  <c r="K928" i="2" s="1"/>
  <c r="K929" i="2" a="1"/>
  <c r="K929" i="2" s="1"/>
  <c r="K930" i="2" a="1"/>
  <c r="K930" i="2" s="1"/>
  <c r="K931" i="2" a="1"/>
  <c r="K931" i="2" s="1"/>
  <c r="K932" i="2" a="1"/>
  <c r="K932" i="2" s="1"/>
  <c r="K933" i="2" a="1"/>
  <c r="K933" i="2"/>
  <c r="K934" i="2" a="1"/>
  <c r="K934" i="2" s="1"/>
  <c r="K935" i="2" a="1"/>
  <c r="K935" i="2"/>
  <c r="K936" i="2" a="1"/>
  <c r="K936" i="2" s="1"/>
  <c r="K937" i="2" a="1"/>
  <c r="K937" i="2"/>
  <c r="K938" i="2" a="1"/>
  <c r="K938" i="2" s="1"/>
  <c r="K939" i="2" a="1"/>
  <c r="K939" i="2"/>
  <c r="K940" i="2" a="1"/>
  <c r="K940" i="2"/>
  <c r="K941" i="2" a="1"/>
  <c r="K941" i="2"/>
  <c r="K942" i="2" a="1"/>
  <c r="K942" i="2" s="1"/>
  <c r="K943" i="2" a="1"/>
  <c r="K943" i="2"/>
  <c r="K944" i="2" a="1"/>
  <c r="K944" i="2" s="1"/>
  <c r="K945" i="2" a="1"/>
  <c r="K945" i="2"/>
  <c r="K946" i="2" a="1"/>
  <c r="K946" i="2" s="1"/>
  <c r="K947" i="2" a="1"/>
  <c r="K947" i="2" s="1"/>
  <c r="K948" i="2" a="1"/>
  <c r="K948" i="2" s="1"/>
  <c r="K949" i="2" a="1"/>
  <c r="K949" i="2" s="1"/>
  <c r="K950" i="2" a="1"/>
  <c r="K950" i="2" s="1"/>
  <c r="K951" i="2" a="1"/>
  <c r="K951" i="2" s="1"/>
  <c r="K952" i="2" a="1"/>
  <c r="K952" i="2" s="1"/>
  <c r="K953" i="2" a="1"/>
  <c r="K953" i="2" s="1"/>
  <c r="K954" i="2" a="1"/>
  <c r="K954" i="2"/>
  <c r="K955" i="2" a="1"/>
  <c r="K955" i="2"/>
  <c r="K956" i="2" a="1"/>
  <c r="K956" i="2"/>
  <c r="K957" i="2" a="1"/>
  <c r="K957" i="2" s="1"/>
  <c r="K958" i="2" a="1"/>
  <c r="K958" i="2"/>
  <c r="K959" i="2" a="1"/>
  <c r="K959" i="2"/>
  <c r="K960" i="2" a="1"/>
  <c r="K960" i="2" s="1"/>
  <c r="K961" i="2" a="1"/>
  <c r="K961" i="2"/>
  <c r="K962" i="2" a="1"/>
  <c r="K962" i="2"/>
  <c r="K963" i="2" a="1"/>
  <c r="K963" i="2" s="1"/>
  <c r="K964" i="2" a="1"/>
  <c r="K964" i="2" s="1"/>
  <c r="K965" i="2" a="1"/>
  <c r="K965" i="2" s="1"/>
  <c r="K966" i="2" a="1"/>
  <c r="K966" i="2" s="1"/>
  <c r="K967" i="2" a="1"/>
  <c r="K967" i="2" s="1"/>
  <c r="K968" i="2" a="1"/>
  <c r="K968" i="2" s="1"/>
  <c r="K969" i="2" a="1"/>
  <c r="K969" i="2"/>
  <c r="K970" i="2" a="1"/>
  <c r="K970" i="2"/>
  <c r="K971" i="2" a="1"/>
  <c r="K971" i="2"/>
  <c r="K972" i="2" a="1"/>
  <c r="K972" i="2" s="1"/>
  <c r="K973" i="2" a="1"/>
  <c r="K973" i="2"/>
  <c r="K974" i="2" a="1"/>
  <c r="K974" i="2"/>
  <c r="K975" i="2" a="1"/>
  <c r="K975" i="2"/>
  <c r="K976" i="2" a="1"/>
  <c r="K976" i="2" s="1"/>
  <c r="K977" i="2" a="1"/>
  <c r="K977" i="2" s="1"/>
  <c r="K978" i="2" a="1"/>
  <c r="K978" i="2" s="1"/>
  <c r="K979" i="2" a="1"/>
  <c r="K979" i="2" s="1"/>
  <c r="K980" i="2" a="1"/>
  <c r="K980" i="2" s="1"/>
  <c r="K981" i="2" a="1"/>
  <c r="K981" i="2" s="1"/>
  <c r="K982" i="2" a="1"/>
  <c r="K982" i="2" s="1"/>
  <c r="K983" i="2" a="1"/>
  <c r="K983" i="2" s="1"/>
  <c r="K984" i="2" a="1"/>
  <c r="K984" i="2" s="1"/>
  <c r="K985" i="2" a="1"/>
  <c r="K985" i="2"/>
  <c r="K986" i="2" a="1"/>
  <c r="K986" i="2"/>
  <c r="K987" i="2" a="1"/>
  <c r="K987" i="2" s="1"/>
  <c r="K988" i="2" a="1"/>
  <c r="K988" i="2"/>
  <c r="K989" i="2" a="1"/>
  <c r="K989" i="2"/>
  <c r="K990" i="2" a="1"/>
  <c r="K990" i="2"/>
  <c r="K991" i="2" a="1"/>
  <c r="K991" i="2" s="1"/>
  <c r="K992" i="2" a="1"/>
  <c r="K992" i="2" s="1"/>
  <c r="K993" i="2" a="1"/>
  <c r="K993" i="2"/>
  <c r="K994" i="2" a="1"/>
  <c r="K994" i="2"/>
  <c r="K995" i="2" a="1"/>
  <c r="K995" i="2" s="1"/>
  <c r="K996" i="2" a="1"/>
  <c r="K996" i="2" s="1"/>
  <c r="K997" i="2" a="1"/>
  <c r="K997" i="2" s="1"/>
  <c r="K998" i="2" a="1"/>
  <c r="K998" i="2" s="1"/>
  <c r="K999" i="2" a="1"/>
  <c r="K999" i="2" s="1"/>
  <c r="K1000" i="2" a="1"/>
  <c r="K1000" i="2" s="1"/>
  <c r="K1001" i="2" a="1"/>
  <c r="K1001" i="2"/>
  <c r="K1002" i="2" a="1"/>
  <c r="K1002" i="2"/>
  <c r="K1003" i="2" a="1"/>
  <c r="K100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5" i="2"/>
  <c r="I4"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G1004" i="2"/>
  <c r="I39" i="13" l="1"/>
  <c r="H38" i="13"/>
  <c r="H42" i="13"/>
  <c r="H41" i="13"/>
  <c r="H40" i="13"/>
  <c r="H39" i="13"/>
  <c r="I38" i="13"/>
  <c r="I42" i="13"/>
  <c r="I41" i="13"/>
  <c r="I40"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05EFDA-E85F-48B6-9121-1948F2C2773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4C1C604-FC53-4E28-AAC3-803BD45328E6}" name="WorksheetConnection_05.sample-data-pivots-blank.xlsx!calls" type="102" refreshedVersion="8" minRefreshableVersion="5">
    <extLst>
      <ext xmlns:x15="http://schemas.microsoft.com/office/spreadsheetml/2010/11/main" uri="{DE250136-89BD-433C-8126-D09CA5730AF9}">
        <x15:connection id="calls" autoDelete="1">
          <x15:rangePr sourceName="_xlcn.WorksheetConnection_05.sampledatapivotsblank.xlsxcalls1"/>
        </x15:connection>
      </ext>
    </extLst>
  </connection>
  <connection id="3" xr16:uid="{9B32B0CC-CEEF-4A28-B787-AEF051BB46D7}" name="WorksheetConnection_05.sample-data-pivots-blank.xlsx!customer" type="102" refreshedVersion="8" minRefreshableVersion="5">
    <extLst>
      <ext xmlns:x15="http://schemas.microsoft.com/office/spreadsheetml/2010/11/main" uri="{DE250136-89BD-433C-8126-D09CA5730AF9}">
        <x15:connection id="customer">
          <x15:rangePr sourceName="_xlcn.WorksheetConnection_05.sampledatapivotsblank.xlsxcustomer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<sst xmlns="http://schemas.openxmlformats.org/spreadsheetml/2006/main" count="3404" uniqueCount="1114">
  <si>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</si>
  <si>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</si>
  <si>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</si>
  <si>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</si>
  <si>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</si>
  <si>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</si>
  <si>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</si>
  <si>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</si>
  <si>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</si>
  <si>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</si>
  <si>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</si>
  <si>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</si>
  <si>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</si>
  <si>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</si>
  <si>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</si>
  <si>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</si>
  <si>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</si>
  <si>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</si>
  <si>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</si>
  <si>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</si>
  <si>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</si>
  <si>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</si>
  <si>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</si>
  <si>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</si>
  <si>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</si>
  <si>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</si>
  <si>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</si>
  <si>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</si>
  <si>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</si>
  <si>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</si>
  <si>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</si>
  <si>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</si>
  <si>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</si>
  <si>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</si>
  <si>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</si>
  <si>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</si>
  <si>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</si>
  <si>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</si>
  <si>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</si>
  <si>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</si>
  <si>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</si>
  <si>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</si>
  <si>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</si>
  <si>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</si>
  <si>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</si>
  <si>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</si>
  <si>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</si>
  <si>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</si>
  <si>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</si>
  <si>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</si>
  <si>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</si>
  <si>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</si>
  <si>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</si>
  <si>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</si>
  <si>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</si>
  <si>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</si>
  <si>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</si>
  <si>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</si>
  <si>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</si>
  <si>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</si>
  <si>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</si>
  <si>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</si>
  <si>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</si>
  <si>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</si>
  <si>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</si>
  <si>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</si>
  <si>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</si>
  <si>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</si>
  <si>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</si>
  <si>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</si>
  <si>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</si>
  <si>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</si>
  <si>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</si>
  <si>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</si>
  <si>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</si>
  <si>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</si>
  <si>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</si>
  <si>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</si>
  <si>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</si>
  <si>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</si>
  <si>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</si>
  <si>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</si>
  <si>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</si>
  <si>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</si>
  <si>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</si>
  <si>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</si>
  <si>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</si>
  <si>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</si>
  <si>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</si>
  <si>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</si>
  <si>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</si>
  <si>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</si>
  <si>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</si>
  <si>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</si>
  <si>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</si>
  <si>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</si>
  <si>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</si>
  <si>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</si>
  <si>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</si>
  <si>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</si>
  <si>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</si>
  <si>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</si>
  <si>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</si>
  <si>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</si>
  <si>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</si>
  <si>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</si>
  <si>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</si>
  <si>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</si>
  <si>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</si>
  <si>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</si>
  <si>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</si>
  <si>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</si>
  <si>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</si>
  <si>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</si>
  <si>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</si>
  <si>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</si>
  <si>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</si>
  <si>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</si>
  <si>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</si>
  <si>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</si>
  <si>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</si>
  <si>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</si>
  <si>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</si>
  <si>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</si>
  <si>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</si>
  <si>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</si>
  <si>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</si>
  <si>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</si>
  <si>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</si>
  <si>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</si>
  <si>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</si>
  <si>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</si>
  <si>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</si>
  <si>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</si>
  <si>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</si>
  <si>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</si>
  <si>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</si>
  <si>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</si>
  <si>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</si>
  <si>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</si>
  <si>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</si>
  <si>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</si>
  <si>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</si>
  <si>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</si>
  <si>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</si>
  <si>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</si>
  <si>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</si>
  <si>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</si>
  <si>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</si>
  <si>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</si>
  <si>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</si>
  <si>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</si>
  <si>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</si>
  <si>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</si>
  <si>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</si>
  <si>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</si>
  <si>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</si>
  <si>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</si>
  <si>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</si>
  <si>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</si>
  <si>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</si>
  <si>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</si>
  <si>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</si>
  <si>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</si>
  <si>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</si>
  <si>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</si>
  <si>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</si>
  <si>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</si>
  <si>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</si>
  <si>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</si>
  <si>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</si>
  <si>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</si>
  <si>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</si>
  <si>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</si>
  <si>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</si>
  <si>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</si>
  <si>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</si>
  <si>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</si>
  <si>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</si>
  <si>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</si>
  <si>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</si>
  <si>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</si>
  <si>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</si>
  <si>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</si>
  <si>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</si>
  <si>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</si>
  <si>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</si>
  <si>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</si>
  <si>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</si>
  <si>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</si>
  <si>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</si>
  <si>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</si>
  <si>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</si>
  <si>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</si>
  <si>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</si>
  <si>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</si>
  <si>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</si>
  <si>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</si>
  <si>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</si>
  <si>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</si>
  <si>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</si>
  <si>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</si>
  <si>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</si>
  <si>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</si>
  <si>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</si>
  <si>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</si>
  <si>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</si>
  <si>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</si>
  <si>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</si>
  <si>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</si>
  <si>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</si>
  <si>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</si>
  <si>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</si>
  <si>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</si>
  <si>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</si>
  <si>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</si>
  <si>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</si>
  <si>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</si>
  <si>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</si>
  <si>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</si>
  <si>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</si>
  <si>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</si>
  <si>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</si>
  <si>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</si>
  <si>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</si>
  <si>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</si>
  <si>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</si>
  <si>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</si>
  <si>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</si>
  <si>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</si>
  <si>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</si>
  <si>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</si>
  <si>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</si>
  <si>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</si>
  <si>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</si>
  <si>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</si>
  <si>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</si>
  <si>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</si>
  <si>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</si>
  <si>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</si>
  <si>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</si>
  <si>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</si>
  <si>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</si>
  <si>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</si>
  <si>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</si>
  <si>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</si>
  <si>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</si>
  <si>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</si>
  <si>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</si>
  <si>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</si>
  <si>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</si>
  <si>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</si>
  <si>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</si>
  <si>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</si>
  <si>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</si>
  <si>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</si>
  <si>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</si>
  <si>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</si>
  <si>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</si>
  <si>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</si>
  <si>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</si>
  <si>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</si>
  <si>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</si>
  <si>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</si>
  <si>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</si>
  <si>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</si>
  <si>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</si>
  <si>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</si>
  <si>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</si>
  <si>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</si>
  <si>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</si>
  <si>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</si>
  <si>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</si>
  <si>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</si>
  <si>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</si>
  <si>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</si>
  <si>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</si>
  <si>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</si>
  <si>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</si>
  <si>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</si>
  <si>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</si>
  <si>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</si>
  <si>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</si>
  <si>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</si>
  <si>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</si>
  <si>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</si>
  <si>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</si>
  <si>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</si>
  <si>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</si>
  <si>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</si>
  <si>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</si>
  <si>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</si>
  <si>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</si>
  <si>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</si>
  <si>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</si>
  <si>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</si>
  <si>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</si>
  <si>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</si>
  <si>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</si>
  <si>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</si>
  <si>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</si>
  <si>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</si>
  <si>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</si>
  <si>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</si>
  <si>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</si>
  <si>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</si>
  <si>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</si>
  <si>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</si>
  <si>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</si>
  <si>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</si>
  <si>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</si>
  <si>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</si>
  <si>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</si>
  <si>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</si>
  <si>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</si>
  <si>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</si>
  <si>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</si>
  <si>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</si>
  <si>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</si>
  <si>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</si>
  <si>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</si>
  <si>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</si>
  <si>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</si>
  <si>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</si>
  <si>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</si>
  <si>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</si>
  <si>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</si>
  <si>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</si>
  <si>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</si>
  <si>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</si>
  <si>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</si>
  <si>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</si>
  <si>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</si>
  <si>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</si>
  <si>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</si>
  <si>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</si>
  <si>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</si>
  <si>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</si>
  <si>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</si>
  <si>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</si>
  <si>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</si>
  <si>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</si>
  <si>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</si>
  <si>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</si>
  <si>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</si>
  <si>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</si>
  <si>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</si>
  <si>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</si>
  <si>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</si>
  <si>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</si>
  <si>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</si>
  <si>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</si>
  <si>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</si>
  <si>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</si>
  <si>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</si>
  <si>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</si>
  <si>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</si>
  <si>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</si>
  <si>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</si>
  <si>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</si>
  <si>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</si>
  <si>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</si>
  <si>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</si>
  <si>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</si>
  <si>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</si>
  <si>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</si>
  <si>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</si>
  <si>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</si>
  <si>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</si>
  <si>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</si>
  <si>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</si>
  <si>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</si>
  <si>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</si>
  <si>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</si>
  <si>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</si>
  <si>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</si>
  <si>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</si>
  <si>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</si>
  <si>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</si>
  <si>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</si>
  <si>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</si>
  <si>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</si>
  <si>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</si>
  <si>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</si>
  <si>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</si>
  <si>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</si>
  <si>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</si>
  <si>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</si>
  <si>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</si>
  <si>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</si>
  <si>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</si>
  <si>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</si>
  <si>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</si>
  <si>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</si>
  <si>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</si>
  <si>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</si>
  <si>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</si>
  <si>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</si>
  <si>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</si>
  <si>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</si>
  <si>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</si>
  <si>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</si>
  <si>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</si>
  <si>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</si>
  <si>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</si>
  <si>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</si>
  <si>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</si>
  <si>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</si>
  <si>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</si>
  <si>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</si>
  <si>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</si>
  <si>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</si>
  <si>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</si>
  <si>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</si>
  <si>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</si>
  <si>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</si>
  <si>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</si>
  <si>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</si>
  <si>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</si>
  <si>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</si>
  <si>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</si>
  <si>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</si>
  <si>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</si>
  <si>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</si>
  <si>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</si>
  <si>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</si>
  <si>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</si>
  <si>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</si>
  <si>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</si>
  <si>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</si>
  <si>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</si>
  <si>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</si>
  <si>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</si>
  <si>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</si>
  <si>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</si>
  <si>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</si>
  <si>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</si>
  <si>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</si>
  <si>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</si>
  <si>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</si>
  <si>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</si>
  <si>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</si>
  <si>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</si>
  <si>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</si>
  <si>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</si>
  <si>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</si>
  <si>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</si>
  <si>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</si>
  <si>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</si>
  <si>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</si>
  <si>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</si>
  <si>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</si>
  <si>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</si>
  <si>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</si>
  <si>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</si>
  <si>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</si>
  <si>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</si>
  <si>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</si>
  <si>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</si>
  <si>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</si>
  <si>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</si>
  <si>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</si>
  <si>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</si>
  <si>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</si>
  <si>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</si>
  <si>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</si>
  <si>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</si>
  <si>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</si>
  <si>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</si>
  <si>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</si>
  <si>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</si>
  <si>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</si>
  <si>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</si>
  <si>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</si>
  <si>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</si>
  <si>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</si>
  <si>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</si>
  <si>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</si>
  <si>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</si>
  <si>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</si>
  <si>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</si>
  <si>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</si>
  <si>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</si>
  <si>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</si>
  <si>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</si>
  <si>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</si>
  <si>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</si>
  <si>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</si>
  <si>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</si>
  <si>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</si>
  <si>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</si>
  <si>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</si>
  <si>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</si>
  <si>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</si>
  <si>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</si>
  <si>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</si>
  <si>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</si>
  <si>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</si>
  <si>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</si>
  <si>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</si>
  <si>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</si>
  <si>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</si>
  <si>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</si>
  <si>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</si>
  <si>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</si>
  <si>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</si>
  <si>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</si>
  <si>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</si>
  <si>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</si>
  <si>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</si>
  <si>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</si>
  <si>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</si>
  <si>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</si>
  <si>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</si>
  <si>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</si>
  <si>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</si>
  <si>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</si>
  <si>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</si>
  <si>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</si>
  <si>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</si>
  <si>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</si>
  <si>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</si>
  <si>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</si>
  <si>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</si>
  <si>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</si>
  <si>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</si>
  <si>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</si>
  <si>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</si>
  <si>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</si>
  <si>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</si>
  <si>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</si>
  <si>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</si>
  <si>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</si>
  <si>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</si>
  <si>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</si>
  <si>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</si>
  <si>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</si>
  <si>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</si>
  <si>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</si>
  <si>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</si>
  <si>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</si>
  <si>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</si>
  <si>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</si>
  <si>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</si>
  <si>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</si>
  <si>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</si>
  <si>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</si>
  <si>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</si>
  <si>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</si>
  <si>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</si>
  <si>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</si>
  <si>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</si>
  <si>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</si>
  <si>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</si>
  <si>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</si>
  <si>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</si>
  <si>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</si>
  <si>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</si>
  <si>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</si>
  <si>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</si>
  <si>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</si>
  <si>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</si>
  <si>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</si>
  <si>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</si>
  <si>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</si>
  <si>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</si>
  <si>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</si>
  <si>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</si>
  <si>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</si>
  <si>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</si>
  <si>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</si>
  <si>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</si>
  <si>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</si>
  <si>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</si>
  <si>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</si>
  <si>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</si>
  <si>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</si>
  <si>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</si>
  <si>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</si>
  <si>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</si>
  <si>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</si>
  <si>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</si>
  <si>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</si>
  <si>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</si>
  <si>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</si>
  <si>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</si>
  <si>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</si>
  <si>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</si>
  <si>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</si>
  <si>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</si>
  <si>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</si>
  <si>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</si>
  <si>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</si>
  <si>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</si>
  <si>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</si>
  <si>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</si>
  <si>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</si>
  <si>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</si>
  <si>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</si>
  <si>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</si>
  <si>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</si>
  <si>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</si>
  <si>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</si>
  <si>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</si>
  <si>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</si>
  <si>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</si>
  <si>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</si>
  <si>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</si>
  <si>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</si>
  <si>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</si>
  <si>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</si>
  <si>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</si>
  <si>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</si>
  <si>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</si>
  <si>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</si>
  <si>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</si>
  <si>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</si>
  <si>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</si>
  <si>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</si>
  <si>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</si>
  <si>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</si>
  <si>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</si>
  <si>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</si>
  <si>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</si>
  <si>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</si>
  <si>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</si>
  <si>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</si>
  <si>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</si>
  <si>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</si>
  <si>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</si>
  <si>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</si>
  <si>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</si>
  <si>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</si>
  <si>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</si>
  <si>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</si>
  <si>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</si>
  <si>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</si>
  <si>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</si>
  <si>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</si>
  <si>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</si>
  <si>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</si>
  <si>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</si>
  <si>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</si>
  <si>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</si>
  <si>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</si>
  <si>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</si>
  <si>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</si>
  <si>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</si>
  <si>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</si>
  <si>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</si>
  <si>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</si>
  <si>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</si>
  <si>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</si>
  <si>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</si>
  <si>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</si>
  <si>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</si>
  <si>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</si>
  <si>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</si>
  <si>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</si>
  <si>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</si>
  <si>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</si>
  <si>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</si>
  <si>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</si>
  <si>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</si>
  <si>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</si>
  <si>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</si>
  <si>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</si>
  <si>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</si>
  <si>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</si>
  <si>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</si>
  <si>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</si>
  <si>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</si>
  <si>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</si>
  <si>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</si>
  <si>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</si>
  <si>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</si>
  <si>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</si>
  <si>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</si>
  <si>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</si>
  <si>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</si>
  <si>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</si>
  <si>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</si>
  <si>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</si>
  <si>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</si>
  <si>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</si>
  <si>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</si>
  <si>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</si>
  <si>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</si>
  <si>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</si>
  <si>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</si>
  <si>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</si>
  <si>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</si>
  <si>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</si>
  <si>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</si>
  <si>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</si>
  <si>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</si>
  <si>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</si>
  <si>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</si>
  <si>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</si>
  <si>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</si>
  <si>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</si>
  <si>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</si>
  <si>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</si>
  <si>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</si>
  <si>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</si>
  <si>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</si>
  <si>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</si>
  <si>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</si>
  <si>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</si>
  <si>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</si>
  <si>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</si>
  <si>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</si>
  <si>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</si>
  <si>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</si>
  <si>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</si>
  <si>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</si>
  <si>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</si>
  <si>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</si>
  <si>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</si>
  <si>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</si>
  <si>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</si>
  <si>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</si>
  <si>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</si>
  <si>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</si>
  <si>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</si>
  <si>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</si>
  <si>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</si>
  <si>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</si>
  <si>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</si>
  <si>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</si>
  <si>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</si>
  <si>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</si>
  <si>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</si>
  <si>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</si>
  <si>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</si>
  <si>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</si>
  <si>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</si>
  <si>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</si>
  <si>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</si>
  <si>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</si>
  <si>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</si>
  <si>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</si>
  <si>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</si>
  <si>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</si>
  <si>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</si>
  <si>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</si>
  <si>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</si>
  <si>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</si>
  <si>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</si>
  <si>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</si>
  <si>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</si>
  <si>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</si>
  <si>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</si>
  <si>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</si>
  <si>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</si>
  <si>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</si>
  <si>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</si>
  <si>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</si>
  <si>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</si>
  <si>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</si>
  <si>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</si>
  <si>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</si>
  <si>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</si>
  <si>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</si>
  <si>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</si>
  <si>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</si>
  <si>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</si>
  <si>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</si>
  <si>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</si>
  <si>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</si>
  <si>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</si>
  <si>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</si>
  <si>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</si>
  <si>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</si>
  <si>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</si>
  <si>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</si>
  <si>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</si>
  <si>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</si>
  <si>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</si>
  <si>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</si>
  <si>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</si>
  <si>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</si>
  <si>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</si>
  <si>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</si>
  <si>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</si>
  <si>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</si>
  <si>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</si>
  <si>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</si>
  <si>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</si>
  <si>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</si>
  <si>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</si>
  <si>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</si>
  <si>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</si>
  <si>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</si>
  <si>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</si>
  <si>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</si>
  <si>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</si>
  <si>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</si>
  <si>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</si>
  <si>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</si>
  <si>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</si>
  <si>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</si>
  <si>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</si>
  <si>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</si>
  <si>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</si>
  <si>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</si>
  <si>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</si>
  <si>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</si>
  <si>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</si>
  <si>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</si>
  <si>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</si>
  <si>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</si>
  <si>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</si>
  <si>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</si>
  <si>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</si>
  <si>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</si>
  <si>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</si>
  <si>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</si>
  <si>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</si>
  <si>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</si>
  <si>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</si>
  <si>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</si>
  <si>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</si>
  <si>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</si>
  <si>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</si>
  <si>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</si>
  <si>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</si>
  <si>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</si>
  <si>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</si>
  <si>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</si>
  <si>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</si>
  <si>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</si>
  <si>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</si>
  <si>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</si>
  <si>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</si>
  <si>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</si>
  <si>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</si>
  <si>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</si>
  <si>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</si>
  <si>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</si>
  <si>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</si>
  <si>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</si>
  <si>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</si>
  <si>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</si>
  <si>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</si>
  <si>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</si>
  <si>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</si>
  <si>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</si>
  <si>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</si>
  <si>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</si>
  <si>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</si>
  <si>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</si>
  <si>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</si>
  <si>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</si>
  <si>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</si>
  <si>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</si>
  <si>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</si>
  <si>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</si>
  <si>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</si>
  <si>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</si>
  <si>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</si>
  <si>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</si>
  <si>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</si>
  <si>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</si>
  <si>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</si>
  <si>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</si>
  <si>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</si>
  <si>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</si>
  <si>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</si>
  <si>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</si>
  <si>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</si>
  <si>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</si>
  <si>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</si>
  <si>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</si>
  <si>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</si>
  <si>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</si>
  <si>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</si>
  <si>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</si>
  <si>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</si>
  <si>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</si>
  <si>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</si>
  <si>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</si>
  <si>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</si>
  <si>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</si>
  <si>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</si>
  <si>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</si>
  <si>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</si>
  <si>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</si>
  <si>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</si>
  <si>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</si>
  <si>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</si>
  <si>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</si>
  <si>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</si>
  <si>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</si>
  <si>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</si>
  <si>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</si>
  <si>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</si>
  <si>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</si>
  <si>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</si>
  <si>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</si>
  <si>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</si>
  <si>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</si>
  <si>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</si>
  <si>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</si>
  <si>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</si>
  <si>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</si>
  <si>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</si>
  <si>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</si>
  <si>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</si>
  <si>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</si>
  <si>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</si>
  <si>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</si>
  <si>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</si>
  <si>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</si>
  <si>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</si>
  <si>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</si>
  <si>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</si>
  <si>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</si>
  <si>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</si>
  <si>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</si>
  <si>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</si>
  <si>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</si>
  <si>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</si>
  <si>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</si>
  <si>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</si>
  <si>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</si>
  <si>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</si>
  <si>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</si>
  <si>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</si>
  <si>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</si>
  <si>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</si>
  <si>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</si>
  <si>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</si>
  <si>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</si>
  <si>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</si>
  <si>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</si>
  <si>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</si>
  <si>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</si>
  <si>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</si>
  <si>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</si>
  <si>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</si>
  <si>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</si>
  <si>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</si>
  <si>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</si>
  <si>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</si>
  <si>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</si>
  <si>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</si>
  <si>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</si>
  <si>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</si>
  <si>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</si>
  <si>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</si>
  <si>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</si>
  <si>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</si>
  <si>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</si>
  <si>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</si>
  <si>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</si>
  <si>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</si>
  <si>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</si>
  <si>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</si>
  <si>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</si>
  <si>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</si>
  <si>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</si>
  <si>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</si>
  <si>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</si>
  <si>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</si>
  <si>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</si>
  <si>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</si>
  <si>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</si>
  <si>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</si>
  <si>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</si>
  <si>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</si>
  <si>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</si>
  <si>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</si>
  <si>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</si>
  <si>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</si>
  <si>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</si>
  <si>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</si>
  <si>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</si>
  <si>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</si>
  <si>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</si>
  <si>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</si>
  <si>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</si>
  <si>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</si>
  <si>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</si>
  <si>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</si>
  <si>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</si>
  <si>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</si>
  <si>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</si>
  <si>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</si>
  <si>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</si>
  <si>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</si>
  <si>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</si>
  <si>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</si>
  <si>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</si>
  <si>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</si>
  <si>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</si>
  <si>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</si>
  <si>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</si>
  <si>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</si>
  <si>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</si>
  <si>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</si>
  <si>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</si>
  <si>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</si>
  <si>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</si>
  <si>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Pivot Tables in Excel</t>
  </si>
  <si>
    <t>Analysis Themes:</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</si>
  <si>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</si>
  <si>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</si>
  <si>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</si>
  <si>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</si>
  <si>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</si>
  <si>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</si>
  <si>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</si>
  <si>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</si>
  <si>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</si>
  <si>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</si>
  <si>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</si>
  <si>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</si>
  <si>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</si>
  <si>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</si>
  <si>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</si>
  <si>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</si>
  <si>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</si>
  <si>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</si>
  <si>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</si>
  <si>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</si>
  <si>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</si>
  <si>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</si>
  <si>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</si>
  <si>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</si>
  <si>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</si>
  <si>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</si>
  <si>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</si>
  <si>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</si>
  <si>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</si>
  <si>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</si>
  <si>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</si>
  <si>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</si>
  <si>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How many calls we are getting by customer?</t>
  </si>
  <si>
    <t>How satisfied are our customers?</t>
  </si>
  <si>
    <t>Concepts introduced:</t>
  </si>
  <si>
    <t>Pivoting data</t>
  </si>
  <si>
    <t>Chaging calculation mode</t>
  </si>
  <si>
    <t>Who are our top 10 customers?</t>
  </si>
  <si>
    <t>Filters</t>
  </si>
  <si>
    <t>Top 10 customers for a specific representative?</t>
  </si>
  <si>
    <t>Report filters / slicers</t>
  </si>
  <si>
    <t>Call duration analysis</t>
  </si>
  <si>
    <t>Grouping / bucketing</t>
  </si>
  <si>
    <t>How busy is our call centre in 2023?</t>
  </si>
  <si>
    <t>Trends / pivot chart</t>
  </si>
  <si>
    <t>Conditional formatting</t>
  </si>
  <si>
    <t>Which days of week are the busiest?</t>
  </si>
  <si>
    <t>Is there a link between call duration and satisfaction rating?</t>
  </si>
  <si>
    <t>Should we hire extra people in any specific months?</t>
  </si>
  <si>
    <t>YTD Sales Analysis</t>
  </si>
  <si>
    <t>Value settings</t>
  </si>
  <si>
    <t>H1</t>
  </si>
  <si>
    <t>H2</t>
  </si>
  <si>
    <t>Time wasters: Which customers call most but buy least?</t>
  </si>
  <si>
    <t>Rep training: Which rep(s) could use satisfaction training program?</t>
  </si>
  <si>
    <t>Adding columns, refresh, scatter graph</t>
  </si>
  <si>
    <t>Row Labels</t>
  </si>
  <si>
    <t>Grand Total</t>
  </si>
  <si>
    <t>Column Labels</t>
  </si>
  <si>
    <t>Count of Call number</t>
  </si>
  <si>
    <t>Average of Satisfaction Rating</t>
  </si>
  <si>
    <t>Sum of Purchase Amount</t>
  </si>
  <si>
    <t>Jan</t>
  </si>
  <si>
    <t>Feb</t>
  </si>
  <si>
    <t>Mar</t>
  </si>
  <si>
    <t>Apr</t>
  </si>
  <si>
    <t>May</t>
  </si>
  <si>
    <t>Jun</t>
  </si>
  <si>
    <t>Jul</t>
  </si>
  <si>
    <t>Aug</t>
  </si>
  <si>
    <t>Sep</t>
  </si>
  <si>
    <t>Oct</t>
  </si>
  <si>
    <t>Nov</t>
  </si>
  <si>
    <t>Dec</t>
  </si>
  <si>
    <t xml:space="preserve">we can also add the slicer to get details for each Representative by right cliking on the pivot table fields and the representative </t>
  </si>
  <si>
    <t>YEAR TO DATE</t>
  </si>
  <si>
    <t>7 . YTD Sales Analysis</t>
  </si>
  <si>
    <t>FINANCIAL YEAR</t>
  </si>
  <si>
    <t>IF(MONTH([@[Date of Call]])&lt;6,YEAR([@[Date of Call]]),YEAR([@[Date of Call]])+1)</t>
  </si>
  <si>
    <t>RUNNING TOTALS  WITH FINANCIAL YEAR</t>
  </si>
  <si>
    <t>DAY OF WEEK</t>
  </si>
  <si>
    <t>Sunday</t>
  </si>
  <si>
    <t>Monday</t>
  </si>
  <si>
    <t>Tuesday</t>
  </si>
  <si>
    <t>Wednesday</t>
  </si>
  <si>
    <t>Thursday</t>
  </si>
  <si>
    <t>Friday</t>
  </si>
  <si>
    <t>Saturday</t>
  </si>
  <si>
    <t>Duration Bucket</t>
  </si>
  <si>
    <t>1 - 2 Hours</t>
  </si>
  <si>
    <t>10 - 30 Mins</t>
  </si>
  <si>
    <t>30 - 60 Mins</t>
  </si>
  <si>
    <t>More than 2  Hours</t>
  </si>
  <si>
    <t>Under 10 Mins</t>
  </si>
  <si>
    <r>
      <t xml:space="preserve">we need to create the new column in the table called Duration Bucket : </t>
    </r>
    <r>
      <rPr>
        <b/>
        <sz val="11"/>
        <color theme="1"/>
        <rFont val="Palatino Linotype"/>
        <family val="2"/>
        <scheme val="minor"/>
      </rPr>
      <t>=IFS([@Duration]&lt;10,"Under 10 Mins",[@Duration]&lt;=30,"10 - 30 Mins",[@Duration]&lt;=60,"30 - 60 Mins",[@Duration]&lt;=120,"1 - 2 Hours",TRUE,"More than 2  Hours")</t>
    </r>
  </si>
  <si>
    <t>Rating Rounded</t>
  </si>
  <si>
    <r>
      <t xml:space="preserve">In the above table we came to a decision that in the month of Mar and Apr the Representative </t>
    </r>
    <r>
      <rPr>
        <b/>
        <sz val="11"/>
        <color theme="1"/>
        <rFont val="Palatino Linotype"/>
        <family val="2"/>
        <scheme val="minor"/>
      </rPr>
      <t xml:space="preserve">R02 </t>
    </r>
    <r>
      <rPr>
        <sz val="11"/>
        <color theme="1"/>
        <rFont val="Palatino Linotype"/>
        <family val="2"/>
        <scheme val="minor"/>
      </rPr>
      <t xml:space="preserve"> need a support so we can hire one person at that time</t>
    </r>
  </si>
  <si>
    <t>Total Amount</t>
  </si>
  <si>
    <t>Call Counts</t>
  </si>
  <si>
    <t>Total Duration</t>
  </si>
  <si>
    <t>Avg. Rating</t>
  </si>
  <si>
    <t>5* Calls</t>
  </si>
  <si>
    <t xml:space="preserve"> </t>
  </si>
  <si>
    <t>Call Counts2</t>
  </si>
  <si>
    <t xml:space="preserve">for graphs </t>
  </si>
  <si>
    <t>sel. Amount</t>
  </si>
  <si>
    <t>sel. Calls</t>
  </si>
  <si>
    <t>selected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</si>
</sst>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409]d\-mmm\-yy;@"/>
    <numFmt numFmtId="165" formatCode="_-[$$-409]* #,##0_ ;_-[$$-409]* \-#,##0\ ;_-[$$-409]* &quot;-&quot;??_ ;_-@_ "/>
    <numFmt numFmtId="166" formatCode="_ &quot;₹&quot;\ * #,##0_ ;_ &quot;₹&quot;\ * \-#,##0_ ;_ &quot;₹&quot;\ * &quot;-&quot;??_ ;_ @_ "/>
    <numFmt numFmtId="168" formatCode="&quot;₹&quot;\ #,##0;#,##0\ \-&quot;₹&quot;;&quot;₹&quot;\ #,##0"/>
    <numFmt numFmtId="169" formatCode="\$#,###.0,&quot;K&quot;"/>
    <numFmt numFmtId="170" formatCode="&quot;₹&quot;\ #,##0.0"/>
  </numFmts>
  <fonts count="13" x14ac:knownFonts="1">
    <font>
      <sz val="11"/>
      <color theme="1"/>
      <name val="Palatino Linotype"/>
      <family val="2"/>
      <scheme val="minor"/>
    </font>
    <font>
      <sz val="14"/>
      <color theme="1"/>
      <name val="Palatino Linotype"/>
      <family val="2"/>
      <scheme val="minor"/>
    </font>
    <font>
      <b/>
      <sz val="11"/>
      <color theme="1"/>
      <name val="Palatino Linotype"/>
      <family val="2"/>
      <scheme val="minor"/>
    </font>
    <font>
      <sz val="8"/>
      <name val="Palatino Linotype"/>
      <family val="2"/>
      <scheme val="minor"/>
    </font>
    <font>
      <sz val="28"/>
      <color theme="1"/>
      <name val="Aptos ExtraBold"/>
      <family val="2"/>
    </font>
    <font>
      <sz val="18"/>
      <color theme="1"/>
      <name val="Aptos ExtraBold"/>
      <family val="2"/>
    </font>
    <font>
      <sz val="16"/>
      <color theme="1"/>
      <name val="Aptos ExtraBold"/>
      <family val="2"/>
    </font>
    <font>
      <sz val="14"/>
      <color theme="1" tint="0.499984740745262"/>
      <name val="Palatino Linotype"/>
      <family val="2"/>
      <scheme val="minor"/>
    </font>
    <font>
      <sz val="11"/>
      <color theme="1"/>
      <name val="Century Gothic"/>
      <family val="2"/>
      <scheme val="major"/>
    </font>
    <font>
      <sz val="11"/>
      <color rgb="FF00B050"/>
      <name val="Palatino Linotype"/>
      <family val="2"/>
      <scheme val="minor"/>
    </font>
    <font>
      <b/>
      <sz val="12"/>
      <color theme="1"/>
      <name val="Palatino Linotype"/>
      <family val="2"/>
      <scheme val="minor"/>
    </font>
    <font>
      <b/>
      <sz val="14"/>
      <color theme="1"/>
      <name val="Palatino Linotype"/>
      <family val="2"/>
      <scheme val="minor"/>
    </font>
    <font>
      <b/>
      <sz val="11"/>
      <color theme="1"/>
      <name val="Palatino Linotype"/>
      <family val="1"/>
      <scheme val="minor"/>
    </font>
  </fonts>
  <fills count="6">
    <fill>
      <patternFill patternType="none"/>
    </fill>
    <fill>
      <patternFill patternType="gray125"/>
    </fill>
    <fill>
      <patternFill patternType="solid">
        <fgColor theme="4"/>
        <bgColor indexed="64"/>
      </patternFill>
    </fill>
    <fill>
      <patternFill patternType="solid">
        <fgColor theme="2"/>
        <bgColor indexed="64"/>
      </patternFill>
    </fill>
    <fill>
      <patternFill patternType="solid">
        <fgColor theme="7"/>
        <bgColor indexed="64"/>
      </patternFill>
    </fill>
    <fill>
      <patternFill patternType="solid">
        <fgColor theme="0" tint="-4.9989318521683403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style="thin">
        <color theme="0" tint="-0.2499465926084170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s>
  <cellStyleXfs count="1">
    <xf numFmtId="0" fontId="0" fillId="0" borderId="0"/>
  </cellStyleXfs>
  <cellXfs count="57">
    <xf numFmtId="0" fontId="0" fillId="0" borderId="0" xfId="0"/>
    <xf numFmtId="0" fontId="0" fillId="2" borderId="0" xfId="0" applyFill="1"/>
    <xf numFmtId="0" fontId="0" fillId="3" borderId="0" xfId="0" applyFill="1"/>
    <xf numFmtId="9" fontId="0" fillId="0" borderId="0" xfId="0" applyNumberFormat="1"/>
    <xf numFmtId="0" fontId="0" fillId="0" borderId="1" xfId="0" applyBorder="1"/>
    <xf numFmtId="2" fontId="0" fillId="0" borderId="1" xfId="0" applyNumberFormat="1" applyBorder="1" applyAlignment="1">
      <alignment horizontal="center"/>
    </xf>
    <xf numFmtId="9" fontId="0" fillId="0" borderId="1" xfId="0" applyNumberFormat="1" applyBorder="1"/>
    <xf numFmtId="0" fontId="0" fillId="4" borderId="0" xfId="0" applyFill="1"/>
    <xf numFmtId="0" fontId="4" fillId="3" borderId="0" xfId="0" applyFont="1" applyFill="1" applyAlignment="1">
      <alignment vertical="center"/>
    </xf>
    <xf numFmtId="164" fontId="0" fillId="0" borderId="1" xfId="0" applyNumberFormat="1" applyBorder="1" applyAlignment="1">
      <alignment horizontal="center"/>
    </xf>
    <xf numFmtId="0" fontId="5" fillId="4" borderId="0" xfId="0" applyFont="1" applyFill="1" applyAlignment="1">
      <alignment vertical="center"/>
    </xf>
    <xf numFmtId="0" fontId="1" fillId="0" borderId="2" xfId="0" applyFont="1" applyBorder="1" applyAlignment="1">
      <alignment vertical="center"/>
    </xf>
    <xf numFmtId="0" fontId="9" fillId="0" borderId="2" xfId="0" applyFont="1" applyBorder="1" applyAlignment="1">
      <alignment vertical="center"/>
    </xf>
    <xf numFmtId="0" fontId="1" fillId="0" borderId="3" xfId="0" applyFont="1" applyBorder="1" applyAlignment="1">
      <alignment vertical="center"/>
    </xf>
    <xf numFmtId="0" fontId="9" fillId="0" borderId="3" xfId="0" applyFont="1" applyBorder="1" applyAlignment="1">
      <alignment vertical="center"/>
    </xf>
    <xf numFmtId="0" fontId="1" fillId="0" borderId="4" xfId="0" applyFont="1" applyBorder="1" applyAlignment="1">
      <alignment vertical="center"/>
    </xf>
    <xf numFmtId="0" fontId="9" fillId="0" borderId="4" xfId="0" applyFont="1" applyBorder="1" applyAlignment="1">
      <alignment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6" fillId="0" borderId="0" xfId="0" applyFont="1"/>
    <xf numFmtId="0" fontId="8" fillId="0" borderId="0" xfId="0" applyFont="1"/>
    <xf numFmtId="0" fontId="0" fillId="0" borderId="5" xfId="0" applyBorder="1"/>
    <xf numFmtId="0" fontId="0" fillId="0" borderId="6" xfId="0" applyBorder="1"/>
    <xf numFmtId="0" fontId="2" fillId="0" borderId="7" xfId="0" applyFont="1" applyBorder="1"/>
    <xf numFmtId="0" fontId="2" fillId="0" borderId="8" xfId="0" applyFont="1" applyBorder="1"/>
    <xf numFmtId="0" fontId="2" fillId="0" borderId="8" xfId="0" applyFont="1" applyBorder="1" applyAlignment="1">
      <alignment horizontal="right"/>
    </xf>
    <xf numFmtId="0" fontId="2" fillId="0" borderId="8" xfId="0" applyFont="1" applyBorder="1" applyAlignment="1">
      <alignment horizontal="center"/>
    </xf>
    <xf numFmtId="0" fontId="2" fillId="0" borderId="9" xfId="0" applyFont="1" applyBorder="1"/>
    <xf numFmtId="0" fontId="0" fillId="0" borderId="10" xfId="0" applyBorder="1"/>
    <xf numFmtId="0" fontId="0" fillId="0" borderId="11" xfId="0" applyBorder="1"/>
    <xf numFmtId="2" fontId="0" fillId="0" borderId="11" xfId="0" applyNumberFormat="1" applyBorder="1" applyAlignment="1">
      <alignment horizontal="center"/>
    </xf>
    <xf numFmtId="164" fontId="0" fillId="0" borderId="11" xfId="0" applyNumberFormat="1" applyBorder="1" applyAlignment="1">
      <alignment horizontal="center"/>
    </xf>
    <xf numFmtId="0" fontId="0" fillId="0" borderId="12" xfId="0" applyBorder="1"/>
    <xf numFmtId="0" fontId="0" fillId="0" borderId="13" xfId="0" applyBorder="1"/>
    <xf numFmtId="9" fontId="0" fillId="0" borderId="11" xfId="0" applyNumberFormat="1" applyBorder="1"/>
    <xf numFmtId="0" fontId="0" fillId="0" borderId="14" xfId="0" applyBorder="1"/>
    <xf numFmtId="0" fontId="2" fillId="0" borderId="0" xfId="0" applyFon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165" fontId="0" fillId="0" borderId="0" xfId="0" applyNumberFormat="1"/>
    <xf numFmtId="0" fontId="0" fillId="0" borderId="0" xfId="0" applyAlignment="1">
      <alignment horizontal="justify"/>
    </xf>
    <xf numFmtId="0" fontId="10" fillId="0" borderId="0" xfId="0" applyFont="1"/>
    <xf numFmtId="166" fontId="0" fillId="0" borderId="0" xfId="0" applyNumberFormat="1"/>
    <xf numFmtId="0" fontId="11" fillId="0" borderId="0" xfId="0" applyFont="1"/>
    <xf numFmtId="10" fontId="0" fillId="0" borderId="0" xfId="0" applyNumberFormat="1"/>
    <xf numFmtId="3" fontId="0" fillId="0" borderId="0" xfId="0" applyNumberFormat="1"/>
    <xf numFmtId="0" fontId="0" fillId="5" borderId="0" xfId="0" applyFill="1"/>
    <xf numFmtId="168" fontId="0" fillId="0" borderId="0" xfId="0" applyNumberFormat="1"/>
    <xf numFmtId="0" fontId="12" fillId="0" borderId="0" xfId="0" applyFont="1"/>
    <xf numFmtId="169" fontId="0" fillId="0" borderId="0" xfId="0" applyNumberFormat="1"/>
    <xf numFmtId="0" fontId="0" fillId="0" borderId="0" xfId="0" applyNumberFormat="1"/>
    <xf numFmtId="0" fontId="0" fillId="5" borderId="0" xfId="0" applyFill="1" applyAlignment="1">
      <alignment horizontal="left" indent="1"/>
    </xf>
    <xf numFmtId="0" fontId="0" fillId="5" borderId="0" xfId="0" applyFill="1" applyAlignment="1">
      <alignment horizontal="center"/>
    </xf>
    <xf numFmtId="170" fontId="0" fillId="5" borderId="0" xfId="0" applyNumberFormat="1" applyFill="1" applyAlignment="1">
      <alignment horizontal="center"/>
    </xf>
  </cellXfs>
  <cellStyles count="1">
    <cellStyle name="Normal" xfId="0" builtinId="0"/>
  </cellStyles>
  <dxfs count="50">
    <dxf>
      <fill>
        <patternFill>
          <bgColor theme="8" tint="0.59996337778862885"/>
        </patternFill>
      </fill>
    </dxf>
    <dxf>
      <fill>
        <patternFill>
          <bgColor theme="8" tint="0.59996337778862885"/>
        </patternFill>
      </fill>
      <border>
        <left style="thin">
          <color auto="1"/>
        </left>
        <right style="thin">
          <color auto="1"/>
        </right>
        <vertical/>
        <horizontal/>
      </border>
    </dxf>
    <dxf>
      <fill>
        <patternFill>
          <bgColor theme="8" tint="0.59996337778862885"/>
        </patternFill>
      </fill>
    </dxf>
    <dxf>
      <fill>
        <patternFill>
          <bgColor theme="8" tint="0.59996337778862885"/>
        </patternFill>
      </fill>
      <border>
        <left style="thin">
          <color auto="1"/>
        </left>
        <right style="thin">
          <color auto="1"/>
        </right>
        <vertical/>
        <horizontal/>
      </border>
    </dxf>
    <dxf>
      <fill>
        <patternFill>
          <bgColor theme="8" tint="0.59996337778862885"/>
        </patternFill>
      </fill>
    </dxf>
    <dxf>
      <fill>
        <patternFill>
          <bgColor theme="8" tint="0.59996337778862885"/>
        </patternFill>
      </fill>
      <border>
        <left style="thin">
          <color auto="1"/>
        </left>
        <right style="thin">
          <color auto="1"/>
        </right>
        <vertical/>
        <horizontal/>
      </border>
    </dxf>
    <dxf>
      <fill>
        <patternFill>
          <bgColor theme="8" tint="0.59996337778862885"/>
        </patternFill>
      </fill>
      <border>
        <left style="thin">
          <color auto="1"/>
        </left>
        <right style="thin">
          <color auto="1"/>
        </right>
        <vertical/>
        <horizontal/>
      </border>
    </dxf>
    <dxf>
      <fill>
        <patternFill patternType="solid">
          <fgColor auto="1"/>
          <bgColor rgb="FFFFC000"/>
        </patternFill>
      </fill>
    </dxf>
    <dxf>
      <fill>
        <patternFill patternType="solid">
          <fgColor auto="1"/>
          <bgColor rgb="FFFFC000"/>
        </patternFill>
      </fill>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Palatino Linotype"/>
        <family val="2"/>
        <scheme val="minor"/>
      </font>
      <border diagonalUp="0" diagonalDown="0" outline="0">
        <left style="thin">
          <color indexed="64"/>
        </left>
        <right style="thin">
          <color indexed="64"/>
        </right>
        <top/>
        <bottom/>
      </border>
    </dxf>
    <dxf>
      <border diagonalUp="0" diagonalDown="0">
        <left/>
        <right/>
        <top style="thin">
          <color indexed="64"/>
        </top>
        <bottom/>
      </border>
    </dxf>
    <dxf>
      <numFmt numFmtId="0" formatCode="General"/>
    </dxf>
    <dxf>
      <border diagonalUp="0" diagonalDown="0" outline="0">
        <left/>
        <right/>
        <top style="thin">
          <color indexed="64"/>
        </top>
        <bottom/>
      </border>
    </dxf>
    <dxf>
      <numFmt numFmtId="0" formatCode="General"/>
    </dxf>
    <dxf>
      <border diagonalUp="0" diagonalDown="0" outline="0">
        <left/>
        <right/>
        <top style="thin">
          <color indexed="64"/>
        </top>
        <bottom/>
      </border>
    </dxf>
    <dxf>
      <numFmt numFmtId="0" formatCode="General"/>
    </dxf>
    <dxf>
      <border diagonalUp="0" diagonalDown="0" outline="0">
        <left/>
        <right/>
        <top style="thin">
          <color indexed="64"/>
        </top>
        <bottom/>
      </border>
    </dxf>
    <dxf>
      <numFmt numFmtId="0" formatCode="General"/>
    </dxf>
    <dxf>
      <border diagonalUp="0" diagonalDown="0" outline="0">
        <left style="thin">
          <color indexed="64"/>
        </left>
        <right/>
        <top style="thin">
          <color indexed="64"/>
        </top>
        <bottom/>
      </border>
    </dxf>
    <dxf>
      <border diagonalUp="0" diagonalDown="0">
        <left style="thin">
          <color indexed="64"/>
        </left>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border>
    </dxf>
    <dxf>
      <border diagonalUp="0" diagonalDown="0">
        <left style="thin">
          <color indexed="64"/>
        </left>
        <right style="thin">
          <color indexed="64"/>
        </right>
        <top style="thin">
          <color indexed="64"/>
        </top>
        <bottom style="thin">
          <color indexed="64"/>
        </bottom>
        <vertical/>
        <horizontal/>
      </border>
    </dxf>
    <dxf>
      <border diagonalUp="0" diagonalDown="0" outline="0">
        <left/>
        <right style="thin">
          <color indexed="64"/>
        </right>
        <top style="thin">
          <color indexed="64"/>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166" formatCode="_ &quot;₹&quot;\ * #,##0_ ;_ &quot;₹&quot;\ * \-#,##0_ ;_ &quot;₹&quot;\ * &quot;-&quot;??_ ;_ @_ "/>
    </dxf>
    <dxf>
      <numFmt numFmtId="166" formatCode="_ &quot;₹&quot;\ * #,##0_ ;_ &quot;₹&quot;\ * \-#,##0_ ;_ &quot;₹&quot;\ * &quot;-&quot;??_ ;_ @_ "/>
    </dxf>
    <dxf>
      <alignment horizontal="justify"/>
    </dxf>
    <dxf>
      <numFmt numFmtId="165" formatCode="_-[$$-409]* #,##0_ ;_-[$$-409]* \-#,##0\ ;_-[$$-409]* &quot;-&quot;??_ ;_-@_ "/>
    </dxf>
    <dxf>
      <numFmt numFmtId="2" formatCode="0.00"/>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49"/>
    </tableStyle>
    <tableStyle name="SlicerStyleLight5 2" pivot="0" table="0" count="10" xr9:uid="{9CDB91E7-159A-4414-9D4C-680B9E533A48}">
      <tableStyleElement type="wholeTable" dxfId="10"/>
      <tableStyleElement type="headerRow" dxfId="9"/>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b/>
            <i val="0"/>
            <color theme="1"/>
          </font>
          <fill>
            <patternFill>
              <fgColor rgb="FFFF0000"/>
              <bgColor theme="8"/>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color theme="1"/>
          </font>
          <fill>
            <patternFill patternType="solid">
              <fgColor rgb="FFFFFFFF"/>
              <bgColor theme="6" tint="0.3999450666829432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10.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3.xml"/><Relationship Id="rId33"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2.xml"/><Relationship Id="rId32"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1.xml"/><Relationship Id="rId28"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pivotCacheDefinition" Target="pivotCache/pivotCacheDefinition11.xml"/><Relationship Id="rId27" Type="http://schemas.openxmlformats.org/officeDocument/2006/relationships/theme" Target="theme/theme1.xml"/><Relationship Id="rId30" Type="http://schemas.openxmlformats.org/officeDocument/2006/relationships/sharedStrings" Target="sharedString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[05.sample-data-pivots-blank.xlsx]All Calculation!Monthly trend</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5"/>
                </a:solidFill>
              </a:rPr>
              <a:t>Call</a:t>
            </a:r>
            <a:r>
              <a:rPr lang="en-IN" sz="1600" b="1" baseline="0">
                <a:solidFill>
                  <a:schemeClr val="accent5"/>
                </a:solidFill>
              </a:rPr>
              <a:t> Trend</a:t>
            </a:r>
            <a:endParaRPr lang="en-IN" sz="1600" b="1">
              <a:solidFill>
                <a:schemeClr val="accent5"/>
              </a:solidFill>
            </a:endParaRPr>
          </a:p>
        </c:rich>
      </c:tx>
      <c:layout>
        <c:manualLayout>
          <c:xMode val="edge"/>
          <c:yMode val="edge"/>
          <c:x val="2.8150787238757663E-2"/>
          <c:y val="2.69593356783002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7000">
                <a:schemeClr val="accent6"/>
              </a:gs>
              <a:gs pos="100000">
                <a:schemeClr val="accent6">
                  <a:lumMod val="20000"/>
                  <a:lumOff val="80000"/>
                </a:schemeClr>
              </a:gs>
            </a:gsLst>
            <a:lin ang="5400000" scaled="0"/>
            <a:tileRect/>
          </a:gradFill>
          <a:ln>
            <a:gradFill>
              <a:gsLst>
                <a:gs pos="100000">
                  <a:schemeClr val="accent6"/>
                </a:gs>
                <a:gs pos="0">
                  <a:schemeClr val="accent6">
                    <a:lumMod val="20000"/>
                    <a:lumOff val="8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7"/>
          <c:spPr>
            <a:solidFill>
              <a:schemeClr val="bg1"/>
            </a:solidFill>
            <a:ln w="28575">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circle"/>
          <c:size val="7"/>
          <c:spPr>
            <a:solidFill>
              <a:schemeClr val="bg1"/>
            </a:solidFill>
            <a:ln w="28575">
              <a:solidFill>
                <a:schemeClr val="tx1">
                  <a:lumMod val="85000"/>
                  <a:lumOff val="15000"/>
                </a:schemeClr>
              </a:solidFill>
            </a:ln>
            <a:effectLst/>
          </c:spPr>
        </c:marker>
      </c:pivotFmt>
    </c:pivotFmts>
    <c:plotArea>
      <c:layout/>
      <c:areaChart>
        <c:grouping val="standard"/>
        <c:varyColors val="0"/>
        <c:ser>
          <c:idx val="1"/>
          <c:order val="1"/>
          <c:tx>
            <c:strRef>
              <c:f>'All Calculation'!$C$18</c:f>
              <c:strCache>
                <c:ptCount val="1"/>
                <c:pt idx="0">
                  <c:v>Call Counts2</c:v>
                </c:pt>
              </c:strCache>
            </c:strRef>
          </c:tx>
          <c:spPr>
            <a:gradFill flip="none" rotWithShape="1">
              <a:gsLst>
                <a:gs pos="7000">
                  <a:schemeClr val="accent6"/>
                </a:gs>
                <a:gs pos="100000">
                  <a:schemeClr val="accent6">
                    <a:lumMod val="20000"/>
                    <a:lumOff val="80000"/>
                  </a:schemeClr>
                </a:gs>
              </a:gsLst>
              <a:lin ang="5400000" scaled="0"/>
              <a:tileRect/>
            </a:gradFill>
            <a:ln>
              <a:gradFill>
                <a:gsLst>
                  <a:gs pos="100000">
                    <a:schemeClr val="accent6"/>
                  </a:gs>
                  <a:gs pos="0">
                    <a:schemeClr val="accent6">
                      <a:lumMod val="20000"/>
                      <a:lumOff val="80000"/>
                    </a:schemeClr>
                  </a:gs>
                </a:gsLst>
                <a:lin ang="5400000" scaled="1"/>
              </a:gradFill>
            </a:ln>
            <a:effectLst/>
          </c:spPr>
          <c:cat>
            <c:strRef>
              <c:f>'All Calculation'!$A$19:$A$31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Calculation'!$C$19:$C$31</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extLst>
            <c:ext xmlns:c16="http://schemas.microsoft.com/office/drawing/2014/chart" uri="{C3380CC4-5D6E-409C-BE32-E72D297353CC}">
              <c16:uniqueId val="{00000000-9742-466E-AE0F-B483711CA55B}"/>
            </c:ext>
          </c:extLst>
        </c:ser>
        <c:dLbls>
          <c:showLegendKey val="0"/>
          <c:showVal val="0"/>
          <c:showCatName val="0"/>
          <c:showSerName val="0"/>
          <c:showPercent val="0"/>
          <c:showBubbleSize val="0"/>
        </c:dLbls>
        <c:axId val="333118703"/>
        <c:axId val="1297973872"/>
      </c:areaChart>
      <c:lineChart>
        <c:grouping val="standard"/>
        <c:varyColors val="0"/>
        <c:ser>
          <c:idx val="0"/>
          <c:order val="0"/>
          <c:tx>
            <c:strRef>
              <c:f>'All Calculation'!$B$18</c:f>
              <c:strCache>
                <c:ptCount val="1"/>
                <c:pt idx="0">
                  <c:v>Call Counts</c:v>
                </c:pt>
              </c:strCache>
            </c:strRef>
          </c:tx>
          <c:spPr>
            <a:ln w="28575" cap="rnd">
              <a:solidFill>
                <a:schemeClr val="accent6"/>
              </a:solidFill>
              <a:round/>
            </a:ln>
            <a:effectLst/>
          </c:spPr>
          <c:marker>
            <c:symbol val="circle"/>
            <c:size val="7"/>
            <c:spPr>
              <a:solidFill>
                <a:schemeClr val="bg1"/>
              </a:solidFill>
              <a:ln w="28575">
                <a:solidFill>
                  <a:schemeClr val="tx1">
                    <a:lumMod val="85000"/>
                    <a:lumOff val="15000"/>
                  </a:schemeClr>
                </a:solidFill>
              </a:ln>
              <a:effectLst/>
            </c:spPr>
          </c:marker>
          <c:dPt>
            <c:idx val="1"/>
            <c:marker>
              <c:symbol val="circle"/>
              <c:size val="7"/>
              <c:spPr>
                <a:solidFill>
                  <a:schemeClr val="bg1"/>
                </a:solidFill>
                <a:ln w="28575">
                  <a:solidFill>
                    <a:schemeClr val="tx1">
                      <a:lumMod val="85000"/>
                      <a:lumOff val="15000"/>
                    </a:schemeClr>
                  </a:solidFill>
                </a:ln>
                <a:effectLst/>
              </c:spPr>
            </c:marker>
            <c:bubble3D val="0"/>
            <c:extLst>
              <c:ext xmlns:c16="http://schemas.microsoft.com/office/drawing/2014/chart" uri="{C3380CC4-5D6E-409C-BE32-E72D297353CC}">
                <c16:uniqueId val="{00000002-9742-466E-AE0F-B483711CA55B}"/>
              </c:ext>
            </c:extLst>
          </c:dPt>
          <c:cat>
            <c:strRef>
              <c:f>'All Calculation'!$A$19:$A$31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'All Calculation'!$B$19:$B$31</c:f>
              <c:numCache>
                <c:formatCode>#,##0</c:formatCode>
                <c:ptCount val="12"/>
                <c:pt idx="0">
                  <c:v>19</c:v>
                </c:pt>
                <c:pt idx="1">
                  <c:v>10</c:v>
                </c:pt>
                <c:pt idx="2">
                  <c:v>40</c:v>
                </c:pt>
                <c:pt idx="3">
                  <c:v>40</c:v>
                </c:pt>
                <c:pt idx="4">
                  <c:v>13</c:v>
                </c:pt>
                <c:pt idx="5">
                  <c:v>12</c:v>
                </c:pt>
                <c:pt idx="6">
                  <c:v>9</c:v>
                </c:pt>
                <c:pt idx="7">
                  <c:v>13</c:v>
                </c:pt>
                <c:pt idx="8">
                  <c:v>18</c:v>
                </c:pt>
                <c:pt idx="9">
                  <c:v>21</c:v>
                </c:pt>
                <c:pt idx="10">
                  <c:v>14</c:v>
                </c:pt>
                <c:pt idx="11">
                  <c:v>9</c:v>
                </c:pt>
              </c:numCache>
            </c:numRef>
          </c:val>
          <c:smooth val="0"/>
          <c:extLst>
            <c:ext xmlns:c16="http://schemas.microsoft.com/office/drawing/2014/chart" uri="{C3380CC4-5D6E-409C-BE32-E72D297353CC}">
              <c16:uniqueId val="{00000001-9742-466E-AE0F-B483711CA55B}"/>
            </c:ext>
          </c:extLst>
        </c:ser>
        <c:dLbls>
          <c:showLegendKey val="0"/>
          <c:showVal val="0"/>
          <c:showCatName val="0"/>
          <c:showSerName val="0"/>
          <c:showPercent val="0"/>
          <c:showBubbleSize val="0"/>
        </c:dLbls>
        <c:marker val="1"/>
        <c:smooth val="0"/>
        <c:axId val="333118703"/>
        <c:axId val="1297973872"/>
      </c:lineChart>
      <c:catAx>
        <c:axId val="33311870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73872"/>
        <c:crosses val="autoZero"/>
        <c:auto val="1"/>
        <c:lblAlgn val="ctr"/>
        <c:lblOffset val="100"/>
        <c:noMultiLvlLbl val="0"/>
      </c:catAx>
      <c:valAx>
        <c:axId val="1297973872"/>
        <c:scaling>
          <c:orientation val="minMax"/>
        </c:scaling>
        <c:delete val="0"/>
        <c:axPos val="l"/>
        <c:majorGridlines>
          <c:spPr>
            <a:ln w="9525" cap="flat" cmpd="sng" algn="ctr">
              <a:solidFill>
                <a:schemeClr val="accent6">
                  <a:lumMod val="20000"/>
                  <a:lumOff val="8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18703"/>
        <c:crosses val="autoZero"/>
        <c:crossBetween val="between"/>
        <c:majorUnit val="5"/>
      </c:valAx>
      <c:spPr>
        <a:noFill/>
        <a:ln>
          <a:solidFill>
            <a:schemeClr val="accent1">
              <a:alpha val="93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[05.sample-data-pivots-blank.xlsx]All Calculation!weekly trend</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'All Calculation'!$H$21</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Calculation'!$G$22:$G$29</c:f>
              <c:strCache>
                <c:ptCount val="7"/>
                <c:pt idx="0">
                  <c:v>Sunday</c:v>
                </c:pt>
                <c:pt idx="1">
                  <c:v>Monday</c:v>
                </c:pt>
                <c:pt idx="2">
                  <c:v>Tuesday</c:v>
                </c:pt>
                <c:pt idx="3">
                  <c:v>Wednesday</c:v>
                </c:pt>
                <c:pt idx="4">
                  <c:v>Thursday</c:v>
                </c:pt>
                <c:pt idx="5">
                  <c:v>Friday</c:v>
                </c:pt>
                <c:pt idx="6">
                  <c:v>Saturday</c:v>
                </c:pt>
              </c:strCache>
            </c:strRef>
          </c:cat>
          <c:val>
            <c:numRef>
              <c:f>'All Calculation'!$H$22:$H$29</c:f>
              <c:numCache>
                <c:formatCode>#,##0</c:formatCode>
                <c:ptCount val="7"/>
                <c:pt idx="0">
                  <c:v>28</c:v>
                </c:pt>
                <c:pt idx="1">
                  <c:v>24</c:v>
                </c:pt>
                <c:pt idx="2">
                  <c:v>44</c:v>
                </c:pt>
                <c:pt idx="3">
                  <c:v>36</c:v>
                </c:pt>
                <c:pt idx="4">
                  <c:v>33</c:v>
                </c:pt>
                <c:pt idx="5">
                  <c:v>29</c:v>
                </c:pt>
                <c:pt idx="6">
                  <c:v>24</c:v>
                </c:pt>
              </c:numCache>
            </c:numRef>
          </c:val>
          <c:extLst>
            <c:ext xmlns:c16="http://schemas.microsoft.com/office/drawing/2014/chart" uri="{C3380CC4-5D6E-409C-BE32-E72D297353CC}">
              <c16:uniqueId val="{00000000-25AE-476E-9582-0311F4A0FA47}"/>
            </c:ext>
          </c:extLst>
        </c:ser>
        <c:dLbls>
          <c:dLblPos val="outEnd"/>
          <c:showLegendKey val="0"/>
          <c:showVal val="1"/>
          <c:showCatName val="0"/>
          <c:showSerName val="0"/>
          <c:showPercent val="0"/>
          <c:showBubbleSize val="0"/>
        </c:dLbls>
        <c:gapWidth val="25"/>
        <c:overlap val="43"/>
        <c:axId val="333084367"/>
        <c:axId val="467374767"/>
      </c:barChart>
      <c:catAx>
        <c:axId val="33308436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374767"/>
        <c:crosses val="autoZero"/>
        <c:auto val="1"/>
        <c:lblAlgn val="ctr"/>
        <c:lblOffset val="100"/>
        <c:noMultiLvlLbl val="0"/>
      </c:catAx>
      <c:valAx>
        <c:axId val="467374767"/>
        <c:scaling>
          <c:orientation val="minMax"/>
        </c:scaling>
        <c:delete val="1"/>
        <c:axPos val="b"/>
        <c:numFmt formatCode="#,##0" sourceLinked="1"/>
        <c:majorTickMark val="out"/>
        <c:minorTickMark val="none"/>
        <c:tickLblPos val="nextTo"/>
        <c:crossAx val="33308436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accent5"/>
                </a:solidFill>
              </a:rPr>
              <a:t>Calls</a:t>
            </a:r>
            <a:endParaRPr lang="en-IN" b="1">
              <a:solidFill>
                <a:schemeClr val="accent5"/>
              </a:solidFill>
            </a:endParaRPr>
          </a:p>
        </c:rich>
      </c:tx>
      <c:layout>
        <c:manualLayout>
          <c:xMode val="edge"/>
          <c:yMode val="edge"/>
          <c:x val="4.6040830592912745E-2"/>
          <c:y val="3.11277561544721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8.2590332458442689E-2"/>
          <c:y val="0.23995406824146981"/>
          <c:w val="0.86532633420822402"/>
          <c:h val="0.70449037620297461"/>
        </c:manualLayout>
      </c:layout>
      <c:barChart>
        <c:barDir val="bar"/>
        <c:grouping val="clustered"/>
        <c:varyColors val="0"/>
        <c:ser>
          <c:idx val="0"/>
          <c:order val="0"/>
          <c:spPr>
            <a:solidFill>
              <a:schemeClr val="accent5">
                <a:lumMod val="20000"/>
                <a:lumOff val="80000"/>
              </a:schemeClr>
            </a:solidFill>
            <a:ln>
              <a:noFill/>
            </a:ln>
            <a:effectLst/>
            <a:scene3d>
              <a:camera prst="orthographicFront"/>
              <a:lightRig rig="threePt" dir="t"/>
            </a:scene3d>
            <a:sp3d prstMaterial="plastic">
              <a:bevelT w="101600" h="63500"/>
              <a:bevelB w="158750" h="165100"/>
            </a:sp3d>
          </c:spPr>
          <c:invertIfNegative val="0"/>
          <c:dLbls>
            <c:dLbl>
              <c:idx val="0"/>
              <c:layout>
                <c:manualLayout>
                  <c:x val="1.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E41-497A-800F-E8AAE806AA59}"/>
                </c:ext>
              </c:extLst>
            </c:dLbl>
            <c:dLbl>
              <c:idx val="1"/>
              <c:layout>
                <c:manualLayout>
                  <c:x val="1.3888888888888888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E41-497A-800F-E8AAE806AA59}"/>
                </c:ext>
              </c:extLst>
            </c:dLbl>
            <c:dLbl>
              <c:idx val="2"/>
              <c:layout>
                <c:manualLayout>
                  <c:x val="8.3333333333332309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E41-497A-800F-E8AAE806AA59}"/>
                </c:ext>
              </c:extLst>
            </c:dLbl>
            <c:dLbl>
              <c:idx val="3"/>
              <c:layout>
                <c:manualLayout>
                  <c:x val="8.3333333333332309E-3"/>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E41-497A-800F-E8AAE806AA59}"/>
                </c:ext>
              </c:extLst>
            </c:dLbl>
            <c:dLbl>
              <c:idx val="4"/>
              <c:layout>
                <c:manualLayout>
                  <c:x val="1.3888888888888788E-2"/>
                  <c:y val="4.62962962962979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DE41-497A-800F-E8AAE806AA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Calculation'!$E$38:$E$42</c:f>
              <c:strCache>
                <c:ptCount val="5"/>
                <c:pt idx="0">
                  <c:v>R01</c:v>
                </c:pt>
                <c:pt idx="1">
                  <c:v>R02</c:v>
                </c:pt>
                <c:pt idx="2">
                  <c:v>R03</c:v>
                </c:pt>
                <c:pt idx="3">
                  <c:v>R04</c:v>
                </c:pt>
                <c:pt idx="4">
                  <c:v>R05</c:v>
                </c:pt>
              </c:strCache>
            </c:strRef>
          </c:cat>
          <c:val>
            <c:numRef>
              <c:f>'All Calculation'!$F$38:$F$42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5-DE41-497A-800F-E8AAE806AA59}"/>
            </c:ext>
          </c:extLst>
        </c:ser>
        <c:ser>
          <c:idx val="1"/>
          <c:order val="1"/>
          <c:tx>
            <c:strRef>
              <c:f>'All Calculation'!$H$37</c:f>
              <c:strCache>
                <c:ptCount val="1"/>
                <c:pt idx="0">
                  <c:v>sel. Calls</c:v>
                </c:pt>
              </c:strCache>
            </c:strRef>
          </c:tx>
          <c:spPr>
            <a:solidFill>
              <a:schemeClr val="accent2"/>
            </a:solidFill>
            <a:ln>
              <a:noFill/>
            </a:ln>
            <a:effectLst/>
            <a:scene3d>
              <a:camera prst="orthographicFront"/>
              <a:lightRig rig="threePt" dir="t"/>
            </a:scene3d>
            <a:sp3d>
              <a:bevelT/>
            </a:sp3d>
          </c:spPr>
          <c:invertIfNegative val="0"/>
          <c:dPt>
            <c:idx val="0"/>
            <c:invertIfNegative val="0"/>
            <c:bubble3D val="0"/>
            <c:spPr>
              <a:gradFill flip="none" rotWithShape="1">
                <a:gsLst>
                  <a:gs pos="0">
                    <a:schemeClr val="accent2">
                      <a:lumMod val="20000"/>
                      <a:lumOff val="80000"/>
                    </a:schemeClr>
                  </a:gs>
                  <a:gs pos="100000">
                    <a:schemeClr val="bg2">
                      <a:lumMod val="75000"/>
                    </a:schemeClr>
                  </a:gs>
                </a:gsLst>
                <a:lin ang="0" scaled="1"/>
                <a:tileRect/>
              </a:gradFill>
              <a:ln>
                <a:noFill/>
              </a:ln>
              <a:effectLst/>
              <a:scene3d>
                <a:camera prst="orthographicFront"/>
                <a:lightRig rig="threePt" dir="t"/>
              </a:scene3d>
              <a:sp3d>
                <a:bevelT/>
              </a:sp3d>
            </c:spPr>
            <c:extLst>
              <c:ext xmlns:c16="http://schemas.microsoft.com/office/drawing/2014/chart" uri="{C3380CC4-5D6E-409C-BE32-E72D297353CC}">
                <c16:uniqueId val="{00000007-DE41-497A-800F-E8AAE806AA59}"/>
              </c:ext>
            </c:extLst>
          </c:dPt>
          <c:val>
            <c:numRef>
              <c:f>'All Calculation'!$H$38:$H$42</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8-DE41-497A-800F-E8AAE806AA59}"/>
            </c:ext>
          </c:extLst>
        </c:ser>
        <c:dLbls>
          <c:showLegendKey val="0"/>
          <c:showVal val="0"/>
          <c:showCatName val="0"/>
          <c:showSerName val="0"/>
          <c:showPercent val="0"/>
          <c:showBubbleSize val="0"/>
        </c:dLbls>
        <c:gapWidth val="25"/>
        <c:overlap val="100"/>
        <c:axId val="636154847"/>
        <c:axId val="404631280"/>
      </c:barChart>
      <c:catAx>
        <c:axId val="636154847"/>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31280"/>
        <c:crosses val="autoZero"/>
        <c:auto val="1"/>
        <c:lblAlgn val="ctr"/>
        <c:lblOffset val="100"/>
        <c:noMultiLvlLbl val="0"/>
      </c:catAx>
      <c:valAx>
        <c:axId val="404631280"/>
        <c:scaling>
          <c:orientation val="minMax"/>
          <c:min val="0"/>
        </c:scaling>
        <c:delete val="1"/>
        <c:axPos val="t"/>
        <c:numFmt formatCode="General" sourceLinked="1"/>
        <c:majorTickMark val="none"/>
        <c:minorTickMark val="none"/>
        <c:tickLblPos val="nextTo"/>
        <c:crossAx val="63615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accent5"/>
                </a:solidFill>
                <a:latin typeface="+mn-lt"/>
                <a:ea typeface="+mn-ea"/>
                <a:cs typeface="+mn-cs"/>
              </a:defRPr>
            </a:pPr>
            <a:r>
              <a:rPr lang="en-IN" sz="1800" b="1">
                <a:solidFill>
                  <a:schemeClr val="accent5"/>
                </a:solidFill>
              </a:rPr>
              <a:t>Amount</a:t>
            </a:r>
          </a:p>
        </c:rich>
      </c:tx>
      <c:layout>
        <c:manualLayout>
          <c:xMode val="edge"/>
          <c:yMode val="edge"/>
          <c:x val="5.656777357509888E-2"/>
          <c:y val="3.1127756154472101E-2"/>
        </c:manualLayout>
      </c:layout>
      <c:overlay val="0"/>
      <c:spPr>
        <a:noFill/>
        <a:ln>
          <a:noFill/>
        </a:ln>
        <a:effectLst/>
      </c:spPr>
      <c:txPr>
        <a:bodyPr rot="0" spcFirstLastPara="1" vertOverflow="ellipsis" vert="horz" wrap="square" anchor="ctr" anchorCtr="1"/>
        <a:lstStyle/>
        <a:p>
          <a:pPr>
            <a:defRPr sz="1800" b="1" i="0" u="none" strike="noStrike" kern="1200" spc="0" baseline="0">
              <a:solidFill>
                <a:schemeClr val="accent5"/>
              </a:solidFill>
              <a:latin typeface="+mn-lt"/>
              <a:ea typeface="+mn-ea"/>
              <a:cs typeface="+mn-cs"/>
            </a:defRPr>
          </a:pPr>
          <a:endParaRPr lang="en-US"/>
        </a:p>
      </c:txPr>
    </c:title>
    <c:autoTitleDeleted val="0"/>
    <c:plotArea>
      <c:layout>
        <c:manualLayout>
          <c:layoutTarget val="inner"/>
          <c:xMode val="edge"/>
          <c:yMode val="edge"/>
          <c:x val="8.2590332458442689E-2"/>
          <c:y val="0.23995406824146981"/>
          <c:w val="0.86532633420822402"/>
          <c:h val="0.70449037620297461"/>
        </c:manualLayout>
      </c:layout>
      <c:barChart>
        <c:barDir val="bar"/>
        <c:grouping val="clustered"/>
        <c:varyColors val="0"/>
        <c:ser>
          <c:idx val="0"/>
          <c:order val="0"/>
          <c:spPr>
            <a:solidFill>
              <a:schemeClr val="accent6">
                <a:lumMod val="20000"/>
                <a:lumOff val="80000"/>
              </a:schemeClr>
            </a:solidFill>
            <a:ln>
              <a:noFill/>
            </a:ln>
            <a:effectLst/>
            <a:scene3d>
              <a:camera prst="orthographicFront"/>
              <a:lightRig rig="threePt" dir="t"/>
            </a:scene3d>
            <a:sp3d>
              <a:bevelT w="82550" h="127000"/>
            </a:sp3d>
          </c:spPr>
          <c:invertIfNegative val="0"/>
          <c:dLbls>
            <c:dLbl>
              <c:idx val="0"/>
              <c:layout>
                <c:manualLayout>
                  <c:x val="2.49999999999998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D9-4EAC-A120-4412F1501857}"/>
                </c:ext>
              </c:extLst>
            </c:dLbl>
            <c:dLbl>
              <c:idx val="1"/>
              <c:layout>
                <c:manualLayout>
                  <c:x val="2.2222222222222223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D9-4EAC-A120-4412F1501857}"/>
                </c:ext>
              </c:extLst>
            </c:dLbl>
            <c:dLbl>
              <c:idx val="2"/>
              <c:layout>
                <c:manualLayout>
                  <c:x val="1.9444444444444545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6D9-4EAC-A120-4412F1501857}"/>
                </c:ext>
              </c:extLst>
            </c:dLbl>
            <c:dLbl>
              <c:idx val="3"/>
              <c:layout>
                <c:manualLayout>
                  <c:x val="2.222222222222211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6D9-4EAC-A120-4412F15018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Calculation'!$E$38:$E$42</c:f>
              <c:strCache>
                <c:ptCount val="5"/>
                <c:pt idx="0">
                  <c:v>R01</c:v>
                </c:pt>
                <c:pt idx="1">
                  <c:v>R02</c:v>
                </c:pt>
                <c:pt idx="2">
                  <c:v>R03</c:v>
                </c:pt>
                <c:pt idx="3">
                  <c:v>R04</c:v>
                </c:pt>
                <c:pt idx="4">
                  <c:v>R05</c:v>
                </c:pt>
              </c:strCache>
            </c:strRef>
          </c:cat>
          <c:val>
            <c:numRef>
              <c:f>'All Calculation'!$G$38:$G$42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4-66D9-4EAC-A120-4412F1501857}"/>
            </c:ext>
          </c:extLst>
        </c:ser>
        <c:ser>
          <c:idx val="1"/>
          <c:order val="1"/>
          <c:tx>
            <c:strRef>
              <c:f>'All Calculation'!$I$37</c:f>
              <c:strCache>
                <c:ptCount val="1"/>
                <c:pt idx="0">
                  <c:v>sel. Amount</c:v>
                </c:pt>
              </c:strCache>
            </c:strRef>
          </c:tx>
          <c:spPr>
            <a:gradFill>
              <a:gsLst>
                <a:gs pos="0">
                  <a:schemeClr val="accent4">
                    <a:lumMod val="20000"/>
                    <a:lumOff val="80000"/>
                  </a:schemeClr>
                </a:gs>
                <a:gs pos="100000">
                  <a:schemeClr val="bg2">
                    <a:lumMod val="75000"/>
                  </a:schemeClr>
                </a:gs>
              </a:gsLst>
              <a:lin ang="0" scaled="1"/>
            </a:gradFill>
            <a:ln>
              <a:noFill/>
            </a:ln>
            <a:effectLst/>
            <a:scene3d>
              <a:camera prst="orthographicFront"/>
              <a:lightRig rig="threePt" dir="t"/>
            </a:scene3d>
            <a:sp3d>
              <a:bevelT w="82550" h="107950"/>
            </a:sp3d>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6-66D9-4EAC-A120-4412F150185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'All Calculation'!$I$38:$I$42</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5-66D9-4EAC-A120-4412F1501857}"/>
            </c:ext>
          </c:extLst>
        </c:ser>
        <c:dLbls>
          <c:showLegendKey val="0"/>
          <c:showVal val="1"/>
          <c:showCatName val="0"/>
          <c:showSerName val="0"/>
          <c:showPercent val="0"/>
          <c:showBubbleSize val="0"/>
        </c:dLbls>
        <c:gapWidth val="25"/>
        <c:overlap val="100"/>
        <c:axId val="636154847"/>
        <c:axId val="404631280"/>
      </c:barChart>
      <c:catAx>
        <c:axId val="636154847"/>
        <c:scaling>
          <c:orientation val="maxMin"/>
        </c:scaling>
        <c:delete val="1"/>
        <c:axPos val="l"/>
        <c:numFmt formatCode="General" sourceLinked="1"/>
        <c:majorTickMark val="out"/>
        <c:minorTickMark val="none"/>
        <c:tickLblPos val="nextTo"/>
        <c:crossAx val="404631280"/>
        <c:crosses val="autoZero"/>
        <c:auto val="1"/>
        <c:lblAlgn val="ctr"/>
        <c:lblOffset val="100"/>
        <c:noMultiLvlLbl val="0"/>
      </c:catAx>
      <c:valAx>
        <c:axId val="404631280"/>
        <c:scaling>
          <c:orientation val="minMax"/>
          <c:min val="0"/>
        </c:scaling>
        <c:delete val="1"/>
        <c:axPos val="t"/>
        <c:numFmt formatCode="\$#,###.0,&quot;K&quot;" sourceLinked="1"/>
        <c:majorTickMark val="out"/>
        <c:minorTickMark val="none"/>
        <c:tickLblPos val="nextTo"/>
        <c:crossAx val="63615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[05.sample-data-pivots-blank.xlsx]All Calculation!PivotTable4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Female</a:t>
            </a:r>
            <a:r>
              <a:rPr lang="en-IN" b="1" baseline="0"/>
              <a:t> vs. Male Callers</a:t>
            </a:r>
          </a:p>
        </c:rich>
      </c:tx>
      <c:layout>
        <c:manualLayout>
          <c:xMode val="edge"/>
          <c:yMode val="edge"/>
          <c:x val="2.3896403152237525E-2"/>
          <c:y val="4.21161078083927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pivotFmt>
      <c:pivotFmt>
        <c:idx val="7"/>
        <c:spPr>
          <a:solidFill>
            <a:schemeClr val="accent5"/>
          </a:solidFill>
          <a:ln>
            <a:noFill/>
          </a:ln>
          <a:effectLst/>
        </c:spPr>
      </c:pivotFmt>
      <c:pivotFmt>
        <c:idx val="8"/>
        <c:spPr>
          <a:solidFill>
            <a:schemeClr val="accent5"/>
          </a:solidFill>
          <a:ln>
            <a:noFill/>
          </a:ln>
          <a:effectLst/>
        </c:spPr>
      </c:pivotFmt>
    </c:pivotFmts>
    <c:plotArea>
      <c:layout/>
      <c:barChart>
        <c:barDir val="col"/>
        <c:grouping val="percentStacked"/>
        <c:varyColors val="0"/>
        <c:ser>
          <c:idx val="0"/>
          <c:order val="0"/>
          <c:tx>
            <c:strRef>
              <c:f>'All Calculation'!$E$47:$E$48</c:f>
              <c:strCache>
                <c:ptCount val="1"/>
                <c:pt idx="0">
                  <c:v>Female</c:v>
                </c:pt>
              </c:strCache>
            </c:strRef>
          </c:tx>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2-58BE-4BD7-A386-5744B49B6EFA}"/>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3-58BE-4BD7-A386-5744B49B6EFA}"/>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4-58BE-4BD7-A386-5744B49B6EF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Calculation'!$D$49:$D$52</c:f>
              <c:strCache>
                <c:ptCount val="3"/>
                <c:pt idx="0">
                  <c:v>Cincinnati</c:v>
                </c:pt>
                <c:pt idx="1">
                  <c:v>Cleveland</c:v>
                </c:pt>
                <c:pt idx="2">
                  <c:v>Columbus</c:v>
                </c:pt>
              </c:strCache>
            </c:strRef>
          </c:cat>
          <c:val>
            <c:numRef>
              <c:f>'All Calculation'!$E$49:$E$52</c:f>
              <c:numCache>
                <c:formatCode>#,##0</c:formatCode>
                <c:ptCount val="3"/>
                <c:pt idx="0">
                  <c:v>144</c:v>
                </c:pt>
                <c:pt idx="1">
                  <c:v>326</c:v>
                </c:pt>
                <c:pt idx="2">
                  <c:v>129</c:v>
                </c:pt>
              </c:numCache>
            </c:numRef>
          </c:val>
          <c:extLst>
            <c:ext xmlns:c16="http://schemas.microsoft.com/office/drawing/2014/chart" uri="{C3380CC4-5D6E-409C-BE32-E72D297353CC}">
              <c16:uniqueId val="{00000000-58BE-4BD7-A386-5744B49B6EFA}"/>
            </c:ext>
          </c:extLst>
        </c:ser>
        <c:ser>
          <c:idx val="1"/>
          <c:order val="1"/>
          <c:tx>
            <c:strRef>
              <c:f>'All Calculation'!$F$47:$F$48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Calculation'!$D$49:$D$52</c:f>
              <c:strCache>
                <c:ptCount val="3"/>
                <c:pt idx="0">
                  <c:v>Cincinnati</c:v>
                </c:pt>
                <c:pt idx="1">
                  <c:v>Cleveland</c:v>
                </c:pt>
                <c:pt idx="2">
                  <c:v>Columbus</c:v>
                </c:pt>
              </c:strCache>
            </c:strRef>
          </c:cat>
          <c:val>
            <c:numRef>
              <c:f>'All Calculation'!$F$49:$F$52</c:f>
              <c:numCache>
                <c:formatCode>#,##0</c:formatCode>
                <c:ptCount val="3"/>
                <c:pt idx="0">
                  <c:v>132</c:v>
                </c:pt>
                <c:pt idx="1">
                  <c:v>63</c:v>
                </c:pt>
                <c:pt idx="2">
                  <c:v>206</c:v>
                </c:pt>
              </c:numCache>
            </c:numRef>
          </c:val>
          <c:extLst>
            <c:ext xmlns:c16="http://schemas.microsoft.com/office/drawing/2014/chart" uri="{C3380CC4-5D6E-409C-BE32-E72D297353CC}">
              <c16:uniqueId val="{00000001-58BE-4BD7-A386-5744B49B6EFA}"/>
            </c:ext>
          </c:extLst>
        </c:ser>
        <c:dLbls>
          <c:showLegendKey val="0"/>
          <c:showVal val="0"/>
          <c:showCatName val="0"/>
          <c:showSerName val="0"/>
          <c:showPercent val="0"/>
          <c:showBubbleSize val="0"/>
        </c:dLbls>
        <c:gapWidth val="25"/>
        <c:overlap val="100"/>
        <c:axId val="414877936"/>
        <c:axId val="641496176"/>
      </c:barChart>
      <c:catAx>
        <c:axId val="41487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496176"/>
        <c:crosses val="autoZero"/>
        <c:auto val="1"/>
        <c:lblAlgn val="ctr"/>
        <c:lblOffset val="100"/>
        <c:noMultiLvlLbl val="0"/>
      </c:catAx>
      <c:valAx>
        <c:axId val="641496176"/>
        <c:scaling>
          <c:orientation val="minMax"/>
        </c:scaling>
        <c:delete val="1"/>
        <c:axPos val="l"/>
        <c:numFmt formatCode="0%" sourceLinked="1"/>
        <c:majorTickMark val="none"/>
        <c:minorTickMark val="none"/>
        <c:tickLblPos val="nextTo"/>
        <c:crossAx val="414877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[05.sample-data-pivots-blank.xlsx]All Calculation!Rep Satistacftion</c:name>
    <c:fmtId val="14"/>
  </c:pivotSource>
  <c:chart>
    <c:title>
      <c:tx>
        <c:rich>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r>
              <a:rPr lang="en-IN" sz="1600" b="1">
                <a:solidFill>
                  <a:schemeClr val="accent6"/>
                </a:solidFill>
              </a:rPr>
              <a:t>Ratings</a:t>
            </a:r>
            <a:endParaRPr lang="en-IN" b="1">
              <a:solidFill>
                <a:schemeClr val="accent6"/>
              </a:solidFill>
            </a:endParaRPr>
          </a:p>
        </c:rich>
      </c:tx>
      <c:layout>
        <c:manualLayout>
          <c:xMode val="edge"/>
          <c:yMode val="edge"/>
          <c:x val="3.910411198600177E-2"/>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6"/>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lumMod val="60000"/>
              <a:lumOff val="40000"/>
            </a:schemeClr>
          </a:solidFill>
          <a:ln>
            <a:noFill/>
          </a:ln>
          <a:effectLst/>
          <a:sp3d/>
        </c:spPr>
        <c:marker>
          <c:symbol val="none"/>
        </c:marker>
        <c:dLbl>
          <c:idx val="0"/>
          <c:spPr>
            <a:noFill/>
            <a:ln>
              <a:noFill/>
            </a:ln>
            <a:effectLst>
              <a:outerShdw blurRad="1270000" dist="63500" dir="5340000" sx="1000" sy="1000" algn="ctr" rotWithShape="0">
                <a:srgbClr val="000000">
                  <a:alpha val="0"/>
                </a:srgbClr>
              </a:outerShdw>
            </a:effectLst>
          </c:spPr>
          <c:txPr>
            <a:bodyPr rot="0" spcFirstLastPara="1" vertOverflow="ellipsis" vert="horz" wrap="square" lIns="144000" tIns="144000" rIns="0" bIns="0" anchor="t" anchorCtr="1">
              <a:spAutoFit/>
            </a:bodyPr>
            <a:lstStyle/>
            <a:p>
              <a:pPr>
                <a:defRPr sz="900" b="0" i="0" u="none" strike="noStrike" kern="1200" baseline="0">
                  <a:ln w="6350" cap="rnd" cmpd="thickThi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'All Calculation'!$K$48</c:f>
              <c:strCache>
                <c:ptCount val="1"/>
                <c:pt idx="0">
                  <c:v>Total</c:v>
                </c:pt>
              </c:strCache>
            </c:strRef>
          </c:tx>
          <c:spPr>
            <a:solidFill>
              <a:schemeClr val="accent3">
                <a:lumMod val="60000"/>
                <a:lumOff val="40000"/>
              </a:schemeClr>
            </a:solidFill>
            <a:ln>
              <a:noFill/>
            </a:ln>
            <a:effectLst/>
            <a:sp3d/>
          </c:spPr>
          <c:invertIfNegative val="0"/>
          <c:dLbls>
            <c:spPr>
              <a:noFill/>
              <a:ln>
                <a:noFill/>
              </a:ln>
              <a:effectLst>
                <a:outerShdw blurRad="1270000" dist="63500" dir="5340000" sx="1000" sy="1000" algn="ctr" rotWithShape="0">
                  <a:srgbClr val="000000">
                    <a:alpha val="0"/>
                  </a:srgbClr>
                </a:outerShdw>
              </a:effectLst>
            </c:spPr>
            <c:txPr>
              <a:bodyPr rot="0" spcFirstLastPara="1" vertOverflow="ellipsis" vert="horz" wrap="square" lIns="144000" tIns="144000" rIns="0" bIns="0" anchor="t" anchorCtr="1">
                <a:spAutoFit/>
              </a:bodyPr>
              <a:lstStyle/>
              <a:p>
                <a:pPr>
                  <a:defRPr sz="900" b="0" i="0" u="none" strike="noStrike" kern="1200" baseline="0">
                    <a:ln w="6350" cap="rnd" cmpd="thickThin">
                      <a:solidFill>
                        <a:schemeClr val="tx1">
                          <a:lumMod val="95000"/>
                          <a:lumOff val="5000"/>
                        </a:schemeClr>
                      </a:solidFill>
                    </a:ln>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'All Calculation'!$J$49:$J$54</c:f>
              <c:strCache>
                <c:ptCount val="5"/>
                <c:pt idx="0">
                  <c:v>1</c:v>
                </c:pt>
                <c:pt idx="1">
                  <c:v>2</c:v>
                </c:pt>
                <c:pt idx="2">
                  <c:v>3</c:v>
                </c:pt>
                <c:pt idx="3">
                  <c:v>4</c:v>
                </c:pt>
                <c:pt idx="4">
                  <c:v>5</c:v>
                </c:pt>
              </c:strCache>
            </c:strRef>
          </c:cat>
          <c:val>
            <c:numRef>
              <c:f>'All Calculation'!$K$49:$K$54</c:f>
              <c:numCache>
                <c:formatCode>#,##0</c:formatCode>
                <c:ptCount val="5"/>
                <c:pt idx="0">
                  <c:v>3</c:v>
                </c:pt>
                <c:pt idx="1">
                  <c:v>19</c:v>
                </c:pt>
                <c:pt idx="2">
                  <c:v>35</c:v>
                </c:pt>
                <c:pt idx="3">
                  <c:v>87</c:v>
                </c:pt>
                <c:pt idx="4">
                  <c:v>74</c:v>
                </c:pt>
              </c:numCache>
            </c:numRef>
          </c:val>
          <c:extLst>
            <c:ext xmlns:c16="http://schemas.microsoft.com/office/drawing/2014/chart" uri="{C3380CC4-5D6E-409C-BE32-E72D297353CC}">
              <c16:uniqueId val="{00000000-6787-43FC-8B1C-B850A98D0E68}"/>
            </c:ext>
          </c:extLst>
        </c:ser>
        <c:dLbls>
          <c:showLegendKey val="0"/>
          <c:showVal val="1"/>
          <c:showCatName val="0"/>
          <c:showSerName val="0"/>
          <c:showPercent val="0"/>
          <c:showBubbleSize val="0"/>
        </c:dLbls>
        <c:gapWidth val="45"/>
        <c:gapDepth val="0"/>
        <c:shape val="box"/>
        <c:axId val="379511728"/>
        <c:axId val="401441872"/>
        <c:axId val="0"/>
      </c:bar3DChart>
      <c:catAx>
        <c:axId val="379511728"/>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solidFill>
              <a:schemeClr val="tx1">
                <a:lumMod val="95000"/>
                <a:lumOff val="5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1441872"/>
        <c:crosses val="autoZero"/>
        <c:auto val="1"/>
        <c:lblAlgn val="ctr"/>
        <c:lblOffset val="100"/>
        <c:tickLblSkip val="1"/>
        <c:noMultiLvlLbl val="0"/>
      </c:catAx>
      <c:valAx>
        <c:axId val="4014418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511728"/>
        <c:crossesAt val="1"/>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590332458442689E-2"/>
          <c:y val="0.23995406824146981"/>
          <c:w val="0.86532633420822402"/>
          <c:h val="0.70449037620297461"/>
        </c:manualLayout>
      </c:layout>
      <c:barChart>
        <c:barDir val="bar"/>
        <c:grouping val="clustered"/>
        <c:varyColors val="0"/>
        <c:ser>
          <c:idx val="0"/>
          <c:order val="0"/>
          <c:spPr>
            <a:solidFill>
              <a:schemeClr val="accent5">
                <a:lumMod val="20000"/>
                <a:lumOff val="80000"/>
              </a:schemeClr>
            </a:solidFill>
            <a:ln>
              <a:noFill/>
            </a:ln>
            <a:effectLst/>
            <a:scene3d>
              <a:camera prst="orthographicFront"/>
              <a:lightRig rig="threePt" dir="t"/>
            </a:scene3d>
            <a:sp3d prstMaterial="plastic">
              <a:bevelT w="101600" h="63500"/>
              <a:bevelB w="158750" h="165100"/>
            </a:sp3d>
          </c:spPr>
          <c:invertIfNegative val="0"/>
          <c:dLbls>
            <c:dLbl>
              <c:idx val="0"/>
              <c:layout>
                <c:manualLayout>
                  <c:x val="1.6666666666666666E-2"/>
                  <c:y val="-"/>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204-4950-912D-3C9C12DCD721}"/>
                </c:ext>
              </c:extLst>
            </c:dLbl>
            <c:dLbl>
              <c:idx val="1"/>
              <c:layout>
                <c:manualLayout>
                  <c:x val="1.3888888888888888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204-4950-912D-3C9C12DCD721}"/>
                </c:ext>
              </c:extLst>
            </c:dLbl>
            <c:dLbl>
              <c:idx val="2"/>
              <c:layout>
                <c:manualLayout>
                  <c:x val="8.3333333333332309E-3"/>
                  <c:y val="-"/>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204-4950-912D-3C9C12DCD721}"/>
                </c:ext>
              </c:extLst>
            </c:dLbl>
            <c:dLbl>
              <c:idx val="3"/>
              <c:layout>
                <c:manualLayout>
                  <c:x val="8.3333333333332309E-3"/>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204-4950-912D-3C9C12DCD721}"/>
                </c:ext>
              </c:extLst>
            </c:dLbl>
            <c:dLbl>
              <c:idx val="4"/>
              <c:layout>
                <c:manualLayout>
                  <c:x val="1.3888888888888788E-2"/>
                  <c:y val="4.62962962962979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204-4950-912D-3C9C12DCD72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Calculation'!$E$38:$E$42</c:f>
              <c:strCache>
                <c:ptCount val="5"/>
                <c:pt idx="0">
                  <c:v>R01</c:v>
                </c:pt>
                <c:pt idx="1">
                  <c:v>R02</c:v>
                </c:pt>
                <c:pt idx="2">
                  <c:v>R03</c:v>
                </c:pt>
                <c:pt idx="3">
                  <c:v>R04</c:v>
                </c:pt>
                <c:pt idx="4">
                  <c:v>R05</c:v>
                </c:pt>
              </c:strCache>
            </c:strRef>
          </c:cat>
          <c:val>
            <c:numRef>
              <c:f>'All Calculation'!$F$38:$F$42</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0204-4950-912D-3C9C12DCD721}"/>
            </c:ext>
          </c:extLst>
        </c:ser>
        <c:ser>
          <c:idx val="1"/>
          <c:order val="1"/>
          <c:tx>
            <c:strRef>
              <c:f>'All Calculation'!$H$37</c:f>
              <c:strCache>
                <c:ptCount val="1"/>
                <c:pt idx="0">
                  <c:v>sel. Calls</c:v>
                </c:pt>
              </c:strCache>
            </c:strRef>
          </c:tx>
          <c:spPr>
            <a:solidFill>
              <a:schemeClr val="accent2"/>
            </a:solidFill>
            <a:ln>
              <a:noFill/>
            </a:ln>
            <a:effectLst/>
            <a:scene3d>
              <a:camera prst="orthographicFront"/>
              <a:lightRig rig="threePt" dir="t"/>
            </a:scene3d>
            <a:sp3d>
              <a:bevelT/>
            </a:sp3d>
          </c:spPr>
          <c:invertIfNegative val="0"/>
          <c:dPt>
            <c:idx val="0"/>
            <c:invertIfNegative val="0"/>
            <c:bubble3D val="0"/>
            <c:spPr>
              <a:gradFill flip="none" rotWithShape="1">
                <a:gsLst>
                  <a:gs pos="0">
                    <a:schemeClr val="accent2">
                      <a:lumMod val="20000"/>
                      <a:lumOff val="80000"/>
                    </a:schemeClr>
                  </a:gs>
                  <a:gs pos="100000">
                    <a:schemeClr val="bg2">
                      <a:lumMod val="75000"/>
                    </a:schemeClr>
                  </a:gs>
                </a:gsLst>
                <a:lin ang="0" scaled="1"/>
                <a:tileRect/>
              </a:gradFill>
              <a:ln>
                <a:noFill/>
              </a:ln>
              <a:effectLst/>
              <a:scene3d>
                <a:camera prst="orthographicFront"/>
                <a:lightRig rig="threePt" dir="t"/>
              </a:scene3d>
              <a:sp3d>
                <a:bevelT/>
              </a:sp3d>
            </c:spPr>
            <c:extLst>
              <c:ext xmlns:c16="http://schemas.microsoft.com/office/drawing/2014/chart" uri="{C3380CC4-5D6E-409C-BE32-E72D297353CC}">
                <c16:uniqueId val="{00000008-0204-4950-912D-3C9C12DCD721}"/>
              </c:ext>
            </c:extLst>
          </c:dPt>
          <c:val>
            <c:numRef>
              <c:f>'All Calculation'!$H$38:$H$42</c:f>
              <c:numCache>
                <c:formatCode>General</c:formatCode>
                <c:ptCount val="5"/>
                <c:pt idx="0">
                  <c:v>#N/A</c:v>
                </c:pt>
                <c:pt idx="1">
                  <c:v>218</c:v>
                </c:pt>
                <c:pt idx="2">
                  <c:v>#N/A</c:v>
                </c:pt>
                <c:pt idx="3">
                  <c:v>#N/A</c:v>
                </c:pt>
                <c:pt idx="4">
                  <c:v>#N/A</c:v>
                </c:pt>
              </c:numCache>
            </c:numRef>
          </c:val>
          <c:extLst>
            <c:ext xmlns:c16="http://schemas.microsoft.com/office/drawing/2014/chart" uri="{C3380CC4-5D6E-409C-BE32-E72D297353CC}">
              <c16:uniqueId val="{00000007-0204-4950-912D-3C9C12DCD721}"/>
            </c:ext>
          </c:extLst>
        </c:ser>
        <c:dLbls>
          <c:showLegendKey val="0"/>
          <c:showVal val="0"/>
          <c:showCatName val="0"/>
          <c:showSerName val="0"/>
          <c:showPercent val="0"/>
          <c:showBubbleSize val="0"/>
        </c:dLbls>
        <c:gapWidth val="25"/>
        <c:overlap val="100"/>
        <c:axId val="636154847"/>
        <c:axId val="404631280"/>
      </c:barChart>
      <c:catAx>
        <c:axId val="636154847"/>
        <c:scaling>
          <c:orientation val="maxMin"/>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31280"/>
        <c:crosses val="autoZero"/>
        <c:auto val="1"/>
        <c:lblAlgn val="ctr"/>
        <c:lblOffset val="100"/>
        <c:noMultiLvlLbl val="0"/>
      </c:catAx>
      <c:valAx>
        <c:axId val="404631280"/>
        <c:scaling>
          <c:orientation val="minMax"/>
          <c:min val="0"/>
        </c:scaling>
        <c:delete val="1"/>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3615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590332458442689E-2"/>
          <c:y val="0.23995406824146981"/>
          <c:w val="0.86532633420822402"/>
          <c:h val="0.70449037620297461"/>
        </c:manualLayout>
      </c:layout>
      <c:barChart>
        <c:barDir val="bar"/>
        <c:grouping val="clustered"/>
        <c:varyColors val="0"/>
        <c:ser>
          <c:idx val="0"/>
          <c:order val="0"/>
          <c:spPr>
            <a:solidFill>
              <a:schemeClr val="accent6">
                <a:lumMod val="20000"/>
                <a:lumOff val="80000"/>
              </a:schemeClr>
            </a:solidFill>
            <a:ln>
              <a:noFill/>
            </a:ln>
            <a:effectLst/>
            <a:scene3d>
              <a:camera prst="orthographicFront"/>
              <a:lightRig rig="threePt" dir="t"/>
            </a:scene3d>
            <a:sp3d>
              <a:bevelT w="82550" h="127000"/>
            </a:sp3d>
          </c:spPr>
          <c:invertIfNegative val="0"/>
          <c:dLbls>
            <c:dLbl>
              <c:idx val="0"/>
              <c:layout>
                <c:manualLayout>
                  <c:x val="2.4999999999999897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019-46E8-B34B-33AE2B74DDC1}"/>
                </c:ext>
              </c:extLst>
            </c:dLbl>
            <c:dLbl>
              <c:idx val="1"/>
              <c:layout>
                <c:manualLayout>
                  <c:x val="2.2222222222222223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019-46E8-B34B-33AE2B74DDC1}"/>
                </c:ext>
              </c:extLst>
            </c:dLbl>
            <c:dLbl>
              <c:idx val="2"/>
              <c:layout>
                <c:manualLayout>
                  <c:x val="1.9444444444444545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019-46E8-B34B-33AE2B74DDC1}"/>
                </c:ext>
              </c:extLst>
            </c:dLbl>
            <c:dLbl>
              <c:idx val="3"/>
              <c:layout>
                <c:manualLayout>
                  <c:x val="2.2222222222222119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019-46E8-B34B-33AE2B74DDC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'All Calculation'!$E$38:$E$42</c:f>
              <c:strCache>
                <c:ptCount val="5"/>
                <c:pt idx="0">
                  <c:v>R01</c:v>
                </c:pt>
                <c:pt idx="1">
                  <c:v>R02</c:v>
                </c:pt>
                <c:pt idx="2">
                  <c:v>R03</c:v>
                </c:pt>
                <c:pt idx="3">
                  <c:v>R04</c:v>
                </c:pt>
                <c:pt idx="4">
                  <c:v>R05</c:v>
                </c:pt>
              </c:strCache>
            </c:strRef>
          </c:cat>
          <c:val>
            <c:numRef>
              <c:f>'All Calculation'!$G$38:$G$42</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B019-46E8-B34B-33AE2B74DDC1}"/>
            </c:ext>
          </c:extLst>
        </c:ser>
        <c:ser>
          <c:idx val="1"/>
          <c:order val="1"/>
          <c:tx>
            <c:strRef>
              <c:f>'All Calculation'!$I$37</c:f>
              <c:strCache>
                <c:ptCount val="1"/>
                <c:pt idx="0">
                  <c:v>sel. Amount</c:v>
                </c:pt>
              </c:strCache>
            </c:strRef>
          </c:tx>
          <c:spPr>
            <a:gradFill>
              <a:gsLst>
                <a:gs pos="0">
                  <a:schemeClr val="accent4">
                    <a:lumMod val="20000"/>
                    <a:lumOff val="80000"/>
                  </a:schemeClr>
                </a:gs>
                <a:gs pos="100000">
                  <a:schemeClr val="bg2">
                    <a:lumMod val="75000"/>
                  </a:schemeClr>
                </a:gs>
              </a:gsLst>
              <a:lin ang="0" scaled="1"/>
            </a:gradFill>
            <a:ln>
              <a:noFill/>
            </a:ln>
            <a:effectLst/>
            <a:scene3d>
              <a:camera prst="orthographicFront"/>
              <a:lightRig rig="threePt" dir="t"/>
            </a:scene3d>
            <a:sp3d>
              <a:bevelT w="82550" h="10795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'All Calculation'!$I$38:$I$42</c:f>
              <c:numCache>
                <c:formatCode>General</c:formatCode>
                <c:ptCount val="5"/>
                <c:pt idx="0">
                  <c:v>#N/A</c:v>
                </c:pt>
                <c:pt idx="1">
                  <c:v>20581</c:v>
                </c:pt>
                <c:pt idx="2">
                  <c:v>#N/A</c:v>
                </c:pt>
                <c:pt idx="3">
                  <c:v>#N/A</c:v>
                </c:pt>
                <c:pt idx="4">
                  <c:v>#N/A</c:v>
                </c:pt>
              </c:numCache>
            </c:numRef>
          </c:val>
          <c:extLst>
            <c:ext xmlns:c16="http://schemas.microsoft.com/office/drawing/2014/chart" uri="{C3380CC4-5D6E-409C-BE32-E72D297353CC}">
              <c16:uniqueId val="{00000005-B019-46E8-B34B-33AE2B74DDC1}"/>
            </c:ext>
          </c:extLst>
        </c:ser>
        <c:dLbls>
          <c:showLegendKey val="0"/>
          <c:showVal val="1"/>
          <c:showCatName val="0"/>
          <c:showSerName val="0"/>
          <c:showPercent val="0"/>
          <c:showBubbleSize val="0"/>
        </c:dLbls>
        <c:gapWidth val="25"/>
        <c:overlap val="100"/>
        <c:axId val="636154847"/>
        <c:axId val="404631280"/>
      </c:barChart>
      <c:catAx>
        <c:axId val="63615484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4631280"/>
        <c:crosses val="autoZero"/>
        <c:auto val="1"/>
        <c:lblAlgn val="ctr"/>
        <c:lblOffset val="100"/>
        <c:noMultiLvlLbl val="0"/>
      </c:catAx>
      <c:valAx>
        <c:axId val="404631280"/>
        <c:scaling>
          <c:orientation val="minMax"/>
          <c:min val="0"/>
        </c:scaling>
        <c:delete val="0"/>
        <c:axPos val="b"/>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6154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[05.sample-data-pivots-blank.xlsx]4!PivotTable6</c:name>
    <c:fmtId val="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'4'!$J$13</c:f>
              <c:strCache>
                <c:ptCount val="1"/>
                <c:pt idx="0">
                  <c:v>Total</c:v>
                </c:pt>
              </c:strCache>
            </c:strRef>
          </c:tx>
          <c:spPr>
            <a:solidFill>
              <a:schemeClr val="accent2">
                <a:alpha val="85000"/>
              </a:schemeClr>
            </a:solidFill>
            <a:ln w="9525" cap="flat" cmpd="sng" algn="ctr">
              <a:solidFill>
                <a:schemeClr val="accent2">
                  <a:lumMod val="75000"/>
                </a:schemeClr>
              </a:solidFill>
              <a:round/>
            </a:ln>
            <a:effectLst/>
            <a:sp3d contourW="9525">
              <a:contourClr>
                <a:schemeClr val="accent2">
                  <a:lumMod val="75000"/>
                </a:schemeClr>
              </a:contourClr>
            </a:sp3d>
          </c:spPr>
          <c:invertIfNegative val="0"/>
          <c:cat>
            <c:strRef>
              <c:f>'4'!$I$14:$I$24</c:f>
              <c:strCache>
                <c:ptCount val="10"/>
                <c:pt idx="0">
                  <c:v>C0001</c:v>
                </c:pt>
                <c:pt idx="1">
                  <c:v>C0013</c:v>
                </c:pt>
                <c:pt idx="2">
                  <c:v>C0002</c:v>
                </c:pt>
                <c:pt idx="3">
                  <c:v>C0010</c:v>
                </c:pt>
                <c:pt idx="4">
                  <c:v>C0011</c:v>
                </c:pt>
                <c:pt idx="5">
                  <c:v>C0015</c:v>
                </c:pt>
                <c:pt idx="6">
                  <c:v>C0005</c:v>
                </c:pt>
                <c:pt idx="7">
                  <c:v>C0006</c:v>
                </c:pt>
                <c:pt idx="8">
                  <c:v>C0003</c:v>
                </c:pt>
                <c:pt idx="9">
                  <c:v>C0009</c:v>
                </c:pt>
              </c:strCache>
            </c:strRef>
          </c:cat>
          <c:val>
            <c:numRef>
              <c:f>'4'!$J$14:$J$24</c:f>
              <c:numCache>
                <c:formatCode>_ "₹"\ * #,##0_ ;_ "₹"\ * \-#,##0_ ;_ "₹"\ * "-"??_ ;_ @_ </c:formatCode>
                <c:ptCount val="10"/>
                <c:pt idx="0">
                  <c:v>2263</c:v>
                </c:pt>
                <c:pt idx="1">
                  <c:v>1874</c:v>
                </c:pt>
                <c:pt idx="2">
                  <c:v>1680</c:v>
                </c:pt>
                <c:pt idx="3">
                  <c:v>1617</c:v>
                </c:pt>
                <c:pt idx="4">
                  <c:v>1616</c:v>
                </c:pt>
                <c:pt idx="5">
                  <c:v>1482</c:v>
                </c:pt>
                <c:pt idx="6">
                  <c:v>1445</c:v>
                </c:pt>
                <c:pt idx="7">
                  <c:v>1346</c:v>
                </c:pt>
                <c:pt idx="8">
                  <c:v>1282</c:v>
                </c:pt>
                <c:pt idx="9">
                  <c:v>1214</c:v>
                </c:pt>
              </c:numCache>
            </c:numRef>
          </c:val>
          <c:extLst>
            <c:ext xmlns:c16="http://schemas.microsoft.com/office/drawing/2014/chart" uri="{C3380CC4-5D6E-409C-BE32-E72D297353CC}">
              <c16:uniqueId val="{00000000-B654-4AB9-AC6A-B7DBBCA38259}"/>
            </c:ext>
          </c:extLst>
        </c:ser>
        <c:dLbls>
          <c:showLegendKey val="0"/>
          <c:showVal val="0"/>
          <c:showCatName val="0"/>
          <c:showSerName val="0"/>
          <c:showPercent val="0"/>
          <c:showBubbleSize val="0"/>
        </c:dLbls>
        <c:gapWidth val="65"/>
        <c:shape val="box"/>
        <c:axId val="1694992160"/>
        <c:axId val="1362794160"/>
        <c:axId val="0"/>
      </c:bar3DChart>
      <c:catAx>
        <c:axId val="1694992160"/>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62794160"/>
        <c:crosses val="autoZero"/>
        <c:auto val="1"/>
        <c:lblAlgn val="ctr"/>
        <c:lblOffset val="100"/>
        <c:noMultiLvlLbl val="0"/>
      </c:catAx>
      <c:valAx>
        <c:axId val="1362794160"/>
        <c:scaling>
          <c:orientation val="minMax"/>
        </c:scaling>
        <c:delete val="0"/>
        <c:axPos val="l"/>
        <c:majorGridlines>
          <c:spPr>
            <a:ln w="9525" cap="flat" cmpd="sng" algn="ctr">
              <a:solidFill>
                <a:schemeClr val="dk1">
                  <a:lumMod val="15000"/>
                  <a:lumOff val="85000"/>
                </a:schemeClr>
              </a:solidFill>
              <a:round/>
            </a:ln>
            <a:effectLst/>
          </c:spPr>
        </c:majorGridlines>
        <c:numFmt formatCode="_ &quot;₹&quot;\ * #,##0_ ;_ &quot;₹&quot;\ * \-#,##0_ ;_ &quot;₹&quot;\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949921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[05.sample-data-pivots-blank.xlsx]6,7!PivotTable8</c:name>
    <c:fmtId val="2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'6,7'!$C$8</c:f>
              <c:strCache>
                <c:ptCount val="1"/>
                <c:pt idx="0">
                  <c:v>Total</c:v>
                </c:pt>
              </c:strCache>
            </c:strRef>
          </c:tx>
          <c:spPr>
            <a:ln w="28575" cap="rnd">
              <a:solidFill>
                <a:schemeClr val="accent1"/>
              </a:solidFill>
              <a:round/>
            </a:ln>
            <a:effectLst/>
          </c:spPr>
          <c:marker>
            <c:symbol val="none"/>
          </c:marker>
          <c:cat>
            <c:strRef>
              <c:f>'6,7'!$B$9:$B$21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'6,7'!$C$9:$C$21</c:f>
              <c:numCache>
                <c:formatCode>General</c:formatCode>
                <c:ptCount val="12"/>
                <c:pt idx="0">
                  <c:v>79</c:v>
                </c:pt>
                <c:pt idx="1">
                  <c:v>66</c:v>
                </c:pt>
                <c:pt idx="2">
                  <c:v>155</c:v>
                </c:pt>
                <c:pt idx="3">
                  <c:v>136</c:v>
                </c:pt>
                <c:pt idx="4">
                  <c:v>83</c:v>
                </c:pt>
                <c:pt idx="5">
                  <c:v>67</c:v>
                </c:pt>
                <c:pt idx="6">
                  <c:v>64</c:v>
                </c:pt>
                <c:pt idx="7">
                  <c:v>50</c:v>
                </c:pt>
                <c:pt idx="8">
                  <c:v>76</c:v>
                </c:pt>
                <c:pt idx="9">
                  <c:v>114</c:v>
                </c:pt>
                <c:pt idx="10">
                  <c:v>57</c:v>
                </c:pt>
                <c:pt idx="11">
                  <c:v>53</c:v>
                </c:pt>
              </c:numCache>
            </c:numRef>
          </c:val>
          <c:smooth val="0"/>
          <c:extLst>
            <c:ext xmlns:c16="http://schemas.microsoft.com/office/drawing/2014/chart" uri="{C3380CC4-5D6E-409C-BE32-E72D297353CC}">
              <c16:uniqueId val="{00000000-3321-4732-8E9F-DED994CA772D}"/>
            </c:ext>
          </c:extLst>
        </c:ser>
        <c:dLbls>
          <c:showLegendKey val="0"/>
          <c:showVal val="0"/>
          <c:showCatName val="0"/>
          <c:showSerName val="0"/>
          <c:showPercent val="0"/>
          <c:showBubbleSize val="0"/>
        </c:dLbls>
        <c:smooth val="0"/>
        <c:axId val="2095916720"/>
        <c:axId val="1362669360"/>
      </c:lineChart>
      <c:catAx>
        <c:axId val="20959167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669360"/>
        <c:crosses val="autoZero"/>
        <c:auto val="1"/>
        <c:lblAlgn val="ctr"/>
        <c:lblOffset val="100"/>
        <c:noMultiLvlLbl val="0"/>
      </c:catAx>
      <c:valAx>
        <c:axId val="136266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59167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[05.sample-data-pivots-blank.xlsx]6,7!PivotTable12</c:name>
    <c:fmtId val="2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lt1">
                  <a:lumMod val="85000"/>
                </a:schemeClr>
              </a:solidFill>
              <a:latin typeface="+mj-lt"/>
              <a:ea typeface="+mj-ea"/>
              <a:cs typeface="+mj-cs"/>
            </a:defRPr>
          </a:pPr>
          <a:endParaRPr lang="en-US"/>
        </a:p>
      </c:txPr>
    </c:title>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'6,7'!$C$43</c:f>
              <c:strCache>
                <c:ptCount val="1"/>
                <c:pt idx="0">
                  <c:v>Total</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'6,7'!$B$44:$B$56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'6,7'!$C$44:$C$56</c:f>
              <c:numCache>
                <c:formatCode>General</c:formatCode>
                <c:ptCount val="12"/>
                <c:pt idx="0">
                  <c:v>7790</c:v>
                </c:pt>
                <c:pt idx="1">
                  <c:v>13912</c:v>
                </c:pt>
                <c:pt idx="2">
                  <c:v>28475</c:v>
                </c:pt>
                <c:pt idx="3">
                  <c:v>42011</c:v>
                </c:pt>
                <c:pt idx="4">
                  <c:v>50182</c:v>
                </c:pt>
                <c:pt idx="5">
                  <c:v>56075</c:v>
                </c:pt>
                <c:pt idx="6">
                  <c:v>62082</c:v>
                </c:pt>
                <c:pt idx="7">
                  <c:v>67032</c:v>
                </c:pt>
                <c:pt idx="8">
                  <c:v>73721</c:v>
                </c:pt>
                <c:pt idx="9">
                  <c:v>84596</c:v>
                </c:pt>
                <c:pt idx="10">
                  <c:v>91371</c:v>
                </c:pt>
                <c:pt idx="11">
                  <c:v>96623</c:v>
                </c:pt>
              </c:numCache>
            </c:numRef>
          </c:val>
          <c:extLst>
            <c:ext xmlns:c16="http://schemas.microsoft.com/office/drawing/2014/chart" uri="{C3380CC4-5D6E-409C-BE32-E72D297353CC}">
              <c16:uniqueId val="{00000000-AC98-4B5E-994D-8F56D68C4ED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55889840"/>
        <c:axId val="1362766320"/>
      </c:areaChart>
      <c:catAx>
        <c:axId val="1855889840"/>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362766320"/>
        <c:crosses val="autoZero"/>
        <c:auto val="1"/>
        <c:lblAlgn val="ctr"/>
        <c:lblOffset val="100"/>
        <c:noMultiLvlLbl val="0"/>
      </c:catAx>
      <c:valAx>
        <c:axId val="136276632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55889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[05.sample-data-pivots-blank.xlsx]6,7!PivotTable13</c:name>
    <c:fmtId val="3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'6,7'!$D$72</c:f>
              <c:strCache>
                <c:ptCount val="1"/>
                <c:pt idx="0">
                  <c:v>Total</c:v>
                </c:pt>
              </c:strCache>
            </c:strRef>
          </c:tx>
          <c:spPr>
            <a:solidFill>
              <a:schemeClr val="accent1"/>
            </a:solidFill>
            <a:ln>
              <a:noFill/>
            </a:ln>
            <a:effectLst/>
          </c:spPr>
          <c:invertIfNegative val="0"/>
          <c:cat>
            <c:multiLvlStrRef>
              <c:f>'6,7'!$C$73:$C$87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2023</c:v>
                  </c:pt>
                  <c:pt idx="5">
                    <c:v>2024</c:v>
                  </c:pt>
                </c:lvl>
              </c:multiLvlStrCache>
            </c:multiLvlStrRef>
          </c:cat>
          <c:val>
            <c:numRef>
              <c:f>'6,7'!$D$73:$D$87</c:f>
              <c:numCache>
                <c:formatCode>General</c:formatCode>
                <c:ptCount val="12"/>
                <c:pt idx="0">
                  <c:v>7790</c:v>
                </c:pt>
                <c:pt idx="1">
                  <c:v>13912</c:v>
                </c:pt>
                <c:pt idx="2">
                  <c:v>28475</c:v>
                </c:pt>
                <c:pt idx="3">
                  <c:v>42011</c:v>
                </c:pt>
                <c:pt idx="4">
                  <c:v>50182</c:v>
                </c:pt>
                <c:pt idx="5">
                  <c:v>5893</c:v>
                </c:pt>
                <c:pt idx="6">
                  <c:v>11900</c:v>
                </c:pt>
                <c:pt idx="7">
                  <c:v>16850</c:v>
                </c:pt>
                <c:pt idx="8">
                  <c:v>23539</c:v>
                </c:pt>
                <c:pt idx="9">
                  <c:v>34414</c:v>
                </c:pt>
                <c:pt idx="10">
                  <c:v>41189</c:v>
                </c:pt>
                <c:pt idx="11">
                  <c:v>46441</c:v>
                </c:pt>
              </c:numCache>
            </c:numRef>
          </c:val>
          <c:extLst>
            <c:ext xmlns:c16="http://schemas.microsoft.com/office/drawing/2014/chart" uri="{C3380CC4-5D6E-409C-BE32-E72D297353CC}">
              <c16:uniqueId val="{00000000-0AEA-4994-83CE-F4469809FB3A}"/>
            </c:ext>
          </c:extLst>
        </c:ser>
        <c:dLbls>
          <c:showLegendKey val="0"/>
          <c:showVal val="0"/>
          <c:showCatName val="0"/>
          <c:showSerName val="0"/>
          <c:showPercent val="0"/>
          <c:showBubbleSize val="0"/>
        </c:dLbls>
        <c:gapWidth val="219"/>
        <c:overlap val="-27"/>
        <c:axId val="196390960"/>
        <c:axId val="1362740400"/>
      </c:barChart>
      <c:catAx>
        <c:axId val="19639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2740400"/>
        <c:crosses val="autoZero"/>
        <c:auto val="1"/>
        <c:lblAlgn val="ctr"/>
        <c:lblOffset val="100"/>
        <c:noMultiLvlLbl val="0"/>
      </c:catAx>
      <c:valAx>
        <c:axId val="1362740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9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svg"/><Relationship Id="rId13" Type="http://schemas.openxmlformats.org/officeDocument/2006/relationships/image" Target="../media/image12.png"/><Relationship Id="rId18" Type="http://schemas.openxmlformats.org/officeDocument/2006/relationships/image" Target="../media/image17.jpeg"/><Relationship Id="rId3" Type="http://schemas.openxmlformats.org/officeDocument/2006/relationships/image" Target="../media/image2.png"/><Relationship Id="rId21" Type="http://schemas.openxmlformats.org/officeDocument/2006/relationships/image" Target="../media/image20.jpeg"/><Relationship Id="rId7" Type="http://schemas.openxmlformats.org/officeDocument/2006/relationships/image" Target="../media/image6.png"/><Relationship Id="rId12" Type="http://schemas.openxmlformats.org/officeDocument/2006/relationships/image" Target="../media/image11.svg"/><Relationship Id="rId17" Type="http://schemas.openxmlformats.org/officeDocument/2006/relationships/image" Target="../media/image16.jpeg"/><Relationship Id="rId2" Type="http://schemas.openxmlformats.org/officeDocument/2006/relationships/image" Target="../media/image1.png"/><Relationship Id="rId16" Type="http://schemas.openxmlformats.org/officeDocument/2006/relationships/image" Target="../media/image15.jpeg"/><Relationship Id="rId20" Type="http://schemas.openxmlformats.org/officeDocument/2006/relationships/image" Target="../media/image19.jpeg"/><Relationship Id="rId1" Type="http://schemas.openxmlformats.org/officeDocument/2006/relationships/hyperlink" Target="https://chandoo.org/wp/" TargetMode="External"/><Relationship Id="rId6" Type="http://schemas.openxmlformats.org/officeDocument/2006/relationships/image" Target="../media/image5.svg"/><Relationship Id="rId11" Type="http://schemas.openxmlformats.org/officeDocument/2006/relationships/image" Target="../media/image10.png"/><Relationship Id="rId5" Type="http://schemas.openxmlformats.org/officeDocument/2006/relationships/image" Target="../media/image4.png"/><Relationship Id="rId15" Type="http://schemas.openxmlformats.org/officeDocument/2006/relationships/image" Target="../media/image14.jpeg"/><Relationship Id="rId10" Type="http://schemas.openxmlformats.org/officeDocument/2006/relationships/image" Target="../media/image9.svg"/><Relationship Id="rId19" Type="http://schemas.openxmlformats.org/officeDocument/2006/relationships/image" Target="../media/image18.jpeg"/><Relationship Id="rId4" Type="http://schemas.openxmlformats.org/officeDocument/2006/relationships/image" Target="../media/image3.svg"/><Relationship Id="rId9" Type="http://schemas.openxmlformats.org/officeDocument/2006/relationships/image" Target="../media/image8.png"/><Relationship Id="rId14" Type="http://schemas.openxmlformats.org/officeDocument/2006/relationships/image" Target="../media/image13.svg"/><Relationship Id="rId22" Type="http://schemas.openxmlformats.org/officeDocument/2006/relationships/image" Target="../media/image21.jpeg"/></Relationships>
</file>

<file path=xl/drawings/_rels/drawing2.xml.rels><?xml version="1.0" encoding="UTF-8" standalone="yes"?>
<Relationships xmlns="http://schemas.openxmlformats.org/package/2006/relationships"><Relationship Id="rId8" Type="http://schemas.openxmlformats.org/officeDocument/2006/relationships/image" Target="../media/image29.svg"/><Relationship Id="rId13" Type="http://schemas.openxmlformats.org/officeDocument/2006/relationships/chart" Target="../charts/chart3.xml"/><Relationship Id="rId3" Type="http://schemas.openxmlformats.org/officeDocument/2006/relationships/image" Target="../media/image24.png"/><Relationship Id="rId7" Type="http://schemas.openxmlformats.org/officeDocument/2006/relationships/image" Target="../media/image28.png"/><Relationship Id="rId12" Type="http://schemas.openxmlformats.org/officeDocument/2006/relationships/chart" Target="../charts/chart2.xml"/><Relationship Id="rId2" Type="http://schemas.openxmlformats.org/officeDocument/2006/relationships/image" Target="../media/image23.svg"/><Relationship Id="rId16" Type="http://schemas.openxmlformats.org/officeDocument/2006/relationships/chart" Target="../charts/chart6.xml"/><Relationship Id="rId1" Type="http://schemas.openxmlformats.org/officeDocument/2006/relationships/image" Target="../media/image22.png"/><Relationship Id="rId6" Type="http://schemas.openxmlformats.org/officeDocument/2006/relationships/image" Target="../media/image27.svg"/><Relationship Id="rId11" Type="http://schemas.openxmlformats.org/officeDocument/2006/relationships/chart" Target="../charts/chart1.xml"/><Relationship Id="rId5" Type="http://schemas.openxmlformats.org/officeDocument/2006/relationships/image" Target="../media/image26.png"/><Relationship Id="rId15" Type="http://schemas.openxmlformats.org/officeDocument/2006/relationships/chart" Target="../charts/chart5.xml"/><Relationship Id="rId10" Type="http://schemas.openxmlformats.org/officeDocument/2006/relationships/image" Target="../media/image31.svg"/><Relationship Id="rId4" Type="http://schemas.openxmlformats.org/officeDocument/2006/relationships/image" Target="../media/image25.svg"/><Relationship Id="rId9" Type="http://schemas.openxmlformats.org/officeDocument/2006/relationships/image" Target="../media/image30.png"/><Relationship Id="rId1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34.png"/><Relationship Id="rId13" Type="http://schemas.openxmlformats.org/officeDocument/2006/relationships/customXml" Target="../ink/ink6.xml"/><Relationship Id="rId3" Type="http://schemas.openxmlformats.org/officeDocument/2006/relationships/customXml" Target="../ink/ink2.xml"/><Relationship Id="rId7" Type="http://schemas.openxmlformats.org/officeDocument/2006/relationships/customXml" Target="../ink/ink3.xml"/><Relationship Id="rId12" Type="http://schemas.openxmlformats.org/officeDocument/2006/relationships/image" Target="../media/image36.png"/><Relationship Id="rId2" Type="http://schemas.openxmlformats.org/officeDocument/2006/relationships/image" Target="../media/image32.png"/><Relationship Id="rId1" Type="http://schemas.openxmlformats.org/officeDocument/2006/relationships/customXml" Target="../ink/ink1.xml"/><Relationship Id="rId6" Type="http://schemas.openxmlformats.org/officeDocument/2006/relationships/chart" Target="../charts/chart8.xml"/><Relationship Id="rId11" Type="http://schemas.openxmlformats.org/officeDocument/2006/relationships/customXml" Target="../ink/ink5.xml"/><Relationship Id="rId5" Type="http://schemas.openxmlformats.org/officeDocument/2006/relationships/chart" Target="../charts/chart7.xml"/><Relationship Id="rId10" Type="http://schemas.openxmlformats.org/officeDocument/2006/relationships/image" Target="../media/image35.png"/><Relationship Id="rId4" Type="http://schemas.openxmlformats.org/officeDocument/2006/relationships/image" Target="../media/image33.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13" Type="http://schemas.openxmlformats.org/officeDocument/2006/relationships/customXml" Target="../ink/ink13.xml"/><Relationship Id="rId18" Type="http://schemas.openxmlformats.org/officeDocument/2006/relationships/image" Target="../media/image100.png"/><Relationship Id="rId26" Type="http://schemas.openxmlformats.org/officeDocument/2006/relationships/image" Target="../media/image14.png"/><Relationship Id="rId39" Type="http://schemas.openxmlformats.org/officeDocument/2006/relationships/customXml" Target="../ink/ink26.xml"/><Relationship Id="rId21" Type="http://schemas.openxmlformats.org/officeDocument/2006/relationships/customXml" Target="../ink/ink17.xml"/><Relationship Id="rId34" Type="http://schemas.openxmlformats.org/officeDocument/2006/relationships/image" Target="../media/image18.png"/><Relationship Id="rId7" Type="http://schemas.openxmlformats.org/officeDocument/2006/relationships/customXml" Target="../ink/ink10.xml"/><Relationship Id="rId12" Type="http://schemas.openxmlformats.org/officeDocument/2006/relationships/image" Target="../media/image7.png"/><Relationship Id="rId17" Type="http://schemas.openxmlformats.org/officeDocument/2006/relationships/customXml" Target="../ink/ink15.xml"/><Relationship Id="rId25" Type="http://schemas.openxmlformats.org/officeDocument/2006/relationships/customXml" Target="../ink/ink19.xml"/><Relationship Id="rId33" Type="http://schemas.openxmlformats.org/officeDocument/2006/relationships/customXml" Target="../ink/ink23.xml"/><Relationship Id="rId38" Type="http://schemas.openxmlformats.org/officeDocument/2006/relationships/image" Target="../media/image20.png"/><Relationship Id="rId2" Type="http://schemas.openxmlformats.org/officeDocument/2006/relationships/image" Target="../media/image210.png"/><Relationship Id="rId16" Type="http://schemas.openxmlformats.org/officeDocument/2006/relationships/image" Target="../media/image9.png"/><Relationship Id="rId20" Type="http://schemas.openxmlformats.org/officeDocument/2006/relationships/image" Target="../media/image11.png"/><Relationship Id="rId29" Type="http://schemas.openxmlformats.org/officeDocument/2006/relationships/customXml" Target="../ink/ink21.xml"/><Relationship Id="rId1" Type="http://schemas.openxmlformats.org/officeDocument/2006/relationships/customXml" Target="../ink/ink7.xml"/><Relationship Id="rId6" Type="http://schemas.openxmlformats.org/officeDocument/2006/relationships/image" Target="../media/image410.png"/><Relationship Id="rId11" Type="http://schemas.openxmlformats.org/officeDocument/2006/relationships/customXml" Target="../ink/ink12.xml"/><Relationship Id="rId24" Type="http://schemas.openxmlformats.org/officeDocument/2006/relationships/image" Target="../media/image13.png"/><Relationship Id="rId32" Type="http://schemas.openxmlformats.org/officeDocument/2006/relationships/image" Target="../media/image17.png"/><Relationship Id="rId37" Type="http://schemas.openxmlformats.org/officeDocument/2006/relationships/customXml" Target="../ink/ink25.xml"/><Relationship Id="rId40" Type="http://schemas.openxmlformats.org/officeDocument/2006/relationships/image" Target="../media/image21.png"/><Relationship Id="rId5" Type="http://schemas.openxmlformats.org/officeDocument/2006/relationships/customXml" Target="../ink/ink9.xml"/><Relationship Id="rId15" Type="http://schemas.openxmlformats.org/officeDocument/2006/relationships/customXml" Target="../ink/ink14.xml"/><Relationship Id="rId23" Type="http://schemas.openxmlformats.org/officeDocument/2006/relationships/customXml" Target="../ink/ink18.xml"/><Relationship Id="rId28" Type="http://schemas.openxmlformats.org/officeDocument/2006/relationships/image" Target="../media/image15.png"/><Relationship Id="rId36" Type="http://schemas.openxmlformats.org/officeDocument/2006/relationships/image" Target="../media/image19.png"/><Relationship Id="rId10" Type="http://schemas.openxmlformats.org/officeDocument/2006/relationships/image" Target="../media/image60.png"/><Relationship Id="rId19" Type="http://schemas.openxmlformats.org/officeDocument/2006/relationships/customXml" Target="../ink/ink16.xml"/><Relationship Id="rId31" Type="http://schemas.openxmlformats.org/officeDocument/2006/relationships/customXml" Target="../ink/ink22.xml"/><Relationship Id="rId4" Type="http://schemas.openxmlformats.org/officeDocument/2006/relationships/image" Target="../media/image3.png"/><Relationship Id="rId9" Type="http://schemas.openxmlformats.org/officeDocument/2006/relationships/customXml" Target="../ink/ink11.xml"/><Relationship Id="rId14" Type="http://schemas.openxmlformats.org/officeDocument/2006/relationships/image" Target="../media/image80.png"/><Relationship Id="rId22" Type="http://schemas.openxmlformats.org/officeDocument/2006/relationships/image" Target="../media/image120.png"/><Relationship Id="rId27" Type="http://schemas.openxmlformats.org/officeDocument/2006/relationships/customXml" Target="../ink/ink20.xml"/><Relationship Id="rId30" Type="http://schemas.openxmlformats.org/officeDocument/2006/relationships/image" Target="../media/image16.png"/><Relationship Id="rId35" Type="http://schemas.openxmlformats.org/officeDocument/2006/relationships/customXml" Target="../ink/ink24.xml"/><Relationship Id="rId8" Type="http://schemas.openxmlformats.org/officeDocument/2006/relationships/image" Target="../media/image5.png"/><Relationship Id="rId3" Type="http://schemas.openxmlformats.org/officeDocument/2006/relationships/customXml" Target="../ink/ink8.xml"/></Relationships>
</file>

<file path=xl/drawings/_rels/drawing5.xml.rels><?xml version="1.0" encoding="UTF-8" standalone="yes"?>
<Relationships xmlns="http://schemas.openxmlformats.org/package/2006/relationships"><Relationship Id="rId8" Type="http://schemas.openxmlformats.org/officeDocument/2006/relationships/image" Target="../media/image25.png"/><Relationship Id="rId13" Type="http://schemas.openxmlformats.org/officeDocument/2006/relationships/customXml" Target="../ink/ink33.xml"/><Relationship Id="rId18" Type="http://schemas.openxmlformats.org/officeDocument/2006/relationships/image" Target="../media/image300.png"/><Relationship Id="rId26" Type="http://schemas.openxmlformats.org/officeDocument/2006/relationships/image" Target="../media/image340.png"/><Relationship Id="rId3" Type="http://schemas.openxmlformats.org/officeDocument/2006/relationships/customXml" Target="../ink/ink28.xml"/><Relationship Id="rId21" Type="http://schemas.openxmlformats.org/officeDocument/2006/relationships/customXml" Target="../ink/ink37.xml"/><Relationship Id="rId7" Type="http://schemas.openxmlformats.org/officeDocument/2006/relationships/customXml" Target="../ink/ink30.xml"/><Relationship Id="rId12" Type="http://schemas.openxmlformats.org/officeDocument/2006/relationships/image" Target="../media/image27.png"/><Relationship Id="rId17" Type="http://schemas.openxmlformats.org/officeDocument/2006/relationships/customXml" Target="../ink/ink35.xml"/><Relationship Id="rId25" Type="http://schemas.openxmlformats.org/officeDocument/2006/relationships/customXml" Target="../ink/ink39.xml"/><Relationship Id="rId2" Type="http://schemas.openxmlformats.org/officeDocument/2006/relationships/image" Target="../media/image220.png"/><Relationship Id="rId16" Type="http://schemas.openxmlformats.org/officeDocument/2006/relationships/image" Target="../media/image29.png"/><Relationship Id="rId20" Type="http://schemas.openxmlformats.org/officeDocument/2006/relationships/image" Target="../media/image31.png"/><Relationship Id="rId29" Type="http://schemas.openxmlformats.org/officeDocument/2006/relationships/chart" Target="../charts/chart9.xml"/><Relationship Id="rId1" Type="http://schemas.openxmlformats.org/officeDocument/2006/relationships/customXml" Target="../ink/ink27.xml"/><Relationship Id="rId6" Type="http://schemas.openxmlformats.org/officeDocument/2006/relationships/image" Target="../media/image240.png"/><Relationship Id="rId11" Type="http://schemas.openxmlformats.org/officeDocument/2006/relationships/customXml" Target="../ink/ink32.xml"/><Relationship Id="rId24" Type="http://schemas.openxmlformats.org/officeDocument/2006/relationships/image" Target="../media/image330.png"/><Relationship Id="rId5" Type="http://schemas.openxmlformats.org/officeDocument/2006/relationships/customXml" Target="../ink/ink29.xml"/><Relationship Id="rId15" Type="http://schemas.openxmlformats.org/officeDocument/2006/relationships/customXml" Target="../ink/ink34.xml"/><Relationship Id="rId23" Type="http://schemas.openxmlformats.org/officeDocument/2006/relationships/customXml" Target="../ink/ink38.xml"/><Relationship Id="rId28" Type="http://schemas.openxmlformats.org/officeDocument/2006/relationships/image" Target="../media/image350.png"/><Relationship Id="rId10" Type="http://schemas.openxmlformats.org/officeDocument/2006/relationships/image" Target="../media/image260.png"/><Relationship Id="rId19" Type="http://schemas.openxmlformats.org/officeDocument/2006/relationships/customXml" Target="../ink/ink36.xml"/><Relationship Id="rId4" Type="http://schemas.openxmlformats.org/officeDocument/2006/relationships/image" Target="../media/image23.png"/><Relationship Id="rId9" Type="http://schemas.openxmlformats.org/officeDocument/2006/relationships/customXml" Target="../ink/ink31.xml"/><Relationship Id="rId14" Type="http://schemas.openxmlformats.org/officeDocument/2006/relationships/image" Target="../media/image280.png"/><Relationship Id="rId22" Type="http://schemas.openxmlformats.org/officeDocument/2006/relationships/image" Target="../media/image320.png"/><Relationship Id="rId27" Type="http://schemas.openxmlformats.org/officeDocument/2006/relationships/customXml" Target="../ink/ink40.xml"/></Relationships>
</file>

<file path=xl/drawings/_rels/drawing6.xml.rels><?xml version="1.0" encoding="UTF-8" standalone="yes"?>
<Relationships xmlns="http://schemas.openxmlformats.org/package/2006/relationships"><Relationship Id="rId8" Type="http://schemas.openxmlformats.org/officeDocument/2006/relationships/image" Target="../media/image38.png"/><Relationship Id="rId13" Type="http://schemas.openxmlformats.org/officeDocument/2006/relationships/customXml" Target="../ink/ink46.xml"/><Relationship Id="rId18" Type="http://schemas.openxmlformats.org/officeDocument/2006/relationships/image" Target="../media/image43.png"/><Relationship Id="rId26" Type="http://schemas.openxmlformats.org/officeDocument/2006/relationships/image" Target="../media/image47.png"/><Relationship Id="rId3" Type="http://schemas.openxmlformats.org/officeDocument/2006/relationships/image" Target="../media/image360.png"/><Relationship Id="rId21" Type="http://schemas.openxmlformats.org/officeDocument/2006/relationships/customXml" Target="../ink/ink50.xml"/><Relationship Id="rId7" Type="http://schemas.openxmlformats.org/officeDocument/2006/relationships/customXml" Target="../ink/ink43.xml"/><Relationship Id="rId12" Type="http://schemas.openxmlformats.org/officeDocument/2006/relationships/image" Target="../media/image40.png"/><Relationship Id="rId17" Type="http://schemas.openxmlformats.org/officeDocument/2006/relationships/customXml" Target="../ink/ink48.xml"/><Relationship Id="rId25" Type="http://schemas.openxmlformats.org/officeDocument/2006/relationships/customXml" Target="../ink/ink52.xml"/><Relationship Id="rId2" Type="http://schemas.openxmlformats.org/officeDocument/2006/relationships/customXml" Target="../ink/ink41.xml"/><Relationship Id="rId16" Type="http://schemas.openxmlformats.org/officeDocument/2006/relationships/image" Target="../media/image42.png"/><Relationship Id="rId20" Type="http://schemas.openxmlformats.org/officeDocument/2006/relationships/image" Target="../media/image44.png"/><Relationship Id="rId1" Type="http://schemas.openxmlformats.org/officeDocument/2006/relationships/chart" Target="../charts/chart10.xml"/><Relationship Id="rId6" Type="http://schemas.openxmlformats.org/officeDocument/2006/relationships/chart" Target="../charts/chart11.xml"/><Relationship Id="rId11" Type="http://schemas.openxmlformats.org/officeDocument/2006/relationships/customXml" Target="../ink/ink45.xml"/><Relationship Id="rId24" Type="http://schemas.openxmlformats.org/officeDocument/2006/relationships/image" Target="../media/image46.png"/><Relationship Id="rId5" Type="http://schemas.openxmlformats.org/officeDocument/2006/relationships/image" Target="../media/image37.png"/><Relationship Id="rId15" Type="http://schemas.openxmlformats.org/officeDocument/2006/relationships/customXml" Target="../ink/ink47.xml"/><Relationship Id="rId23" Type="http://schemas.openxmlformats.org/officeDocument/2006/relationships/customXml" Target="../ink/ink51.xml"/><Relationship Id="rId10" Type="http://schemas.openxmlformats.org/officeDocument/2006/relationships/image" Target="../media/image39.png"/><Relationship Id="rId19" Type="http://schemas.openxmlformats.org/officeDocument/2006/relationships/customXml" Target="../ink/ink49.xml"/><Relationship Id="rId4" Type="http://schemas.openxmlformats.org/officeDocument/2006/relationships/customXml" Target="../ink/ink42.xml"/><Relationship Id="rId9" Type="http://schemas.openxmlformats.org/officeDocument/2006/relationships/customXml" Target="../ink/ink44.xml"/><Relationship Id="rId14" Type="http://schemas.openxmlformats.org/officeDocument/2006/relationships/image" Target="../media/image41.png"/><Relationship Id="rId22" Type="http://schemas.openxmlformats.org/officeDocument/2006/relationships/image" Target="../media/image45.png"/><Relationship Id="rId27"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8" Type="http://schemas.openxmlformats.org/officeDocument/2006/relationships/image" Target="../media/image51.png"/><Relationship Id="rId3" Type="http://schemas.openxmlformats.org/officeDocument/2006/relationships/customXml" Target="../ink/ink54.xml"/><Relationship Id="rId7" Type="http://schemas.openxmlformats.org/officeDocument/2006/relationships/customXml" Target="../ink/ink56.xml"/><Relationship Id="rId12" Type="http://schemas.openxmlformats.org/officeDocument/2006/relationships/image" Target="../media/image53.png"/><Relationship Id="rId2" Type="http://schemas.openxmlformats.org/officeDocument/2006/relationships/image" Target="../media/image48.png"/><Relationship Id="rId1" Type="http://schemas.openxmlformats.org/officeDocument/2006/relationships/customXml" Target="../ink/ink53.xml"/><Relationship Id="rId6" Type="http://schemas.openxmlformats.org/officeDocument/2006/relationships/image" Target="../media/image50.png"/><Relationship Id="rId11" Type="http://schemas.openxmlformats.org/officeDocument/2006/relationships/customXml" Target="../ink/ink58.xml"/><Relationship Id="rId5" Type="http://schemas.openxmlformats.org/officeDocument/2006/relationships/customXml" Target="../ink/ink55.xml"/><Relationship Id="rId10" Type="http://schemas.openxmlformats.org/officeDocument/2006/relationships/image" Target="../media/image52.png"/><Relationship Id="rId4" Type="http://schemas.openxmlformats.org/officeDocument/2006/relationships/image" Target="../media/image49.png"/><Relationship Id="rId9" Type="http://schemas.openxmlformats.org/officeDocument/2006/relationships/customXml" Target="../ink/ink57.xml"/></Relationships>
</file>

<file path=xl/drawings/_rels/drawing9.xml.rels><?xml version="1.0" encoding="UTF-8" standalone="yes"?>
<Relationships xmlns="http://schemas.openxmlformats.org/package/2006/relationships"><Relationship Id="rId3" Type="http://schemas.openxmlformats.org/officeDocument/2006/relationships/customXml" Target="../ink/ink60.xml"/><Relationship Id="rId2" Type="http://schemas.openxmlformats.org/officeDocument/2006/relationships/image" Target="../media/image54.png"/><Relationship Id="rId1" Type="http://schemas.openxmlformats.org/officeDocument/2006/relationships/customXml" Target="../ink/ink59.xml"/><Relationship Id="rId6" Type="http://schemas.openxmlformats.org/officeDocument/2006/relationships/image" Target="../media/image9.png"/><Relationship Id="rId5" Type="http://schemas.openxmlformats.org/officeDocument/2006/relationships/customXml" Target="../ink/ink61.xml"/><Relationship Id="rId4"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0</xdr:row>
      <xdr:rowOff>149958</xdr:rowOff>
    </xdr:from>
    <xdr:to>
      <xdr:col>9</xdr:col>
      <xdr:colOff>428625</xdr:colOff>
      <xdr:row>1</xdr:row>
      <xdr:rowOff>190500</xdr:rowOff>
    </xdr:to>
    <xdr:pic>
      <xdr:nvPicPr>
        <xdr:cNvPr id="4" name="Picture 3">
          <a:hlinkClick xmlns:r="http://schemas.openxmlformats.org/officeDocument/2006/relationships" r:id="rId1"/>
          <a:extLst>
            <a:ext uri="{FF2B5EF4-FFF2-40B4-BE49-F238E27FC236}">
              <a16:creationId xmlns:a16="http://schemas.microsoft.com/office/drawing/2014/main" id="{F92F0C86-81F4-8FF2-79D4-1A937B0920E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067550" y="149958"/>
          <a:ext cx="2486025" cy="707292"/>
        </a:xfrm>
        <a:prstGeom prst="rect">
          <a:avLst/>
        </a:prstGeom>
      </xdr:spPr>
    </xdr:pic>
    <xdr:clientData/>
  </xdr:twoCellAnchor>
  <xdr:twoCellAnchor editAs="oneCell">
    <xdr:from>
      <xdr:col>4</xdr:col>
      <xdr:colOff>0</xdr:colOff>
      <xdr:row>31</xdr:row>
      <xdr:rowOff>120187</xdr:rowOff>
    </xdr:from>
    <xdr:to>
      <xdr:col>4</xdr:col>
      <xdr:colOff>409650</xdr:colOff>
      <xdr:row>33</xdr:row>
      <xdr:rowOff>110737</xdr:rowOff>
    </xdr:to>
    <xdr:pic>
      <xdr:nvPicPr>
        <xdr:cNvPr id="2" name="Graphic 1" descr="Star-struck face outline with solid fill">
          <a:extLst>
            <a:ext uri="{FF2B5EF4-FFF2-40B4-BE49-F238E27FC236}">
              <a16:creationId xmlns:a16="http://schemas.microsoft.com/office/drawing/2014/main" id="{C17B288E-DEAD-42D8-891E-A0C1A3336E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1453687"/>
          <a:ext cx="409650" cy="409650"/>
        </a:xfrm>
        <a:prstGeom prst="rect">
          <a:avLst/>
        </a:prstGeom>
      </xdr:spPr>
    </xdr:pic>
    <xdr:clientData/>
  </xdr:twoCellAnchor>
  <xdr:twoCellAnchor editAs="oneCell">
    <xdr:from>
      <xdr:col>4</xdr:col>
      <xdr:colOff>0</xdr:colOff>
      <xdr:row>25</xdr:row>
      <xdr:rowOff>78525</xdr:rowOff>
    </xdr:from>
    <xdr:to>
      <xdr:col>4</xdr:col>
      <xdr:colOff>409650</xdr:colOff>
      <xdr:row>27</xdr:row>
      <xdr:rowOff>69075</xdr:rowOff>
    </xdr:to>
    <xdr:pic>
      <xdr:nvPicPr>
        <xdr:cNvPr id="3" name="Graphic 2" descr="Hourglass Finished with solid fill">
          <a:extLst>
            <a:ext uri="{FF2B5EF4-FFF2-40B4-BE49-F238E27FC236}">
              <a16:creationId xmlns:a16="http://schemas.microsoft.com/office/drawing/2014/main" id="{4A40CC59-64DE-49DC-B3D2-4822AA988BB7}"/>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269025"/>
          <a:ext cx="409650" cy="409650"/>
        </a:xfrm>
        <a:prstGeom prst="rect">
          <a:avLst/>
        </a:prstGeom>
      </xdr:spPr>
    </xdr:pic>
    <xdr:clientData/>
  </xdr:twoCellAnchor>
  <xdr:twoCellAnchor editAs="oneCell">
    <xdr:from>
      <xdr:col>4</xdr:col>
      <xdr:colOff>0</xdr:colOff>
      <xdr:row>37</xdr:row>
      <xdr:rowOff>161850</xdr:rowOff>
    </xdr:from>
    <xdr:to>
      <xdr:col>4</xdr:col>
      <xdr:colOff>409650</xdr:colOff>
      <xdr:row>39</xdr:row>
      <xdr:rowOff>152400</xdr:rowOff>
    </xdr:to>
    <xdr:pic>
      <xdr:nvPicPr>
        <xdr:cNvPr id="5" name="Graphic 4" descr="Shopping cart with solid fill">
          <a:extLst>
            <a:ext uri="{FF2B5EF4-FFF2-40B4-BE49-F238E27FC236}">
              <a16:creationId xmlns:a16="http://schemas.microsoft.com/office/drawing/2014/main" id="{400E67AE-5277-4F9F-952C-DB478560440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2638350"/>
          <a:ext cx="409650" cy="409650"/>
        </a:xfrm>
        <a:prstGeom prst="rect">
          <a:avLst/>
        </a:prstGeom>
      </xdr:spPr>
    </xdr:pic>
    <xdr:clientData/>
  </xdr:twoCellAnchor>
  <xdr:twoCellAnchor editAs="oneCell">
    <xdr:from>
      <xdr:col>4</xdr:col>
      <xdr:colOff>0</xdr:colOff>
      <xdr:row>28</xdr:row>
      <xdr:rowOff>99356</xdr:rowOff>
    </xdr:from>
    <xdr:to>
      <xdr:col>4</xdr:col>
      <xdr:colOff>409650</xdr:colOff>
      <xdr:row>30</xdr:row>
      <xdr:rowOff>87957</xdr:rowOff>
    </xdr:to>
    <xdr:pic>
      <xdr:nvPicPr>
        <xdr:cNvPr id="6" name="Graphic 5" descr="Call center with solid fill">
          <a:extLst>
            <a:ext uri="{FF2B5EF4-FFF2-40B4-BE49-F238E27FC236}">
              <a16:creationId xmlns:a16="http://schemas.microsoft.com/office/drawing/2014/main" id="{CD0B05F7-404C-4688-ADA2-C2DB218EEDF8}"/>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861356"/>
          <a:ext cx="409650" cy="407701"/>
        </a:xfrm>
        <a:prstGeom prst="rect">
          <a:avLst/>
        </a:prstGeom>
      </xdr:spPr>
    </xdr:pic>
    <xdr:clientData/>
  </xdr:twoCellAnchor>
  <xdr:twoCellAnchor editAs="oneCell">
    <xdr:from>
      <xdr:col>4</xdr:col>
      <xdr:colOff>0</xdr:colOff>
      <xdr:row>34</xdr:row>
      <xdr:rowOff>141018</xdr:rowOff>
    </xdr:from>
    <xdr:to>
      <xdr:col>4</xdr:col>
      <xdr:colOff>409650</xdr:colOff>
      <xdr:row>36</xdr:row>
      <xdr:rowOff>131568</xdr:rowOff>
    </xdr:to>
    <xdr:pic>
      <xdr:nvPicPr>
        <xdr:cNvPr id="7" name="Graphic 6" descr="Receiver with solid fill">
          <a:extLst>
            <a:ext uri="{FF2B5EF4-FFF2-40B4-BE49-F238E27FC236}">
              <a16:creationId xmlns:a16="http://schemas.microsoft.com/office/drawing/2014/main" id="{50CA9195-E3B0-468A-979F-075CC2C11AC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85800" y="2046018"/>
          <a:ext cx="409650" cy="409650"/>
        </a:xfrm>
        <a:prstGeom prst="rect">
          <a:avLst/>
        </a:prstGeom>
      </xdr:spPr>
    </xdr:pic>
    <xdr:clientData/>
  </xdr:twoCellAnchor>
  <xdr:twoCellAnchor editAs="oneCell">
    <xdr:from>
      <xdr:col>4</xdr:col>
      <xdr:colOff>19049</xdr:colOff>
      <xdr:row>40</xdr:row>
      <xdr:rowOff>126149</xdr:rowOff>
    </xdr:from>
    <xdr:to>
      <xdr:col>4</xdr:col>
      <xdr:colOff>430529</xdr:colOff>
      <xdr:row>42</xdr:row>
      <xdr:rowOff>118529</xdr:rowOff>
    </xdr:to>
    <xdr:pic>
      <xdr:nvPicPr>
        <xdr:cNvPr id="8" name="Graphic 7" descr="Rating Star with solid fill">
          <a:extLst>
            <a:ext uri="{FF2B5EF4-FFF2-40B4-BE49-F238E27FC236}">
              <a16:creationId xmlns:a16="http://schemas.microsoft.com/office/drawing/2014/main" id="{D08B9D15-4329-453A-B732-D375711BC8A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rcRect/>
        <a:stretch/>
      </xdr:blipFill>
      <xdr:spPr>
        <a:xfrm>
          <a:off x="704849" y="3174149"/>
          <a:ext cx="411480" cy="411480"/>
        </a:xfrm>
        <a:prstGeom prst="rect">
          <a:avLst/>
        </a:prstGeom>
      </xdr:spPr>
    </xdr:pic>
    <xdr:clientData/>
  </xdr:twoCellAnchor>
  <xdr:twoCellAnchor editAs="oneCell">
    <xdr:from>
      <xdr:col>3</xdr:col>
      <xdr:colOff>2314498</xdr:colOff>
      <xdr:row>45</xdr:row>
      <xdr:rowOff>52283</xdr:rowOff>
    </xdr:from>
    <xdr:to>
      <xdr:col>3</xdr:col>
      <xdr:colOff>2958718</xdr:colOff>
      <xdr:row>47</xdr:row>
      <xdr:rowOff>63187</xdr:rowOff>
    </xdr:to>
    <xdr:pic>
      <xdr:nvPicPr>
        <xdr:cNvPr id="10" name="Picture 9" descr="Smiling woman holding file folder at the office">
          <a:extLst>
            <a:ext uri="{FF2B5EF4-FFF2-40B4-BE49-F238E27FC236}">
              <a16:creationId xmlns:a16="http://schemas.microsoft.com/office/drawing/2014/main" id="{A406265F-341F-0C0D-BEA3-999F074E29E0}"/>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flipH="1">
          <a:off x="3076498" y="10586933"/>
          <a:ext cx="644220" cy="430004"/>
        </a:xfrm>
        <a:prstGeom prst="rect">
          <a:avLst/>
        </a:prstGeom>
      </xdr:spPr>
    </xdr:pic>
    <xdr:clientData/>
  </xdr:twoCellAnchor>
  <xdr:twoCellAnchor editAs="oneCell">
    <xdr:from>
      <xdr:col>3</xdr:col>
      <xdr:colOff>3064571</xdr:colOff>
      <xdr:row>51</xdr:row>
      <xdr:rowOff>52500</xdr:rowOff>
    </xdr:from>
    <xdr:to>
      <xdr:col>3</xdr:col>
      <xdr:colOff>3708792</xdr:colOff>
      <xdr:row>53</xdr:row>
      <xdr:rowOff>62776</xdr:rowOff>
    </xdr:to>
    <xdr:pic>
      <xdr:nvPicPr>
        <xdr:cNvPr id="12" name="Picture 11" descr="Schoolboy with laptop in robotics class">
          <a:extLst>
            <a:ext uri="{FF2B5EF4-FFF2-40B4-BE49-F238E27FC236}">
              <a16:creationId xmlns:a16="http://schemas.microsoft.com/office/drawing/2014/main" id="{A2414798-0DC2-49EB-F916-C1A6FDD89776}"/>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flipH="1">
          <a:off x="3826571" y="11730150"/>
          <a:ext cx="644221" cy="429376"/>
        </a:xfrm>
        <a:prstGeom prst="rect">
          <a:avLst/>
        </a:prstGeom>
      </xdr:spPr>
    </xdr:pic>
    <xdr:clientData/>
  </xdr:twoCellAnchor>
  <xdr:twoCellAnchor editAs="oneCell">
    <xdr:from>
      <xdr:col>3</xdr:col>
      <xdr:colOff>1042873</xdr:colOff>
      <xdr:row>55</xdr:row>
      <xdr:rowOff>34548</xdr:rowOff>
    </xdr:from>
    <xdr:to>
      <xdr:col>3</xdr:col>
      <xdr:colOff>1687093</xdr:colOff>
      <xdr:row>57</xdr:row>
      <xdr:rowOff>45142</xdr:rowOff>
    </xdr:to>
    <xdr:pic>
      <xdr:nvPicPr>
        <xdr:cNvPr id="14" name="Picture 13" descr="Woman wearing a face mask">
          <a:extLst>
            <a:ext uri="{FF2B5EF4-FFF2-40B4-BE49-F238E27FC236}">
              <a16:creationId xmlns:a16="http://schemas.microsoft.com/office/drawing/2014/main" id="{762D4C5F-EE89-D41E-9077-665E6E06C077}"/>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flipH="1">
          <a:off x="1804873" y="12474198"/>
          <a:ext cx="644220" cy="429694"/>
        </a:xfrm>
        <a:prstGeom prst="rect">
          <a:avLst/>
        </a:prstGeom>
      </xdr:spPr>
    </xdr:pic>
    <xdr:clientData/>
  </xdr:twoCellAnchor>
  <xdr:twoCellAnchor editAs="oneCell">
    <xdr:from>
      <xdr:col>3</xdr:col>
      <xdr:colOff>3993223</xdr:colOff>
      <xdr:row>53</xdr:row>
      <xdr:rowOff>163153</xdr:rowOff>
    </xdr:from>
    <xdr:to>
      <xdr:col>3</xdr:col>
      <xdr:colOff>4637443</xdr:colOff>
      <xdr:row>55</xdr:row>
      <xdr:rowOff>173533</xdr:rowOff>
    </xdr:to>
    <xdr:pic>
      <xdr:nvPicPr>
        <xdr:cNvPr id="16" name="Picture 15" descr="Woman on the street">
          <a:extLst>
            <a:ext uri="{FF2B5EF4-FFF2-40B4-BE49-F238E27FC236}">
              <a16:creationId xmlns:a16="http://schemas.microsoft.com/office/drawing/2014/main" id="{53C8B0A6-B065-F4CA-5DB2-6D017F776F14}"/>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flipH="1">
          <a:off x="4755223" y="12221803"/>
          <a:ext cx="644220" cy="429480"/>
        </a:xfrm>
        <a:prstGeom prst="rect">
          <a:avLst/>
        </a:prstGeom>
      </xdr:spPr>
    </xdr:pic>
    <xdr:clientData/>
  </xdr:twoCellAnchor>
  <xdr:twoCellAnchor editAs="oneCell">
    <xdr:from>
      <xdr:col>3</xdr:col>
      <xdr:colOff>3533623</xdr:colOff>
      <xdr:row>44</xdr:row>
      <xdr:rowOff>65503</xdr:rowOff>
    </xdr:from>
    <xdr:to>
      <xdr:col>3</xdr:col>
      <xdr:colOff>4177843</xdr:colOff>
      <xdr:row>46</xdr:row>
      <xdr:rowOff>75883</xdr:rowOff>
    </xdr:to>
    <xdr:pic>
      <xdr:nvPicPr>
        <xdr:cNvPr id="18" name="Picture 17" descr="Person reading a book">
          <a:extLst>
            <a:ext uri="{FF2B5EF4-FFF2-40B4-BE49-F238E27FC236}">
              <a16:creationId xmlns:a16="http://schemas.microsoft.com/office/drawing/2014/main" id="{2A832CE9-15CF-4107-5D13-33B2CC9B120C}"/>
            </a:ext>
          </a:extLst>
        </xdr:cNvPr>
        <xdr:cNvPicPr>
          <a:picLocks noChangeAspect="1"/>
        </xdr:cNvPicPr>
      </xdr:nvPicPr>
      <xdr:blipFill>
        <a:blip xmlns:r="http://schemas.openxmlformats.org/officeDocument/2006/relationships" r:embed="rId19" cstate="print">
          <a:extLst>
            <a:ext uri="{28A0092B-C50C-407E-A947-70E740481C1C}">
              <a14:useLocalDpi xmlns:a14="http://schemas.microsoft.com/office/drawing/2010/main" val="0"/>
            </a:ext>
          </a:extLst>
        </a:blip>
        <a:stretch>
          <a:fillRect/>
        </a:stretch>
      </xdr:blipFill>
      <xdr:spPr>
        <a:xfrm flipH="1">
          <a:off x="4295623" y="10409653"/>
          <a:ext cx="644220" cy="429480"/>
        </a:xfrm>
        <a:prstGeom prst="rect">
          <a:avLst/>
        </a:prstGeom>
      </xdr:spPr>
    </xdr:pic>
    <xdr:clientData/>
  </xdr:twoCellAnchor>
  <xdr:twoCellAnchor editAs="oneCell">
    <xdr:from>
      <xdr:col>3</xdr:col>
      <xdr:colOff>4750420</xdr:colOff>
      <xdr:row>47</xdr:row>
      <xdr:rowOff>86842</xdr:rowOff>
    </xdr:from>
    <xdr:to>
      <xdr:col>3</xdr:col>
      <xdr:colOff>5394641</xdr:colOff>
      <xdr:row>49</xdr:row>
      <xdr:rowOff>97650</xdr:rowOff>
    </xdr:to>
    <xdr:pic>
      <xdr:nvPicPr>
        <xdr:cNvPr id="20" name="Picture 19" descr="Doctor with stethoscope">
          <a:extLst>
            <a:ext uri="{FF2B5EF4-FFF2-40B4-BE49-F238E27FC236}">
              <a16:creationId xmlns:a16="http://schemas.microsoft.com/office/drawing/2014/main" id="{E49A4488-FAAC-FA0D-FE72-065871B04A19}"/>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flipH="1">
          <a:off x="5512420" y="11002492"/>
          <a:ext cx="644221" cy="429908"/>
        </a:xfrm>
        <a:prstGeom prst="rect">
          <a:avLst/>
        </a:prstGeom>
      </xdr:spPr>
    </xdr:pic>
    <xdr:clientData/>
  </xdr:twoCellAnchor>
  <xdr:twoCellAnchor editAs="oneCell">
    <xdr:from>
      <xdr:col>3</xdr:col>
      <xdr:colOff>5357620</xdr:colOff>
      <xdr:row>54</xdr:row>
      <xdr:rowOff>55867</xdr:rowOff>
    </xdr:from>
    <xdr:to>
      <xdr:col>4</xdr:col>
      <xdr:colOff>582116</xdr:colOff>
      <xdr:row>56</xdr:row>
      <xdr:rowOff>66675</xdr:rowOff>
    </xdr:to>
    <xdr:pic>
      <xdr:nvPicPr>
        <xdr:cNvPr id="22" name="Picture 21" descr="Doctor in office">
          <a:extLst>
            <a:ext uri="{FF2B5EF4-FFF2-40B4-BE49-F238E27FC236}">
              <a16:creationId xmlns:a16="http://schemas.microsoft.com/office/drawing/2014/main" id="{90DAC68C-B448-D090-6BE6-B013374B8FF2}"/>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flipH="1">
          <a:off x="6119620" y="12305017"/>
          <a:ext cx="644221" cy="429908"/>
        </a:xfrm>
        <a:prstGeom prst="rect">
          <a:avLst/>
        </a:prstGeom>
      </xdr:spPr>
    </xdr:pic>
    <xdr:clientData/>
  </xdr:twoCellAnchor>
  <xdr:twoCellAnchor editAs="oneCell">
    <xdr:from>
      <xdr:col>4</xdr:col>
      <xdr:colOff>1211846</xdr:colOff>
      <xdr:row>48</xdr:row>
      <xdr:rowOff>38100</xdr:rowOff>
    </xdr:from>
    <xdr:to>
      <xdr:col>4</xdr:col>
      <xdr:colOff>1856067</xdr:colOff>
      <xdr:row>50</xdr:row>
      <xdr:rowOff>48376</xdr:rowOff>
    </xdr:to>
    <xdr:pic>
      <xdr:nvPicPr>
        <xdr:cNvPr id="24" name="Picture 23" descr="Smiling businesswoman with digital tablet looking out office window">
          <a:extLst>
            <a:ext uri="{FF2B5EF4-FFF2-40B4-BE49-F238E27FC236}">
              <a16:creationId xmlns:a16="http://schemas.microsoft.com/office/drawing/2014/main" id="{2DCE5E0A-25D6-0544-C775-7104582F2718}"/>
            </a:ext>
          </a:extLst>
        </xdr:cNvPr>
        <xdr:cNvPicPr>
          <a:picLocks noChangeAspect="1"/>
        </xdr:cNvPicPr>
      </xdr:nvPicPr>
      <xdr:blipFill>
        <a:blip xmlns:r="http://schemas.openxmlformats.org/officeDocument/2006/relationships" r:embed="rId22" cstate="print">
          <a:extLst>
            <a:ext uri="{28A0092B-C50C-407E-A947-70E740481C1C}">
              <a14:useLocalDpi xmlns:a14="http://schemas.microsoft.com/office/drawing/2010/main" val="0"/>
            </a:ext>
          </a:extLst>
        </a:blip>
        <a:stretch>
          <a:fillRect/>
        </a:stretch>
      </xdr:blipFill>
      <xdr:spPr>
        <a:xfrm flipH="1">
          <a:off x="7393571" y="11144250"/>
          <a:ext cx="644221" cy="42937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9</xdr:row>
      <xdr:rowOff>0</xdr:rowOff>
    </xdr:from>
    <xdr:to>
      <xdr:col>3</xdr:col>
      <xdr:colOff>192913</xdr:colOff>
      <xdr:row>14</xdr:row>
      <xdr:rowOff>12055</xdr:rowOff>
    </xdr:to>
    <xdr:sp macro="" textlink="'All Calculation'!B2">
      <xdr:nvSpPr>
        <xdr:cNvPr id="19" name="Rectangle 18">
          <a:extLst>
            <a:ext uri="{FF2B5EF4-FFF2-40B4-BE49-F238E27FC236}">
              <a16:creationId xmlns:a16="http://schemas.microsoft.com/office/drawing/2014/main" id="{364734BB-0710-42EB-A6F6-6422BFCD9368}"/>
            </a:ext>
          </a:extLst>
        </xdr:cNvPr>
        <xdr:cNvSpPr/>
      </xdr:nvSpPr>
      <xdr:spPr>
        <a:xfrm>
          <a:off x="688554" y="1859096"/>
          <a:ext cx="1570022" cy="1044887"/>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F2749C9-48A8-4E25-9213-8189A9BB5E76}" type="TxLink">
            <a:rPr lang="en-US" sz="2800" b="0" i="0" u="none" strike="noStrike">
              <a:solidFill>
                <a:schemeClr val="bg1"/>
              </a:solidFill>
              <a:latin typeface="Bodoni MT Black" panose="02070A03080606020203" pitchFamily="18" charset="0"/>
            </a:rPr>
            <a:pPr algn="ctr"/>
            <a:t>1,000</a:t>
          </a:fld>
          <a:endParaRPr lang="en-IN" sz="2800">
            <a:solidFill>
              <a:schemeClr val="bg1"/>
            </a:solidFill>
            <a:latin typeface="Bodoni MT Black" panose="02070A03080606020203" pitchFamily="18" charset="0"/>
          </a:endParaRPr>
        </a:p>
      </xdr:txBody>
    </xdr:sp>
    <xdr:clientData/>
  </xdr:twoCellAnchor>
  <xdr:twoCellAnchor>
    <xdr:from>
      <xdr:col>1</xdr:col>
      <xdr:colOff>84400</xdr:colOff>
      <xdr:row>9</xdr:row>
      <xdr:rowOff>72342</xdr:rowOff>
    </xdr:from>
    <xdr:to>
      <xdr:col>3</xdr:col>
      <xdr:colOff>96457</xdr:colOff>
      <xdr:row>10</xdr:row>
      <xdr:rowOff>84398</xdr:rowOff>
    </xdr:to>
    <xdr:sp macro="" textlink="">
      <xdr:nvSpPr>
        <xdr:cNvPr id="20" name="TextBox 19">
          <a:extLst>
            <a:ext uri="{FF2B5EF4-FFF2-40B4-BE49-F238E27FC236}">
              <a16:creationId xmlns:a16="http://schemas.microsoft.com/office/drawing/2014/main" id="{BDFE59A2-7783-4604-948D-095A2C7BCC53}"/>
            </a:ext>
          </a:extLst>
        </xdr:cNvPr>
        <xdr:cNvSpPr txBox="1"/>
      </xdr:nvSpPr>
      <xdr:spPr>
        <a:xfrm>
          <a:off x="772954" y="1931438"/>
          <a:ext cx="1389166" cy="218623"/>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Calls</a:t>
          </a:r>
        </a:p>
      </xdr:txBody>
    </xdr:sp>
    <xdr:clientData/>
  </xdr:twoCellAnchor>
  <xdr:twoCellAnchor editAs="oneCell">
    <xdr:from>
      <xdr:col>1</xdr:col>
      <xdr:colOff>89989</xdr:colOff>
      <xdr:row>9</xdr:row>
      <xdr:rowOff>59928</xdr:rowOff>
    </xdr:from>
    <xdr:to>
      <xdr:col>1</xdr:col>
      <xdr:colOff>374946</xdr:colOff>
      <xdr:row>10</xdr:row>
      <xdr:rowOff>140487</xdr:rowOff>
    </xdr:to>
    <xdr:pic>
      <xdr:nvPicPr>
        <xdr:cNvPr id="21" name="Graphic 20" descr="Receiver with solid fill">
          <a:extLst>
            <a:ext uri="{FF2B5EF4-FFF2-40B4-BE49-F238E27FC236}">
              <a16:creationId xmlns:a16="http://schemas.microsoft.com/office/drawing/2014/main" id="{3BB5A43E-EEAF-4ADF-9EF8-41B49AB7E4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1596896">
          <a:off x="778543" y="1919024"/>
          <a:ext cx="284957" cy="287126"/>
        </a:xfrm>
        <a:prstGeom prst="rect">
          <a:avLst/>
        </a:prstGeom>
      </xdr:spPr>
    </xdr:pic>
    <xdr:clientData/>
  </xdr:twoCellAnchor>
  <xdr:twoCellAnchor>
    <xdr:from>
      <xdr:col>1</xdr:col>
      <xdr:colOff>360769</xdr:colOff>
      <xdr:row>12</xdr:row>
      <xdr:rowOff>125930</xdr:rowOff>
    </xdr:from>
    <xdr:to>
      <xdr:col>2</xdr:col>
      <xdr:colOff>569855</xdr:colOff>
      <xdr:row>13</xdr:row>
      <xdr:rowOff>111992</xdr:rowOff>
    </xdr:to>
    <xdr:sp macro="" textlink="'All Calculation'!B8">
      <xdr:nvSpPr>
        <xdr:cNvPr id="22" name="TextBox 21">
          <a:extLst>
            <a:ext uri="{FF2B5EF4-FFF2-40B4-BE49-F238E27FC236}">
              <a16:creationId xmlns:a16="http://schemas.microsoft.com/office/drawing/2014/main" id="{856E1570-FA3C-4F03-935C-D3514E4E3C0A}"/>
            </a:ext>
          </a:extLst>
        </xdr:cNvPr>
        <xdr:cNvSpPr txBox="1"/>
      </xdr:nvSpPr>
      <xdr:spPr>
        <a:xfrm>
          <a:off x="1049323" y="2604725"/>
          <a:ext cx="897640" cy="19262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56C252-4A54-4F6C-985B-1A8993880775}" type="TxLink">
            <a:rPr lang="en-US" sz="1100" b="0" i="0" u="none" strike="noStrike">
              <a:solidFill>
                <a:schemeClr val="bg1"/>
              </a:solidFill>
              <a:latin typeface="Palatino Linotype"/>
            </a:rPr>
            <a:pPr algn="ctr"/>
            <a:t>218</a:t>
          </a:fld>
          <a:endParaRPr lang="en-IN" sz="1100">
            <a:solidFill>
              <a:schemeClr val="bg1"/>
            </a:solidFill>
          </a:endParaRPr>
        </a:p>
      </xdr:txBody>
    </xdr:sp>
    <xdr:clientData/>
  </xdr:twoCellAnchor>
  <xdr:twoCellAnchor>
    <xdr:from>
      <xdr:col>1</xdr:col>
      <xdr:colOff>0</xdr:colOff>
      <xdr:row>17</xdr:row>
      <xdr:rowOff>0</xdr:rowOff>
    </xdr:from>
    <xdr:to>
      <xdr:col>3</xdr:col>
      <xdr:colOff>192913</xdr:colOff>
      <xdr:row>22</xdr:row>
      <xdr:rowOff>12055</xdr:rowOff>
    </xdr:to>
    <xdr:sp macro="" textlink="'All Calculation'!A2">
      <xdr:nvSpPr>
        <xdr:cNvPr id="23" name="Rectangle 22">
          <a:extLst>
            <a:ext uri="{FF2B5EF4-FFF2-40B4-BE49-F238E27FC236}">
              <a16:creationId xmlns:a16="http://schemas.microsoft.com/office/drawing/2014/main" id="{7C5CBDDD-657D-49EF-8656-032C92775A52}"/>
            </a:ext>
          </a:extLst>
        </xdr:cNvPr>
        <xdr:cNvSpPr/>
      </xdr:nvSpPr>
      <xdr:spPr>
        <a:xfrm>
          <a:off x="688554" y="3305060"/>
          <a:ext cx="1570022" cy="1044887"/>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0E5EB98-0284-421C-9E5C-7EDBCEC28482}" type="TxLink">
            <a:rPr lang="en-US" sz="2400" b="0" i="0" u="none" strike="noStrike">
              <a:solidFill>
                <a:schemeClr val="bg1"/>
              </a:solidFill>
              <a:latin typeface="Bodoni MT Black" panose="02070A03080606020203" pitchFamily="18" charset="0"/>
              <a:ea typeface="+mn-ea"/>
              <a:cs typeface="+mn-cs"/>
            </a:rPr>
            <a:pPr marL="0" indent="0" algn="ctr"/>
            <a:t>₹ 96,623</a:t>
          </a:fld>
          <a:endParaRPr lang="en-IN" sz="2400" b="0" i="0" u="none" strike="noStrike">
            <a:solidFill>
              <a:schemeClr val="bg1"/>
            </a:solidFill>
            <a:latin typeface="Bodoni MT Black" panose="02070A03080606020203" pitchFamily="18" charset="0"/>
            <a:ea typeface="+mn-ea"/>
            <a:cs typeface="+mn-cs"/>
          </a:endParaRPr>
        </a:p>
      </xdr:txBody>
    </xdr:sp>
    <xdr:clientData/>
  </xdr:twoCellAnchor>
  <xdr:twoCellAnchor>
    <xdr:from>
      <xdr:col>1</xdr:col>
      <xdr:colOff>84400</xdr:colOff>
      <xdr:row>17</xdr:row>
      <xdr:rowOff>72342</xdr:rowOff>
    </xdr:from>
    <xdr:to>
      <xdr:col>3</xdr:col>
      <xdr:colOff>96457</xdr:colOff>
      <xdr:row>18</xdr:row>
      <xdr:rowOff>84398</xdr:rowOff>
    </xdr:to>
    <xdr:sp macro="" textlink="">
      <xdr:nvSpPr>
        <xdr:cNvPr id="24" name="TextBox 23">
          <a:extLst>
            <a:ext uri="{FF2B5EF4-FFF2-40B4-BE49-F238E27FC236}">
              <a16:creationId xmlns:a16="http://schemas.microsoft.com/office/drawing/2014/main" id="{91541677-F17A-4B2E-958F-871EF2F9FD40}"/>
            </a:ext>
          </a:extLst>
        </xdr:cNvPr>
        <xdr:cNvSpPr txBox="1"/>
      </xdr:nvSpPr>
      <xdr:spPr>
        <a:xfrm>
          <a:off x="772954" y="3377402"/>
          <a:ext cx="1389166" cy="218623"/>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Amount</a:t>
          </a:r>
        </a:p>
      </xdr:txBody>
    </xdr:sp>
    <xdr:clientData/>
  </xdr:twoCellAnchor>
  <xdr:twoCellAnchor editAs="oneCell">
    <xdr:from>
      <xdr:col>1</xdr:col>
      <xdr:colOff>89989</xdr:colOff>
      <xdr:row>17</xdr:row>
      <xdr:rowOff>63289</xdr:rowOff>
    </xdr:from>
    <xdr:to>
      <xdr:col>1</xdr:col>
      <xdr:colOff>374946</xdr:colOff>
      <xdr:row>18</xdr:row>
      <xdr:rowOff>137124</xdr:rowOff>
    </xdr:to>
    <xdr:pic>
      <xdr:nvPicPr>
        <xdr:cNvPr id="25" name="Graphic 24">
          <a:extLst>
            <a:ext uri="{FF2B5EF4-FFF2-40B4-BE49-F238E27FC236}">
              <a16:creationId xmlns:a16="http://schemas.microsoft.com/office/drawing/2014/main" id="{11A3075B-0AA7-40CC-AFC7-350FF60A543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776475" y="3404190"/>
          <a:ext cx="284957" cy="282642"/>
        </a:xfrm>
        <a:prstGeom prst="rect">
          <a:avLst/>
        </a:prstGeom>
      </xdr:spPr>
    </xdr:pic>
    <xdr:clientData/>
  </xdr:twoCellAnchor>
  <xdr:twoCellAnchor>
    <xdr:from>
      <xdr:col>1</xdr:col>
      <xdr:colOff>360769</xdr:colOff>
      <xdr:row>20</xdr:row>
      <xdr:rowOff>125930</xdr:rowOff>
    </xdr:from>
    <xdr:to>
      <xdr:col>2</xdr:col>
      <xdr:colOff>569855</xdr:colOff>
      <xdr:row>21</xdr:row>
      <xdr:rowOff>111992</xdr:rowOff>
    </xdr:to>
    <xdr:sp macro="" textlink="'All Calculation'!A8">
      <xdr:nvSpPr>
        <xdr:cNvPr id="26" name="TextBox 25">
          <a:extLst>
            <a:ext uri="{FF2B5EF4-FFF2-40B4-BE49-F238E27FC236}">
              <a16:creationId xmlns:a16="http://schemas.microsoft.com/office/drawing/2014/main" id="{BBB8BBF1-018F-424D-B6F6-61AE2E8EA9DD}"/>
            </a:ext>
          </a:extLst>
        </xdr:cNvPr>
        <xdr:cNvSpPr txBox="1"/>
      </xdr:nvSpPr>
      <xdr:spPr>
        <a:xfrm>
          <a:off x="1049323" y="4050689"/>
          <a:ext cx="897640" cy="19262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100E59-99A3-4EBD-9C01-7628A787D670}" type="TxLink">
            <a:rPr lang="en-US" sz="1100" b="0" i="0" u="none" strike="noStrike">
              <a:solidFill>
                <a:schemeClr val="bg1"/>
              </a:solidFill>
              <a:latin typeface="Palatino Linotype"/>
            </a:rPr>
            <a:pPr algn="ctr"/>
            <a:t>₹ 20,581</a:t>
          </a:fld>
          <a:endParaRPr lang="en-IN" sz="1100">
            <a:solidFill>
              <a:schemeClr val="bg1"/>
            </a:solidFill>
          </a:endParaRPr>
        </a:p>
      </xdr:txBody>
    </xdr:sp>
    <xdr:clientData/>
  </xdr:twoCellAnchor>
  <xdr:twoCellAnchor>
    <xdr:from>
      <xdr:col>1</xdr:col>
      <xdr:colOff>0</xdr:colOff>
      <xdr:row>25</xdr:row>
      <xdr:rowOff>0</xdr:rowOff>
    </xdr:from>
    <xdr:to>
      <xdr:col>3</xdr:col>
      <xdr:colOff>192913</xdr:colOff>
      <xdr:row>30</xdr:row>
      <xdr:rowOff>12055</xdr:rowOff>
    </xdr:to>
    <xdr:sp macro="" textlink="'All Calculation'!C2">
      <xdr:nvSpPr>
        <xdr:cNvPr id="27" name="Rectangle 26">
          <a:extLst>
            <a:ext uri="{FF2B5EF4-FFF2-40B4-BE49-F238E27FC236}">
              <a16:creationId xmlns:a16="http://schemas.microsoft.com/office/drawing/2014/main" id="{92E5D0AD-F3E6-4224-B1E1-5487215AA9F3}"/>
            </a:ext>
          </a:extLst>
        </xdr:cNvPr>
        <xdr:cNvSpPr/>
      </xdr:nvSpPr>
      <xdr:spPr>
        <a:xfrm>
          <a:off x="688554" y="4957590"/>
          <a:ext cx="1570022" cy="1044887"/>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ADC5A16F-BD43-473D-9606-9351853AE390}" type="TxLink">
            <a:rPr lang="en-US" sz="2800" b="0" i="0" u="none" strike="noStrike">
              <a:solidFill>
                <a:schemeClr val="bg1"/>
              </a:solidFill>
              <a:latin typeface="Bodoni MT Black" panose="02070A03080606020203" pitchFamily="18" charset="0"/>
              <a:ea typeface="+mn-ea"/>
              <a:cs typeface="+mn-cs"/>
            </a:rPr>
            <a:pPr marL="0" indent="0" algn="ctr"/>
            <a:t>89,850</a:t>
          </a:fld>
          <a:endParaRPr lang="en-IN" sz="2800" b="0" i="0" u="none" strike="noStrike">
            <a:solidFill>
              <a:schemeClr val="bg1"/>
            </a:solidFill>
            <a:latin typeface="Bodoni MT Black" panose="02070A03080606020203" pitchFamily="18" charset="0"/>
            <a:ea typeface="+mn-ea"/>
            <a:cs typeface="+mn-cs"/>
          </a:endParaRPr>
        </a:p>
      </xdr:txBody>
    </xdr:sp>
    <xdr:clientData/>
  </xdr:twoCellAnchor>
  <xdr:twoCellAnchor>
    <xdr:from>
      <xdr:col>1</xdr:col>
      <xdr:colOff>84400</xdr:colOff>
      <xdr:row>25</xdr:row>
      <xdr:rowOff>72342</xdr:rowOff>
    </xdr:from>
    <xdr:to>
      <xdr:col>3</xdr:col>
      <xdr:colOff>96457</xdr:colOff>
      <xdr:row>26</xdr:row>
      <xdr:rowOff>84398</xdr:rowOff>
    </xdr:to>
    <xdr:sp macro="" textlink="">
      <xdr:nvSpPr>
        <xdr:cNvPr id="28" name="TextBox 27">
          <a:extLst>
            <a:ext uri="{FF2B5EF4-FFF2-40B4-BE49-F238E27FC236}">
              <a16:creationId xmlns:a16="http://schemas.microsoft.com/office/drawing/2014/main" id="{30353D37-1FE8-462F-914F-3E254F3B4AE6}"/>
            </a:ext>
          </a:extLst>
        </xdr:cNvPr>
        <xdr:cNvSpPr txBox="1"/>
      </xdr:nvSpPr>
      <xdr:spPr>
        <a:xfrm>
          <a:off x="772954" y="5029932"/>
          <a:ext cx="1389166" cy="218623"/>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Duration</a:t>
          </a:r>
        </a:p>
      </xdr:txBody>
    </xdr:sp>
    <xdr:clientData/>
  </xdr:twoCellAnchor>
  <xdr:twoCellAnchor editAs="oneCell">
    <xdr:from>
      <xdr:col>1</xdr:col>
      <xdr:colOff>89989</xdr:colOff>
      <xdr:row>25</xdr:row>
      <xdr:rowOff>63289</xdr:rowOff>
    </xdr:from>
    <xdr:to>
      <xdr:col>1</xdr:col>
      <xdr:colOff>374946</xdr:colOff>
      <xdr:row>26</xdr:row>
      <xdr:rowOff>137126</xdr:rowOff>
    </xdr:to>
    <xdr:pic>
      <xdr:nvPicPr>
        <xdr:cNvPr id="29" name="Graphic 28">
          <a:extLst>
            <a:ext uri="{FF2B5EF4-FFF2-40B4-BE49-F238E27FC236}">
              <a16:creationId xmlns:a16="http://schemas.microsoft.com/office/drawing/2014/main" id="{7ECB6184-2A84-465E-A6D8-E0F6BB33AAB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777360" y="5130196"/>
          <a:ext cx="284957" cy="284957"/>
        </a:xfrm>
        <a:prstGeom prst="rect">
          <a:avLst/>
        </a:prstGeom>
      </xdr:spPr>
    </xdr:pic>
    <xdr:clientData/>
  </xdr:twoCellAnchor>
  <xdr:twoCellAnchor>
    <xdr:from>
      <xdr:col>1</xdr:col>
      <xdr:colOff>360769</xdr:colOff>
      <xdr:row>28</xdr:row>
      <xdr:rowOff>125930</xdr:rowOff>
    </xdr:from>
    <xdr:to>
      <xdr:col>2</xdr:col>
      <xdr:colOff>569855</xdr:colOff>
      <xdr:row>29</xdr:row>
      <xdr:rowOff>111992</xdr:rowOff>
    </xdr:to>
    <xdr:sp macro="" textlink="'All Calculation'!C8">
      <xdr:nvSpPr>
        <xdr:cNvPr id="30" name="TextBox 29">
          <a:extLst>
            <a:ext uri="{FF2B5EF4-FFF2-40B4-BE49-F238E27FC236}">
              <a16:creationId xmlns:a16="http://schemas.microsoft.com/office/drawing/2014/main" id="{269AE876-C8BE-4AF3-A2FD-EA9DCD160648}"/>
            </a:ext>
          </a:extLst>
        </xdr:cNvPr>
        <xdr:cNvSpPr txBox="1"/>
      </xdr:nvSpPr>
      <xdr:spPr>
        <a:xfrm>
          <a:off x="1049323" y="5703219"/>
          <a:ext cx="897640" cy="19262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9133B9-DB3E-4417-A785-8F5AF86A6F41}" type="TxLink">
            <a:rPr lang="en-US" sz="1100" b="0" i="0" u="none" strike="noStrike">
              <a:solidFill>
                <a:schemeClr val="bg1"/>
              </a:solidFill>
              <a:latin typeface="Palatino Linotype"/>
            </a:rPr>
            <a:pPr algn="ctr"/>
            <a:t>19,300</a:t>
          </a:fld>
          <a:endParaRPr lang="en-IN" sz="1100">
            <a:solidFill>
              <a:schemeClr val="bg1"/>
            </a:solidFill>
          </a:endParaRPr>
        </a:p>
      </xdr:txBody>
    </xdr:sp>
    <xdr:clientData/>
  </xdr:twoCellAnchor>
  <xdr:twoCellAnchor>
    <xdr:from>
      <xdr:col>1</xdr:col>
      <xdr:colOff>0</xdr:colOff>
      <xdr:row>33</xdr:row>
      <xdr:rowOff>0</xdr:rowOff>
    </xdr:from>
    <xdr:to>
      <xdr:col>3</xdr:col>
      <xdr:colOff>192913</xdr:colOff>
      <xdr:row>38</xdr:row>
      <xdr:rowOff>12055</xdr:rowOff>
    </xdr:to>
    <xdr:sp macro="" textlink="'All Calculation'!D2">
      <xdr:nvSpPr>
        <xdr:cNvPr id="31" name="Rectangle 30">
          <a:extLst>
            <a:ext uri="{FF2B5EF4-FFF2-40B4-BE49-F238E27FC236}">
              <a16:creationId xmlns:a16="http://schemas.microsoft.com/office/drawing/2014/main" id="{6E614984-6CC7-4ADC-863F-10F39D138290}"/>
            </a:ext>
          </a:extLst>
        </xdr:cNvPr>
        <xdr:cNvSpPr/>
      </xdr:nvSpPr>
      <xdr:spPr>
        <a:xfrm>
          <a:off x="688554" y="6403554"/>
          <a:ext cx="1570022" cy="1044887"/>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4A6A0B3-2308-4300-8C2E-A268A163B306}" type="TxLink">
            <a:rPr lang="en-US" sz="2800" b="0" i="0" u="none" strike="noStrike">
              <a:solidFill>
                <a:schemeClr val="bg1"/>
              </a:solidFill>
              <a:latin typeface="Bodoni MT Black" panose="02070A03080606020203" pitchFamily="18" charset="0"/>
              <a:ea typeface="+mn-ea"/>
              <a:cs typeface="+mn-cs"/>
            </a:rPr>
            <a:pPr marL="0" indent="0" algn="ctr"/>
            <a:t>3.89</a:t>
          </a:fld>
          <a:endParaRPr lang="en-IN" sz="2800" b="0" i="0" u="none" strike="noStrike">
            <a:solidFill>
              <a:schemeClr val="bg1"/>
            </a:solidFill>
            <a:latin typeface="Bodoni MT Black" panose="02070A03080606020203" pitchFamily="18" charset="0"/>
            <a:ea typeface="+mn-ea"/>
            <a:cs typeface="+mn-cs"/>
          </a:endParaRPr>
        </a:p>
      </xdr:txBody>
    </xdr:sp>
    <xdr:clientData/>
  </xdr:twoCellAnchor>
  <xdr:twoCellAnchor>
    <xdr:from>
      <xdr:col>1</xdr:col>
      <xdr:colOff>84400</xdr:colOff>
      <xdr:row>33</xdr:row>
      <xdr:rowOff>72342</xdr:rowOff>
    </xdr:from>
    <xdr:to>
      <xdr:col>3</xdr:col>
      <xdr:colOff>96457</xdr:colOff>
      <xdr:row>34</xdr:row>
      <xdr:rowOff>84399</xdr:rowOff>
    </xdr:to>
    <xdr:sp macro="" textlink="">
      <xdr:nvSpPr>
        <xdr:cNvPr id="32" name="TextBox 31">
          <a:extLst>
            <a:ext uri="{FF2B5EF4-FFF2-40B4-BE49-F238E27FC236}">
              <a16:creationId xmlns:a16="http://schemas.microsoft.com/office/drawing/2014/main" id="{E1F82E33-CCB1-43CD-8006-E66D133C5B69}"/>
            </a:ext>
          </a:extLst>
        </xdr:cNvPr>
        <xdr:cNvSpPr txBox="1"/>
      </xdr:nvSpPr>
      <xdr:spPr>
        <a:xfrm>
          <a:off x="772954" y="6475896"/>
          <a:ext cx="1389166" cy="218623"/>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Avg.Rating</a:t>
          </a:r>
        </a:p>
      </xdr:txBody>
    </xdr:sp>
    <xdr:clientData/>
  </xdr:twoCellAnchor>
  <xdr:twoCellAnchor editAs="oneCell">
    <xdr:from>
      <xdr:col>1</xdr:col>
      <xdr:colOff>89989</xdr:colOff>
      <xdr:row>33</xdr:row>
      <xdr:rowOff>63290</xdr:rowOff>
    </xdr:from>
    <xdr:to>
      <xdr:col>1</xdr:col>
      <xdr:colOff>374946</xdr:colOff>
      <xdr:row>34</xdr:row>
      <xdr:rowOff>137125</xdr:rowOff>
    </xdr:to>
    <xdr:pic>
      <xdr:nvPicPr>
        <xdr:cNvPr id="33" name="Graphic 32">
          <a:extLst>
            <a:ext uri="{FF2B5EF4-FFF2-40B4-BE49-F238E27FC236}">
              <a16:creationId xmlns:a16="http://schemas.microsoft.com/office/drawing/2014/main" id="{5643AFE0-5625-4993-8266-3E5A26559B0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777360" y="6608045"/>
          <a:ext cx="284957" cy="284957"/>
        </a:xfrm>
        <a:prstGeom prst="rect">
          <a:avLst/>
        </a:prstGeom>
      </xdr:spPr>
    </xdr:pic>
    <xdr:clientData/>
  </xdr:twoCellAnchor>
  <xdr:twoCellAnchor>
    <xdr:from>
      <xdr:col>1</xdr:col>
      <xdr:colOff>360769</xdr:colOff>
      <xdr:row>36</xdr:row>
      <xdr:rowOff>125930</xdr:rowOff>
    </xdr:from>
    <xdr:to>
      <xdr:col>2</xdr:col>
      <xdr:colOff>569855</xdr:colOff>
      <xdr:row>37</xdr:row>
      <xdr:rowOff>111992</xdr:rowOff>
    </xdr:to>
    <xdr:sp macro="" textlink="'All Calculation'!D8">
      <xdr:nvSpPr>
        <xdr:cNvPr id="34" name="TextBox 33">
          <a:extLst>
            <a:ext uri="{FF2B5EF4-FFF2-40B4-BE49-F238E27FC236}">
              <a16:creationId xmlns:a16="http://schemas.microsoft.com/office/drawing/2014/main" id="{66D130EF-5FF9-4C38-A0BD-F2F7F9C7C835}"/>
            </a:ext>
          </a:extLst>
        </xdr:cNvPr>
        <xdr:cNvSpPr txBox="1"/>
      </xdr:nvSpPr>
      <xdr:spPr>
        <a:xfrm>
          <a:off x="1049323" y="7149183"/>
          <a:ext cx="897640" cy="19262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D44C0AD-70C6-400F-95FC-6F388885AEB7}" type="TxLink">
            <a:rPr lang="en-US" sz="1100" b="0" i="0" u="none" strike="noStrike">
              <a:solidFill>
                <a:schemeClr val="bg1"/>
              </a:solidFill>
              <a:latin typeface="Palatino Linotype"/>
            </a:rPr>
            <a:pPr algn="ctr"/>
            <a:t>3.87</a:t>
          </a:fld>
          <a:endParaRPr lang="en-IN" sz="1100">
            <a:solidFill>
              <a:schemeClr val="bg1"/>
            </a:solidFill>
          </a:endParaRPr>
        </a:p>
      </xdr:txBody>
    </xdr:sp>
    <xdr:clientData/>
  </xdr:twoCellAnchor>
  <xdr:twoCellAnchor>
    <xdr:from>
      <xdr:col>1</xdr:col>
      <xdr:colOff>14729</xdr:colOff>
      <xdr:row>40</xdr:row>
      <xdr:rowOff>186572</xdr:rowOff>
    </xdr:from>
    <xdr:to>
      <xdr:col>3</xdr:col>
      <xdr:colOff>207642</xdr:colOff>
      <xdr:row>45</xdr:row>
      <xdr:rowOff>198628</xdr:rowOff>
    </xdr:to>
    <xdr:sp macro="" textlink="'All Calculation'!E2">
      <xdr:nvSpPr>
        <xdr:cNvPr id="35" name="Rectangle 34">
          <a:extLst>
            <a:ext uri="{FF2B5EF4-FFF2-40B4-BE49-F238E27FC236}">
              <a16:creationId xmlns:a16="http://schemas.microsoft.com/office/drawing/2014/main" id="{B86A1A44-F64D-4765-A65E-48078060140A}"/>
            </a:ext>
          </a:extLst>
        </xdr:cNvPr>
        <xdr:cNvSpPr/>
      </xdr:nvSpPr>
      <xdr:spPr>
        <a:xfrm>
          <a:off x="702646" y="8018239"/>
          <a:ext cx="1568746" cy="1070389"/>
        </a:xfrm>
        <a:prstGeom prst="rect">
          <a:avLst/>
        </a:prstGeom>
        <a:solidFill>
          <a:schemeClr val="accent6"/>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E7D03CC-D0C6-40F0-9395-25D3CAA9E595}" type="TxLink">
            <a:rPr lang="en-US" sz="2800" b="0" i="0" u="none" strike="noStrike">
              <a:solidFill>
                <a:schemeClr val="bg1"/>
              </a:solidFill>
              <a:latin typeface="Bodoni MT Black" panose="02070A03080606020203" pitchFamily="18" charset="0"/>
              <a:ea typeface="+mn-ea"/>
              <a:cs typeface="+mn-cs"/>
            </a:rPr>
            <a:pPr marL="0" indent="0" algn="ctr"/>
            <a:t>307</a:t>
          </a:fld>
          <a:endParaRPr lang="en-IN" sz="2800" b="0" i="0" u="none" strike="noStrike">
            <a:solidFill>
              <a:schemeClr val="bg1"/>
            </a:solidFill>
            <a:latin typeface="Bodoni MT Black" panose="02070A03080606020203" pitchFamily="18" charset="0"/>
            <a:ea typeface="+mn-ea"/>
            <a:cs typeface="+mn-cs"/>
          </a:endParaRPr>
        </a:p>
      </xdr:txBody>
    </xdr:sp>
    <xdr:clientData/>
  </xdr:twoCellAnchor>
  <xdr:twoCellAnchor>
    <xdr:from>
      <xdr:col>1</xdr:col>
      <xdr:colOff>187506</xdr:colOff>
      <xdr:row>41</xdr:row>
      <xdr:rowOff>67432</xdr:rowOff>
    </xdr:from>
    <xdr:to>
      <xdr:col>3</xdr:col>
      <xdr:colOff>199563</xdr:colOff>
      <xdr:row>42</xdr:row>
      <xdr:rowOff>79489</xdr:rowOff>
    </xdr:to>
    <xdr:sp macro="" textlink="">
      <xdr:nvSpPr>
        <xdr:cNvPr id="36" name="TextBox 35">
          <a:extLst>
            <a:ext uri="{FF2B5EF4-FFF2-40B4-BE49-F238E27FC236}">
              <a16:creationId xmlns:a16="http://schemas.microsoft.com/office/drawing/2014/main" id="{B825DCF2-7AD7-4B2C-9CD6-EA44BC2A0448}"/>
            </a:ext>
          </a:extLst>
        </xdr:cNvPr>
        <xdr:cNvSpPr txBox="1"/>
      </xdr:nvSpPr>
      <xdr:spPr>
        <a:xfrm>
          <a:off x="874877" y="8090035"/>
          <a:ext cx="1386799" cy="22317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Happy</a:t>
          </a:r>
          <a:r>
            <a:rPr lang="en-IN" sz="1100" baseline="0">
              <a:solidFill>
                <a:schemeClr val="bg1"/>
              </a:solidFill>
            </a:rPr>
            <a:t> Customer</a:t>
          </a:r>
          <a:endParaRPr lang="en-IN" sz="1100">
            <a:solidFill>
              <a:schemeClr val="bg1"/>
            </a:solidFill>
          </a:endParaRPr>
        </a:p>
      </xdr:txBody>
    </xdr:sp>
    <xdr:clientData/>
  </xdr:twoCellAnchor>
  <xdr:twoCellAnchor editAs="oneCell">
    <xdr:from>
      <xdr:col>1</xdr:col>
      <xdr:colOff>89989</xdr:colOff>
      <xdr:row>41</xdr:row>
      <xdr:rowOff>63290</xdr:rowOff>
    </xdr:from>
    <xdr:to>
      <xdr:col>1</xdr:col>
      <xdr:colOff>336016</xdr:colOff>
      <xdr:row>42</xdr:row>
      <xdr:rowOff>98196</xdr:rowOff>
    </xdr:to>
    <xdr:pic>
      <xdr:nvPicPr>
        <xdr:cNvPr id="37" name="Graphic 36">
          <a:extLst>
            <a:ext uri="{FF2B5EF4-FFF2-40B4-BE49-F238E27FC236}">
              <a16:creationId xmlns:a16="http://schemas.microsoft.com/office/drawing/2014/main" id="{CDBC5656-C4CF-41B1-8AE3-611236FF7F9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777360" y="8085893"/>
          <a:ext cx="246027" cy="246027"/>
        </a:xfrm>
        <a:prstGeom prst="rect">
          <a:avLst/>
        </a:prstGeom>
      </xdr:spPr>
    </xdr:pic>
    <xdr:clientData/>
  </xdr:twoCellAnchor>
  <xdr:twoCellAnchor>
    <xdr:from>
      <xdr:col>1</xdr:col>
      <xdr:colOff>360769</xdr:colOff>
      <xdr:row>44</xdr:row>
      <xdr:rowOff>125930</xdr:rowOff>
    </xdr:from>
    <xdr:to>
      <xdr:col>2</xdr:col>
      <xdr:colOff>569855</xdr:colOff>
      <xdr:row>45</xdr:row>
      <xdr:rowOff>111992</xdr:rowOff>
    </xdr:to>
    <xdr:sp macro="" textlink="'All Calculation'!E8">
      <xdr:nvSpPr>
        <xdr:cNvPr id="38" name="TextBox 37">
          <a:extLst>
            <a:ext uri="{FF2B5EF4-FFF2-40B4-BE49-F238E27FC236}">
              <a16:creationId xmlns:a16="http://schemas.microsoft.com/office/drawing/2014/main" id="{319D144C-2C61-459E-8846-9307A0F80495}"/>
            </a:ext>
          </a:extLst>
        </xdr:cNvPr>
        <xdr:cNvSpPr txBox="1"/>
      </xdr:nvSpPr>
      <xdr:spPr>
        <a:xfrm>
          <a:off x="1049323" y="8595147"/>
          <a:ext cx="897640" cy="192628"/>
        </a:xfrm>
        <a:prstGeom prst="rect">
          <a:avLst/>
        </a:prstGeom>
        <a:solidFill>
          <a:schemeClr val="accent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ADF3C2A-219E-4015-B41D-53295D139E70}" type="TxLink">
            <a:rPr lang="en-US" sz="1100" b="0" i="0" u="none" strike="noStrike">
              <a:solidFill>
                <a:schemeClr val="bg1"/>
              </a:solidFill>
              <a:latin typeface="Palatino Linotype"/>
            </a:rPr>
            <a:pPr algn="ctr"/>
            <a:t>74</a:t>
          </a:fld>
          <a:endParaRPr lang="en-IN" sz="1100">
            <a:solidFill>
              <a:schemeClr val="bg1"/>
            </a:solidFill>
          </a:endParaRPr>
        </a:p>
      </xdr:txBody>
    </xdr:sp>
    <xdr:clientData/>
  </xdr:twoCellAnchor>
  <xdr:twoCellAnchor editAs="oneCell">
    <xdr:from>
      <xdr:col>26</xdr:col>
      <xdr:colOff>534339</xdr:colOff>
      <xdr:row>28</xdr:row>
      <xdr:rowOff>20901</xdr:rowOff>
    </xdr:from>
    <xdr:to>
      <xdr:col>28</xdr:col>
      <xdr:colOff>421511</xdr:colOff>
      <xdr:row>44</xdr:row>
      <xdr:rowOff>105834</xdr:rowOff>
    </xdr:to>
    <mc:AlternateContent xmlns:mc="http://schemas.openxmlformats.org/markup-compatibility/2006">
      <mc:Choice xmlns:a14="http://schemas.microsoft.com/office/drawing/2010/main" Requires="a14">
        <xdr:graphicFrame macro="">
          <xdr:nvGraphicFramePr>
            <xdr:cNvPr id="39" name="Representative 3">
              <a:extLst>
                <a:ext uri="{FF2B5EF4-FFF2-40B4-BE49-F238E27FC236}">
                  <a16:creationId xmlns:a16="http://schemas.microsoft.com/office/drawing/2014/main" id="{DA6D0124-AAF4-49B9-898A-27A5B21F46CC}"/>
                </a:ext>
              </a:extLst>
            </xdr:cNvPr>
            <xdr:cNvGraphicFramePr/>
          </xdr:nvGraphicFramePr>
          <xdr:xfrm>
            <a:off x="0" y="0"/>
            <a:ext cx="0" cy="0"/>
          </xdr:xfrm>
          <a:graphic>
            <a:graphicData uri="http://schemas.microsoft.com/office/drawing/2010/slicer">
              <sle:slicer xmlns:sle="http://schemas.microsoft.com/office/drawing/2010/slicer" name="Representative 3"/>
            </a:graphicData>
          </a:graphic>
        </xdr:graphicFrame>
      </mc:Choice>
      <mc:Fallback>
        <xdr:sp macro="" textlink="">
          <xdr:nvSpPr>
            <xdr:cNvPr id="0" name=""/>
            <xdr:cNvSpPr>
              <a:spLocks noTextEdit="1"/>
            </xdr:cNvSpPr>
          </xdr:nvSpPr>
          <xdr:spPr>
            <a:xfrm>
              <a:off x="19790285" y="5787387"/>
              <a:ext cx="1830787" cy="33800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476250</xdr:colOff>
      <xdr:row>9</xdr:row>
      <xdr:rowOff>0</xdr:rowOff>
    </xdr:from>
    <xdr:to>
      <xdr:col>10</xdr:col>
      <xdr:colOff>256228</xdr:colOff>
      <xdr:row>28</xdr:row>
      <xdr:rowOff>158750</xdr:rowOff>
    </xdr:to>
    <xdr:graphicFrame macro="">
      <xdr:nvGraphicFramePr>
        <xdr:cNvPr id="41" name="Chart 40">
          <a:extLst>
            <a:ext uri="{FF2B5EF4-FFF2-40B4-BE49-F238E27FC236}">
              <a16:creationId xmlns:a16="http://schemas.microsoft.com/office/drawing/2014/main" id="{F7791064-5C8E-4C69-9B96-363CA8169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318272</xdr:colOff>
      <xdr:row>9</xdr:row>
      <xdr:rowOff>10525</xdr:rowOff>
    </xdr:from>
    <xdr:to>
      <xdr:col>16</xdr:col>
      <xdr:colOff>317500</xdr:colOff>
      <xdr:row>28</xdr:row>
      <xdr:rowOff>141111</xdr:rowOff>
    </xdr:to>
    <xdr:graphicFrame macro="">
      <xdr:nvGraphicFramePr>
        <xdr:cNvPr id="42" name="Chart 41">
          <a:extLst>
            <a:ext uri="{FF2B5EF4-FFF2-40B4-BE49-F238E27FC236}">
              <a16:creationId xmlns:a16="http://schemas.microsoft.com/office/drawing/2014/main" id="{88C605A9-23EB-43DB-84F6-89845579B8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476250</xdr:colOff>
      <xdr:row>29</xdr:row>
      <xdr:rowOff>17638</xdr:rowOff>
    </xdr:from>
    <xdr:to>
      <xdr:col>10</xdr:col>
      <xdr:colOff>370416</xdr:colOff>
      <xdr:row>49</xdr:row>
      <xdr:rowOff>176389</xdr:rowOff>
    </xdr:to>
    <xdr:graphicFrame macro="">
      <xdr:nvGraphicFramePr>
        <xdr:cNvPr id="2" name="Chart 1">
          <a:extLst>
            <a:ext uri="{FF2B5EF4-FFF2-40B4-BE49-F238E27FC236}">
              <a16:creationId xmlns:a16="http://schemas.microsoft.com/office/drawing/2014/main" id="{00516750-ACBD-43C8-87ED-E905CDC137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493889</xdr:colOff>
      <xdr:row>29</xdr:row>
      <xdr:rowOff>50165</xdr:rowOff>
    </xdr:from>
    <xdr:to>
      <xdr:col>17</xdr:col>
      <xdr:colOff>599723</xdr:colOff>
      <xdr:row>49</xdr:row>
      <xdr:rowOff>176388</xdr:rowOff>
    </xdr:to>
    <xdr:graphicFrame macro="">
      <xdr:nvGraphicFramePr>
        <xdr:cNvPr id="3" name="Chart 2">
          <a:extLst>
            <a:ext uri="{FF2B5EF4-FFF2-40B4-BE49-F238E27FC236}">
              <a16:creationId xmlns:a16="http://schemas.microsoft.com/office/drawing/2014/main" id="{36A9CC94-BB18-4024-A08A-143A5909A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16</xdr:col>
      <xdr:colOff>388055</xdr:colOff>
      <xdr:row>9</xdr:row>
      <xdr:rowOff>45860</xdr:rowOff>
    </xdr:from>
    <xdr:to>
      <xdr:col>23</xdr:col>
      <xdr:colOff>218721</xdr:colOff>
      <xdr:row>27</xdr:row>
      <xdr:rowOff>88194</xdr:rowOff>
    </xdr:to>
    <xdr:graphicFrame macro="">
      <xdr:nvGraphicFramePr>
        <xdr:cNvPr id="4" name="Chart 3">
          <a:extLst>
            <a:ext uri="{FF2B5EF4-FFF2-40B4-BE49-F238E27FC236}">
              <a16:creationId xmlns:a16="http://schemas.microsoft.com/office/drawing/2014/main" id="{1A884D90-BEA9-46C7-B73B-C6818989E0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23</xdr:col>
      <xdr:colOff>280618</xdr:colOff>
      <xdr:row>9</xdr:row>
      <xdr:rowOff>42646</xdr:rowOff>
    </xdr:from>
    <xdr:to>
      <xdr:col>29</xdr:col>
      <xdr:colOff>25636</xdr:colOff>
      <xdr:row>27</xdr:row>
      <xdr:rowOff>88195</xdr:rowOff>
    </xdr:to>
    <xdr:graphicFrame macro="">
      <xdr:nvGraphicFramePr>
        <xdr:cNvPr id="5" name="Chart 4">
          <a:extLst>
            <a:ext uri="{FF2B5EF4-FFF2-40B4-BE49-F238E27FC236}">
              <a16:creationId xmlns:a16="http://schemas.microsoft.com/office/drawing/2014/main" id="{683DAFD1-2592-48E9-BE92-D285458DB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257175</xdr:colOff>
      <xdr:row>3</xdr:row>
      <xdr:rowOff>171451</xdr:rowOff>
    </xdr:from>
    <xdr:to>
      <xdr:col>8</xdr:col>
      <xdr:colOff>228680</xdr:colOff>
      <xdr:row>13</xdr:row>
      <xdr:rowOff>133351</xdr:rowOff>
    </xdr:to>
    <mc:AlternateContent xmlns:mc="http://schemas.openxmlformats.org/markup-compatibility/2006" xmlns:a14="http://schemas.microsoft.com/office/drawing/2010/main">
      <mc:Choice Requires="a14">
        <xdr:graphicFrame macro="">
          <xdr:nvGraphicFramePr>
            <xdr:cNvPr id="2" name="Representative 2">
              <a:extLst>
                <a:ext uri="{FF2B5EF4-FFF2-40B4-BE49-F238E27FC236}">
                  <a16:creationId xmlns:a16="http://schemas.microsoft.com/office/drawing/2014/main" id="{2F342D4F-C8C9-F2C0-395D-62C7129E8B80}"/>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mlns="">
        <xdr:sp macro="" textlink="">
          <xdr:nvSpPr>
            <xdr:cNvPr id="0" name=""/>
            <xdr:cNvSpPr>
              <a:spLocks noTextEdit="1"/>
            </xdr:cNvSpPr>
          </xdr:nvSpPr>
          <xdr:spPr>
            <a:xfrm>
              <a:off x="5211776" y="795779"/>
              <a:ext cx="1836484" cy="20429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342690</xdr:colOff>
      <xdr:row>10</xdr:row>
      <xdr:rowOff>9420</xdr:rowOff>
    </xdr:from>
    <xdr:to>
      <xdr:col>3</xdr:col>
      <xdr:colOff>343050</xdr:colOff>
      <xdr:row>10</xdr:row>
      <xdr:rowOff>9780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13" name="Ink 12">
              <a:extLst>
                <a:ext uri="{FF2B5EF4-FFF2-40B4-BE49-F238E27FC236}">
                  <a16:creationId xmlns:a16="http://schemas.microsoft.com/office/drawing/2014/main" id="{825A123F-126E-C879-E477-E2FF0E1BDACC}"/>
                </a:ext>
              </a:extLst>
            </xdr14:cNvPr>
            <xdr14:cNvContentPartPr/>
          </xdr14:nvContentPartPr>
          <xdr14:nvPr macro=""/>
          <xdr14:xfrm>
            <a:off x="3295440" y="2104920"/>
            <a:ext cx="360" cy="360"/>
          </xdr14:xfrm>
        </xdr:contentPart>
      </mc:Choice>
      <mc:Fallback xmlns="">
        <xdr:pic>
          <xdr:nvPicPr>
            <xdr:cNvPr id="13" name="Ink 12">
              <a:extLst>
                <a:ext uri="{FF2B5EF4-FFF2-40B4-BE49-F238E27FC236}">
                  <a16:creationId xmlns:a16="http://schemas.microsoft.com/office/drawing/2014/main" id="{825A123F-126E-C879-E477-E2FF0E1BDACC}"/>
                </a:ext>
              </a:extLst>
            </xdr:cNvPr>
            <xdr:cNvPicPr/>
          </xdr:nvPicPr>
          <xdr:blipFill>
            <a:blip xmlns:r="http://schemas.openxmlformats.org/officeDocument/2006/relationships" r:embed="rId2"/>
            <a:stretch>
              <a:fillRect/>
            </a:stretch>
          </xdr:blipFill>
          <xdr:spPr>
            <a:xfrm>
              <a:off x="3286800" y="2095920"/>
              <a:ext cx="18000" cy="18000"/>
            </a:xfrm>
            <a:prstGeom prst="rect">
              <a:avLst/>
            </a:prstGeom>
          </xdr:spPr>
        </xdr:pic>
      </mc:Fallback>
    </mc:AlternateContent>
    <xdr:clientData/>
  </xdr:twoCellAnchor>
  <xdr:twoCellAnchor editAs="oneCell">
    <xdr:from>
      <xdr:col>5</xdr:col>
      <xdr:colOff>161925</xdr:colOff>
      <xdr:row>6</xdr:row>
      <xdr:rowOff>85500</xdr:rowOff>
    </xdr:from>
    <xdr:to>
      <xdr:col>6</xdr:col>
      <xdr:colOff>348013</xdr:colOff>
      <xdr:row>8</xdr:row>
      <xdr:rowOff>2935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8" name="Ink 17">
              <a:extLst>
                <a:ext uri="{FF2B5EF4-FFF2-40B4-BE49-F238E27FC236}">
                  <a16:creationId xmlns:a16="http://schemas.microsoft.com/office/drawing/2014/main" id="{993FBFB3-FE8A-7E5B-9C9F-3F2C3AB715F8}"/>
                </a:ext>
              </a:extLst>
            </xdr14:cNvPr>
            <xdr14:cNvContentPartPr/>
          </xdr14:nvContentPartPr>
          <xdr14:nvPr macro=""/>
          <xdr14:xfrm>
            <a:off x="4572000" y="1342800"/>
            <a:ext cx="703800" cy="333360"/>
          </xdr14:xfrm>
        </xdr:contentPart>
      </mc:Choice>
      <mc:Fallback xmlns="">
        <xdr:pic>
          <xdr:nvPicPr>
            <xdr:cNvPr id="18" name="Ink 17">
              <a:extLst>
                <a:ext uri="{FF2B5EF4-FFF2-40B4-BE49-F238E27FC236}">
                  <a16:creationId xmlns:a16="http://schemas.microsoft.com/office/drawing/2014/main" id="{993FBFB3-FE8A-7E5B-9C9F-3F2C3AB715F8}"/>
                </a:ext>
              </a:extLst>
            </xdr:cNvPr>
            <xdr:cNvPicPr/>
          </xdr:nvPicPr>
          <xdr:blipFill>
            <a:blip xmlns:r="http://schemas.openxmlformats.org/officeDocument/2006/relationships" r:embed="rId4"/>
            <a:stretch>
              <a:fillRect/>
            </a:stretch>
          </xdr:blipFill>
          <xdr:spPr>
            <a:xfrm>
              <a:off x="4562930" y="1333960"/>
              <a:ext cx="721576" cy="351409"/>
            </a:xfrm>
            <a:prstGeom prst="rect">
              <a:avLst/>
            </a:prstGeom>
          </xdr:spPr>
        </xdr:pic>
      </mc:Fallback>
    </mc:AlternateContent>
    <xdr:clientData/>
  </xdr:twoCellAnchor>
  <xdr:twoCellAnchor>
    <xdr:from>
      <xdr:col>13</xdr:col>
      <xdr:colOff>155282</xdr:colOff>
      <xdr:row>22</xdr:row>
      <xdr:rowOff>1121</xdr:rowOff>
    </xdr:from>
    <xdr:to>
      <xdr:col>19</xdr:col>
      <xdr:colOff>597114</xdr:colOff>
      <xdr:row>35</xdr:row>
      <xdr:rowOff>38900</xdr:rowOff>
    </xdr:to>
    <xdr:graphicFrame macro="">
      <xdr:nvGraphicFramePr>
        <xdr:cNvPr id="3" name="Chart 2">
          <a:extLst>
            <a:ext uri="{FF2B5EF4-FFF2-40B4-BE49-F238E27FC236}">
              <a16:creationId xmlns:a16="http://schemas.microsoft.com/office/drawing/2014/main" id="{8768FA10-D38C-EB11-BD2E-1E4B3FCF6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22</xdr:row>
      <xdr:rowOff>16009</xdr:rowOff>
    </xdr:from>
    <xdr:to>
      <xdr:col>26</xdr:col>
      <xdr:colOff>441832</xdr:colOff>
      <xdr:row>35</xdr:row>
      <xdr:rowOff>53788</xdr:rowOff>
    </xdr:to>
    <xdr:graphicFrame macro="">
      <xdr:nvGraphicFramePr>
        <xdr:cNvPr id="5" name="Chart 4">
          <a:extLst>
            <a:ext uri="{FF2B5EF4-FFF2-40B4-BE49-F238E27FC236}">
              <a16:creationId xmlns:a16="http://schemas.microsoft.com/office/drawing/2014/main" id="{D331D539-AFCB-4212-94BE-D15A509B4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87805</xdr:colOff>
      <xdr:row>38</xdr:row>
      <xdr:rowOff>88008</xdr:rowOff>
    </xdr:from>
    <xdr:to>
      <xdr:col>3</xdr:col>
      <xdr:colOff>796285</xdr:colOff>
      <xdr:row>41</xdr:row>
      <xdr:rowOff>33200</xdr:rowOff>
    </xdr:to>
    <mc:AlternateContent xmlns:mc="http://schemas.openxmlformats.org/markup-compatibility/2006">
      <mc:Choice xmlns:xdr14="http://schemas.microsoft.com/office/excel/2010/spreadsheetDrawing" Requires="xdr14">
        <xdr:contentPart xmlns:r="http://schemas.openxmlformats.org/officeDocument/2006/relationships" r:id="rId7">
          <xdr14:nvContentPartPr>
            <xdr14:cNvPr id="23" name="Ink 22">
              <a:extLst>
                <a:ext uri="{FF2B5EF4-FFF2-40B4-BE49-F238E27FC236}">
                  <a16:creationId xmlns:a16="http://schemas.microsoft.com/office/drawing/2014/main" id="{234FE5F4-BCE1-8887-08BC-0E5F6F937A2F}"/>
                </a:ext>
              </a:extLst>
            </xdr14:cNvPr>
            <xdr14:cNvContentPartPr/>
          </xdr14:nvContentPartPr>
          <xdr14:nvPr macro=""/>
          <xdr14:xfrm>
            <a:off x="2897280" y="8004163"/>
            <a:ext cx="708480" cy="569520"/>
          </xdr14:xfrm>
        </xdr:contentPart>
      </mc:Choice>
      <mc:Fallback>
        <xdr:pic>
          <xdr:nvPicPr>
            <xdr:cNvPr id="23" name="Ink 22">
              <a:extLst>
                <a:ext uri="{FF2B5EF4-FFF2-40B4-BE49-F238E27FC236}">
                  <a16:creationId xmlns:a16="http://schemas.microsoft.com/office/drawing/2014/main" id="{234FE5F4-BCE1-8887-08BC-0E5F6F937A2F}"/>
                </a:ext>
              </a:extLst>
            </xdr:cNvPr>
            <xdr:cNvPicPr/>
          </xdr:nvPicPr>
          <xdr:blipFill>
            <a:blip xmlns:r="http://schemas.openxmlformats.org/officeDocument/2006/relationships" r:embed="rId8"/>
            <a:stretch>
              <a:fillRect/>
            </a:stretch>
          </xdr:blipFill>
          <xdr:spPr>
            <a:xfrm>
              <a:off x="2891160" y="7998043"/>
              <a:ext cx="720720" cy="581760"/>
            </a:xfrm>
            <a:prstGeom prst="rect">
              <a:avLst/>
            </a:prstGeom>
          </xdr:spPr>
        </xdr:pic>
      </mc:Fallback>
    </mc:AlternateContent>
    <xdr:clientData/>
  </xdr:twoCellAnchor>
  <xdr:twoCellAnchor editAs="oneCell">
    <xdr:from>
      <xdr:col>3</xdr:col>
      <xdr:colOff>816085</xdr:colOff>
      <xdr:row>40</xdr:row>
      <xdr:rowOff>51229</xdr:rowOff>
    </xdr:from>
    <xdr:to>
      <xdr:col>4</xdr:col>
      <xdr:colOff>38391</xdr:colOff>
      <xdr:row>40</xdr:row>
      <xdr:rowOff>163549</xdr:rowOff>
    </xdr:to>
    <mc:AlternateContent xmlns:mc="http://schemas.openxmlformats.org/markup-compatibility/2006">
      <mc:Choice xmlns:xdr14="http://schemas.microsoft.com/office/excel/2010/spreadsheetDrawing" Requires="xdr14">
        <xdr:contentPart xmlns:r="http://schemas.openxmlformats.org/officeDocument/2006/relationships" r:id="rId9">
          <xdr14:nvContentPartPr>
            <xdr14:cNvPr id="24" name="Ink 23">
              <a:extLst>
                <a:ext uri="{FF2B5EF4-FFF2-40B4-BE49-F238E27FC236}">
                  <a16:creationId xmlns:a16="http://schemas.microsoft.com/office/drawing/2014/main" id="{9728536D-B60D-FE4A-6B2F-BF6EE03A6D93}"/>
                </a:ext>
              </a:extLst>
            </xdr14:cNvPr>
            <xdr14:cNvContentPartPr/>
          </xdr14:nvContentPartPr>
          <xdr14:nvPr macro=""/>
          <xdr14:xfrm>
            <a:off x="3625560" y="8383603"/>
            <a:ext cx="86760" cy="112320"/>
          </xdr14:xfrm>
        </xdr:contentPart>
      </mc:Choice>
      <mc:Fallback>
        <xdr:pic>
          <xdr:nvPicPr>
            <xdr:cNvPr id="24" name="Ink 23">
              <a:extLst>
                <a:ext uri="{FF2B5EF4-FFF2-40B4-BE49-F238E27FC236}">
                  <a16:creationId xmlns:a16="http://schemas.microsoft.com/office/drawing/2014/main" id="{9728536D-B60D-FE4A-6B2F-BF6EE03A6D93}"/>
                </a:ext>
              </a:extLst>
            </xdr:cNvPr>
            <xdr:cNvPicPr/>
          </xdr:nvPicPr>
          <xdr:blipFill>
            <a:blip xmlns:r="http://schemas.openxmlformats.org/officeDocument/2006/relationships" r:embed="rId10"/>
            <a:stretch>
              <a:fillRect/>
            </a:stretch>
          </xdr:blipFill>
          <xdr:spPr>
            <a:xfrm>
              <a:off x="3619440" y="8377483"/>
              <a:ext cx="99000" cy="124560"/>
            </a:xfrm>
            <a:prstGeom prst="rect">
              <a:avLst/>
            </a:prstGeom>
          </xdr:spPr>
        </xdr:pic>
      </mc:Fallback>
    </mc:AlternateContent>
    <xdr:clientData/>
  </xdr:twoCellAnchor>
  <xdr:twoCellAnchor editAs="oneCell">
    <xdr:from>
      <xdr:col>6</xdr:col>
      <xdr:colOff>616039</xdr:colOff>
      <xdr:row>33</xdr:row>
      <xdr:rowOff>111998</xdr:rowOff>
    </xdr:from>
    <xdr:to>
      <xdr:col>6</xdr:col>
      <xdr:colOff>616399</xdr:colOff>
      <xdr:row>33</xdr:row>
      <xdr:rowOff>112358</xdr:rowOff>
    </xdr:to>
    <mc:AlternateContent xmlns:mc="http://schemas.openxmlformats.org/markup-compatibility/2006">
      <mc:Choice xmlns:xdr14="http://schemas.microsoft.com/office/excel/2010/spreadsheetDrawing" Requires="xdr14">
        <xdr:contentPart xmlns:r="http://schemas.openxmlformats.org/officeDocument/2006/relationships" r:id="rId11">
          <xdr14:nvContentPartPr>
            <xdr14:cNvPr id="29" name="Ink 28">
              <a:extLst>
                <a:ext uri="{FF2B5EF4-FFF2-40B4-BE49-F238E27FC236}">
                  <a16:creationId xmlns:a16="http://schemas.microsoft.com/office/drawing/2014/main" id="{7E19F285-380B-C5A8-BE4B-8F0C5C1B6E84}"/>
                </a:ext>
              </a:extLst>
            </xdr14:cNvPr>
            <xdr14:cNvContentPartPr/>
          </xdr14:nvContentPartPr>
          <xdr14:nvPr macro=""/>
          <xdr14:xfrm>
            <a:off x="5570640" y="6979603"/>
            <a:ext cx="360" cy="360"/>
          </xdr14:xfrm>
        </xdr:contentPart>
      </mc:Choice>
      <mc:Fallback>
        <xdr:pic>
          <xdr:nvPicPr>
            <xdr:cNvPr id="29" name="Ink 28">
              <a:extLst>
                <a:ext uri="{FF2B5EF4-FFF2-40B4-BE49-F238E27FC236}">
                  <a16:creationId xmlns:a16="http://schemas.microsoft.com/office/drawing/2014/main" id="{7E19F285-380B-C5A8-BE4B-8F0C5C1B6E84}"/>
                </a:ext>
              </a:extLst>
            </xdr:cNvPr>
            <xdr:cNvPicPr/>
          </xdr:nvPicPr>
          <xdr:blipFill>
            <a:blip xmlns:r="http://schemas.openxmlformats.org/officeDocument/2006/relationships" r:embed="rId12"/>
            <a:stretch>
              <a:fillRect/>
            </a:stretch>
          </xdr:blipFill>
          <xdr:spPr>
            <a:xfrm>
              <a:off x="5564520" y="6973483"/>
              <a:ext cx="12600" cy="12600"/>
            </a:xfrm>
            <a:prstGeom prst="rect">
              <a:avLst/>
            </a:prstGeom>
          </xdr:spPr>
        </xdr:pic>
      </mc:Fallback>
    </mc:AlternateContent>
    <xdr:clientData/>
  </xdr:twoCellAnchor>
  <xdr:twoCellAnchor editAs="oneCell">
    <xdr:from>
      <xdr:col>8</xdr:col>
      <xdr:colOff>263780</xdr:colOff>
      <xdr:row>30</xdr:row>
      <xdr:rowOff>87966</xdr:rowOff>
    </xdr:from>
    <xdr:to>
      <xdr:col>8</xdr:col>
      <xdr:colOff>264140</xdr:colOff>
      <xdr:row>30</xdr:row>
      <xdr:rowOff>88326</xdr:rowOff>
    </xdr:to>
    <mc:AlternateContent xmlns:mc="http://schemas.openxmlformats.org/markup-compatibility/2006">
      <mc:Choice xmlns:xdr14="http://schemas.microsoft.com/office/excel/2010/spreadsheetDrawing" Requires="xdr14">
        <xdr:contentPart xmlns:r="http://schemas.openxmlformats.org/officeDocument/2006/relationships" r:id="rId13">
          <xdr14:nvContentPartPr>
            <xdr14:cNvPr id="34" name="Ink 33">
              <a:extLst>
                <a:ext uri="{FF2B5EF4-FFF2-40B4-BE49-F238E27FC236}">
                  <a16:creationId xmlns:a16="http://schemas.microsoft.com/office/drawing/2014/main" id="{BD8F0DD6-BADF-7510-5A52-8D5347F12418}"/>
                </a:ext>
              </a:extLst>
            </xdr14:cNvPr>
            <xdr14:cNvContentPartPr/>
          </xdr14:nvContentPartPr>
          <xdr14:nvPr macro=""/>
          <xdr14:xfrm>
            <a:off x="7083360" y="6331243"/>
            <a:ext cx="360" cy="360"/>
          </xdr14:xfrm>
        </xdr:contentPart>
      </mc:Choice>
      <mc:Fallback>
        <xdr:pic>
          <xdr:nvPicPr>
            <xdr:cNvPr id="34" name="Ink 33">
              <a:extLst>
                <a:ext uri="{FF2B5EF4-FFF2-40B4-BE49-F238E27FC236}">
                  <a16:creationId xmlns:a16="http://schemas.microsoft.com/office/drawing/2014/main" id="{BD8F0DD6-BADF-7510-5A52-8D5347F12418}"/>
                </a:ext>
              </a:extLst>
            </xdr:cNvPr>
            <xdr:cNvPicPr/>
          </xdr:nvPicPr>
          <xdr:blipFill>
            <a:blip xmlns:r="http://schemas.openxmlformats.org/officeDocument/2006/relationships" r:embed="rId12"/>
            <a:stretch>
              <a:fillRect/>
            </a:stretch>
          </xdr:blipFill>
          <xdr:spPr>
            <a:xfrm>
              <a:off x="7077240" y="6325123"/>
              <a:ext cx="12600" cy="12600"/>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131565</xdr:colOff>
      <xdr:row>4</xdr:row>
      <xdr:rowOff>35400</xdr:rowOff>
    </xdr:from>
    <xdr:to>
      <xdr:col>9</xdr:col>
      <xdr:colOff>250815</xdr:colOff>
      <xdr:row>5</xdr:row>
      <xdr:rowOff>649530</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4" name="Ink 23">
              <a:extLst>
                <a:ext uri="{FF2B5EF4-FFF2-40B4-BE49-F238E27FC236}">
                  <a16:creationId xmlns:a16="http://schemas.microsoft.com/office/drawing/2014/main" id="{46ACC173-8427-D155-92BA-853A9F8F121A}"/>
                </a:ext>
              </a:extLst>
            </xdr14:cNvPr>
            <xdr14:cNvContentPartPr/>
          </xdr14:nvContentPartPr>
          <xdr14:nvPr macro=""/>
          <xdr14:xfrm>
            <a:off x="7665840" y="797400"/>
            <a:ext cx="1776600" cy="823680"/>
          </xdr14:xfrm>
        </xdr:contentPart>
      </mc:Choice>
      <mc:Fallback xmlns="">
        <xdr:pic>
          <xdr:nvPicPr>
            <xdr:cNvPr id="24" name="Ink 23">
              <a:extLst>
                <a:ext uri="{FF2B5EF4-FFF2-40B4-BE49-F238E27FC236}">
                  <a16:creationId xmlns:a16="http://schemas.microsoft.com/office/drawing/2014/main" id="{46ACC173-8427-D155-92BA-853A9F8F121A}"/>
                </a:ext>
              </a:extLst>
            </xdr:cNvPr>
            <xdr:cNvPicPr/>
          </xdr:nvPicPr>
          <xdr:blipFill>
            <a:blip xmlns:r="http://schemas.openxmlformats.org/officeDocument/2006/relationships" r:embed="rId2"/>
            <a:stretch>
              <a:fillRect/>
            </a:stretch>
          </xdr:blipFill>
          <xdr:spPr>
            <a:xfrm>
              <a:off x="7659719" y="791280"/>
              <a:ext cx="1788842" cy="835920"/>
            </a:xfrm>
            <a:prstGeom prst="rect">
              <a:avLst/>
            </a:prstGeom>
          </xdr:spPr>
        </xdr:pic>
      </mc:Fallback>
    </mc:AlternateContent>
    <xdr:clientData/>
  </xdr:twoCellAnchor>
  <xdr:twoCellAnchor editAs="oneCell">
    <xdr:from>
      <xdr:col>8</xdr:col>
      <xdr:colOff>885240</xdr:colOff>
      <xdr:row>6</xdr:row>
      <xdr:rowOff>78840</xdr:rowOff>
    </xdr:from>
    <xdr:to>
      <xdr:col>9</xdr:col>
      <xdr:colOff>627735</xdr:colOff>
      <xdr:row>7</xdr:row>
      <xdr:rowOff>131370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1" name="Ink 30">
              <a:extLst>
                <a:ext uri="{FF2B5EF4-FFF2-40B4-BE49-F238E27FC236}">
                  <a16:creationId xmlns:a16="http://schemas.microsoft.com/office/drawing/2014/main" id="{38D3C64C-050A-B406-44AA-51BACE938B58}"/>
                </a:ext>
              </a:extLst>
            </xdr14:cNvPr>
            <xdr14:cNvContentPartPr/>
          </xdr14:nvContentPartPr>
          <xdr14:nvPr macro=""/>
          <xdr14:xfrm>
            <a:off x="9114840" y="1221840"/>
            <a:ext cx="704520" cy="262080"/>
          </xdr14:xfrm>
        </xdr:contentPart>
      </mc:Choice>
      <mc:Fallback xmlns="">
        <xdr:pic>
          <xdr:nvPicPr>
            <xdr:cNvPr id="31" name="Ink 30">
              <a:extLst>
                <a:ext uri="{FF2B5EF4-FFF2-40B4-BE49-F238E27FC236}">
                  <a16:creationId xmlns:a16="http://schemas.microsoft.com/office/drawing/2014/main" id="{38D3C64C-050A-B406-44AA-51BACE938B58}"/>
                </a:ext>
              </a:extLst>
            </xdr:cNvPr>
            <xdr:cNvPicPr/>
          </xdr:nvPicPr>
          <xdr:blipFill>
            <a:blip xmlns:r="http://schemas.openxmlformats.org/officeDocument/2006/relationships" r:embed="rId4"/>
            <a:stretch>
              <a:fillRect/>
            </a:stretch>
          </xdr:blipFill>
          <xdr:spPr>
            <a:xfrm>
              <a:off x="9108720" y="1215720"/>
              <a:ext cx="716760" cy="274320"/>
            </a:xfrm>
            <a:prstGeom prst="rect">
              <a:avLst/>
            </a:prstGeom>
          </xdr:spPr>
        </xdr:pic>
      </mc:Fallback>
    </mc:AlternateContent>
    <xdr:clientData/>
  </xdr:twoCellAnchor>
  <xdr:twoCellAnchor editAs="oneCell">
    <xdr:from>
      <xdr:col>7</xdr:col>
      <xdr:colOff>379605</xdr:colOff>
      <xdr:row>9</xdr:row>
      <xdr:rowOff>85500</xdr:rowOff>
    </xdr:from>
    <xdr:to>
      <xdr:col>8</xdr:col>
      <xdr:colOff>253080</xdr:colOff>
      <xdr:row>10</xdr:row>
      <xdr:rowOff>201750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2" name="Ink 31">
              <a:extLst>
                <a:ext uri="{FF2B5EF4-FFF2-40B4-BE49-F238E27FC236}">
                  <a16:creationId xmlns:a16="http://schemas.microsoft.com/office/drawing/2014/main" id="{30AB7253-1641-AA91-EA58-90BFFDAEEE70}"/>
                </a:ext>
              </a:extLst>
            </xdr14:cNvPr>
            <xdr14:cNvContentPartPr/>
          </xdr14:nvContentPartPr>
          <xdr14:nvPr macro=""/>
          <xdr14:xfrm>
            <a:off x="7913880" y="1800000"/>
            <a:ext cx="568800" cy="325800"/>
          </xdr14:xfrm>
        </xdr:contentPart>
      </mc:Choice>
      <mc:Fallback xmlns="">
        <xdr:pic>
          <xdr:nvPicPr>
            <xdr:cNvPr id="32" name="Ink 31">
              <a:extLst>
                <a:ext uri="{FF2B5EF4-FFF2-40B4-BE49-F238E27FC236}">
                  <a16:creationId xmlns:a16="http://schemas.microsoft.com/office/drawing/2014/main" id="{30AB7253-1641-AA91-EA58-90BFFDAEEE70}"/>
                </a:ext>
              </a:extLst>
            </xdr:cNvPr>
            <xdr:cNvPicPr/>
          </xdr:nvPicPr>
          <xdr:blipFill>
            <a:blip xmlns:r="http://schemas.openxmlformats.org/officeDocument/2006/relationships" r:embed="rId6"/>
            <a:stretch>
              <a:fillRect/>
            </a:stretch>
          </xdr:blipFill>
          <xdr:spPr>
            <a:xfrm>
              <a:off x="7907760" y="1793880"/>
              <a:ext cx="581040" cy="338040"/>
            </a:xfrm>
            <a:prstGeom prst="rect">
              <a:avLst/>
            </a:prstGeom>
          </xdr:spPr>
        </xdr:pic>
      </mc:Fallback>
    </mc:AlternateContent>
    <xdr:clientData/>
  </xdr:twoCellAnchor>
  <xdr:twoCellAnchor editAs="oneCell">
    <xdr:from>
      <xdr:col>8</xdr:col>
      <xdr:colOff>580680</xdr:colOff>
      <xdr:row>9</xdr:row>
      <xdr:rowOff>17820</xdr:rowOff>
    </xdr:from>
    <xdr:to>
      <xdr:col>9</xdr:col>
      <xdr:colOff>398055</xdr:colOff>
      <xdr:row>10</xdr:row>
      <xdr:rowOff>64230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33" name="Ink 32">
              <a:extLst>
                <a:ext uri="{FF2B5EF4-FFF2-40B4-BE49-F238E27FC236}">
                  <a16:creationId xmlns:a16="http://schemas.microsoft.com/office/drawing/2014/main" id="{215B291E-3D19-4B74-ACE9-765C7E5FF66A}"/>
                </a:ext>
              </a:extLst>
            </xdr14:cNvPr>
            <xdr14:cNvContentPartPr/>
          </xdr14:nvContentPartPr>
          <xdr14:nvPr macro=""/>
          <xdr14:xfrm>
            <a:off x="8810280" y="1732320"/>
            <a:ext cx="779400" cy="255960"/>
          </xdr14:xfrm>
        </xdr:contentPart>
      </mc:Choice>
      <mc:Fallback xmlns="">
        <xdr:pic>
          <xdr:nvPicPr>
            <xdr:cNvPr id="33" name="Ink 32">
              <a:extLst>
                <a:ext uri="{FF2B5EF4-FFF2-40B4-BE49-F238E27FC236}">
                  <a16:creationId xmlns:a16="http://schemas.microsoft.com/office/drawing/2014/main" id="{215B291E-3D19-4B74-ACE9-765C7E5FF66A}"/>
                </a:ext>
              </a:extLst>
            </xdr:cNvPr>
            <xdr:cNvPicPr/>
          </xdr:nvPicPr>
          <xdr:blipFill>
            <a:blip xmlns:r="http://schemas.openxmlformats.org/officeDocument/2006/relationships" r:embed="rId8"/>
            <a:stretch>
              <a:fillRect/>
            </a:stretch>
          </xdr:blipFill>
          <xdr:spPr>
            <a:xfrm>
              <a:off x="8804160" y="1726200"/>
              <a:ext cx="791640" cy="268200"/>
            </a:xfrm>
            <a:prstGeom prst="rect">
              <a:avLst/>
            </a:prstGeom>
          </xdr:spPr>
        </xdr:pic>
      </mc:Fallback>
    </mc:AlternateContent>
    <xdr:clientData/>
  </xdr:twoCellAnchor>
  <xdr:twoCellAnchor editAs="oneCell">
    <xdr:from>
      <xdr:col>7</xdr:col>
      <xdr:colOff>336045</xdr:colOff>
      <xdr:row>11</xdr:row>
      <xdr:rowOff>186900</xdr:rowOff>
    </xdr:from>
    <xdr:to>
      <xdr:col>8</xdr:col>
      <xdr:colOff>39600</xdr:colOff>
      <xdr:row>13</xdr:row>
      <xdr:rowOff>12960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37" name="Ink 36">
              <a:extLst>
                <a:ext uri="{FF2B5EF4-FFF2-40B4-BE49-F238E27FC236}">
                  <a16:creationId xmlns:a16="http://schemas.microsoft.com/office/drawing/2014/main" id="{4073AB32-BABC-211E-F608-5C61B5782834}"/>
                </a:ext>
              </a:extLst>
            </xdr14:cNvPr>
            <xdr14:cNvContentPartPr/>
          </xdr14:nvContentPartPr>
          <xdr14:nvPr macro=""/>
          <xdr14:xfrm>
            <a:off x="7870320" y="2282400"/>
            <a:ext cx="398880" cy="245160"/>
          </xdr14:xfrm>
        </xdr:contentPart>
      </mc:Choice>
      <mc:Fallback xmlns="">
        <xdr:pic>
          <xdr:nvPicPr>
            <xdr:cNvPr id="37" name="Ink 36">
              <a:extLst>
                <a:ext uri="{FF2B5EF4-FFF2-40B4-BE49-F238E27FC236}">
                  <a16:creationId xmlns:a16="http://schemas.microsoft.com/office/drawing/2014/main" id="{4073AB32-BABC-211E-F608-5C61B5782834}"/>
                </a:ext>
              </a:extLst>
            </xdr:cNvPr>
            <xdr:cNvPicPr/>
          </xdr:nvPicPr>
          <xdr:blipFill>
            <a:blip xmlns:r="http://schemas.openxmlformats.org/officeDocument/2006/relationships" r:embed="rId10"/>
            <a:stretch>
              <a:fillRect/>
            </a:stretch>
          </xdr:blipFill>
          <xdr:spPr>
            <a:xfrm>
              <a:off x="7864200" y="2276280"/>
              <a:ext cx="411120" cy="257400"/>
            </a:xfrm>
            <a:prstGeom prst="rect">
              <a:avLst/>
            </a:prstGeom>
          </xdr:spPr>
        </xdr:pic>
      </mc:Fallback>
    </mc:AlternateContent>
    <xdr:clientData/>
  </xdr:twoCellAnchor>
  <xdr:twoCellAnchor editAs="oneCell">
    <xdr:from>
      <xdr:col>8</xdr:col>
      <xdr:colOff>464040</xdr:colOff>
      <xdr:row>12</xdr:row>
      <xdr:rowOff>68400</xdr:rowOff>
    </xdr:from>
    <xdr:to>
      <xdr:col>9</xdr:col>
      <xdr:colOff>526215</xdr:colOff>
      <xdr:row>13</xdr:row>
      <xdr:rowOff>140010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43" name="Ink 42">
              <a:extLst>
                <a:ext uri="{FF2B5EF4-FFF2-40B4-BE49-F238E27FC236}">
                  <a16:creationId xmlns:a16="http://schemas.microsoft.com/office/drawing/2014/main" id="{37752BAC-5200-D352-B6C8-41C3F12C135B}"/>
                </a:ext>
              </a:extLst>
            </xdr14:cNvPr>
            <xdr14:cNvContentPartPr/>
          </xdr14:nvContentPartPr>
          <xdr14:nvPr macro=""/>
          <xdr14:xfrm>
            <a:off x="8693640" y="2354400"/>
            <a:ext cx="1024200" cy="281160"/>
          </xdr14:xfrm>
        </xdr:contentPart>
      </mc:Choice>
      <mc:Fallback xmlns="">
        <xdr:pic>
          <xdr:nvPicPr>
            <xdr:cNvPr id="43" name="Ink 42">
              <a:extLst>
                <a:ext uri="{FF2B5EF4-FFF2-40B4-BE49-F238E27FC236}">
                  <a16:creationId xmlns:a16="http://schemas.microsoft.com/office/drawing/2014/main" id="{37752BAC-5200-D352-B6C8-41C3F12C135B}"/>
                </a:ext>
              </a:extLst>
            </xdr:cNvPr>
            <xdr:cNvPicPr/>
          </xdr:nvPicPr>
          <xdr:blipFill>
            <a:blip xmlns:r="http://schemas.openxmlformats.org/officeDocument/2006/relationships" r:embed="rId12"/>
            <a:stretch>
              <a:fillRect/>
            </a:stretch>
          </xdr:blipFill>
          <xdr:spPr>
            <a:xfrm>
              <a:off x="8687522" y="2348280"/>
              <a:ext cx="1036436" cy="293400"/>
            </a:xfrm>
            <a:prstGeom prst="rect">
              <a:avLst/>
            </a:prstGeom>
          </xdr:spPr>
        </xdr:pic>
      </mc:Fallback>
    </mc:AlternateContent>
    <xdr:clientData/>
  </xdr:twoCellAnchor>
  <xdr:twoCellAnchor editAs="oneCell">
    <xdr:from>
      <xdr:col>9</xdr:col>
      <xdr:colOff>521535</xdr:colOff>
      <xdr:row>13</xdr:row>
      <xdr:rowOff>21180</xdr:rowOff>
    </xdr:from>
    <xdr:to>
      <xdr:col>9</xdr:col>
      <xdr:colOff>998895</xdr:colOff>
      <xdr:row>16</xdr:row>
      <xdr:rowOff>10290</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44" name="Ink 43">
              <a:extLst>
                <a:ext uri="{FF2B5EF4-FFF2-40B4-BE49-F238E27FC236}">
                  <a16:creationId xmlns:a16="http://schemas.microsoft.com/office/drawing/2014/main" id="{28BB1D9C-B169-58CB-5123-D2F5FE51FB58}"/>
                </a:ext>
              </a:extLst>
            </xdr14:cNvPr>
            <xdr14:cNvContentPartPr/>
          </xdr14:nvContentPartPr>
          <xdr14:nvPr macro=""/>
          <xdr14:xfrm>
            <a:off x="9713160" y="2497680"/>
            <a:ext cx="477360" cy="617760"/>
          </xdr14:xfrm>
        </xdr:contentPart>
      </mc:Choice>
      <mc:Fallback xmlns="">
        <xdr:pic>
          <xdr:nvPicPr>
            <xdr:cNvPr id="44" name="Ink 43">
              <a:extLst>
                <a:ext uri="{FF2B5EF4-FFF2-40B4-BE49-F238E27FC236}">
                  <a16:creationId xmlns:a16="http://schemas.microsoft.com/office/drawing/2014/main" id="{28BB1D9C-B169-58CB-5123-D2F5FE51FB58}"/>
                </a:ext>
              </a:extLst>
            </xdr:cNvPr>
            <xdr:cNvPicPr/>
          </xdr:nvPicPr>
          <xdr:blipFill>
            <a:blip xmlns:r="http://schemas.openxmlformats.org/officeDocument/2006/relationships" r:embed="rId14"/>
            <a:stretch>
              <a:fillRect/>
            </a:stretch>
          </xdr:blipFill>
          <xdr:spPr>
            <a:xfrm>
              <a:off x="9707040" y="2491560"/>
              <a:ext cx="489600" cy="630000"/>
            </a:xfrm>
            <a:prstGeom prst="rect">
              <a:avLst/>
            </a:prstGeom>
          </xdr:spPr>
        </xdr:pic>
      </mc:Fallback>
    </mc:AlternateContent>
    <xdr:clientData/>
  </xdr:twoCellAnchor>
  <xdr:twoCellAnchor editAs="oneCell">
    <xdr:from>
      <xdr:col>3</xdr:col>
      <xdr:colOff>133110</xdr:colOff>
      <xdr:row>26</xdr:row>
      <xdr:rowOff>18960</xdr:rowOff>
    </xdr:from>
    <xdr:to>
      <xdr:col>3</xdr:col>
      <xdr:colOff>133470</xdr:colOff>
      <xdr:row>26</xdr:row>
      <xdr:rowOff>19320</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45" name="Ink 44">
              <a:extLst>
                <a:ext uri="{FF2B5EF4-FFF2-40B4-BE49-F238E27FC236}">
                  <a16:creationId xmlns:a16="http://schemas.microsoft.com/office/drawing/2014/main" id="{86F83E71-E619-C3EE-B825-65E245ED7C22}"/>
                </a:ext>
              </a:extLst>
            </xdr14:cNvPr>
            <xdr14:cNvContentPartPr/>
          </xdr14:nvContentPartPr>
          <xdr14:nvPr macro=""/>
          <xdr14:xfrm>
            <a:off x="3276360" y="4971960"/>
            <a:ext cx="360" cy="360"/>
          </xdr14:xfrm>
        </xdr:contentPart>
      </mc:Choice>
      <mc:Fallback xmlns="">
        <xdr:pic>
          <xdr:nvPicPr>
            <xdr:cNvPr id="45" name="Ink 44">
              <a:extLst>
                <a:ext uri="{FF2B5EF4-FFF2-40B4-BE49-F238E27FC236}">
                  <a16:creationId xmlns:a16="http://schemas.microsoft.com/office/drawing/2014/main" id="{86F83E71-E619-C3EE-B825-65E245ED7C22}"/>
                </a:ext>
              </a:extLst>
            </xdr:cNvPr>
            <xdr:cNvPicPr/>
          </xdr:nvPicPr>
          <xdr:blipFill>
            <a:blip xmlns:r="http://schemas.openxmlformats.org/officeDocument/2006/relationships" r:embed="rId16"/>
            <a:stretch>
              <a:fillRect/>
            </a:stretch>
          </xdr:blipFill>
          <xdr:spPr>
            <a:xfrm>
              <a:off x="3270240" y="4965840"/>
              <a:ext cx="12600" cy="12600"/>
            </a:xfrm>
            <a:prstGeom prst="rect">
              <a:avLst/>
            </a:prstGeom>
          </xdr:spPr>
        </xdr:pic>
      </mc:Fallback>
    </mc:AlternateContent>
    <xdr:clientData/>
  </xdr:twoCellAnchor>
  <xdr:twoCellAnchor editAs="oneCell">
    <xdr:from>
      <xdr:col>10</xdr:col>
      <xdr:colOff>942705</xdr:colOff>
      <xdr:row>4</xdr:row>
      <xdr:rowOff>190200</xdr:rowOff>
    </xdr:from>
    <xdr:to>
      <xdr:col>12</xdr:col>
      <xdr:colOff>449205</xdr:colOff>
      <xdr:row>5</xdr:row>
      <xdr:rowOff>447570</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54" name="Ink 53">
              <a:extLst>
                <a:ext uri="{FF2B5EF4-FFF2-40B4-BE49-F238E27FC236}">
                  <a16:creationId xmlns:a16="http://schemas.microsoft.com/office/drawing/2014/main" id="{E93D3422-2B46-4889-19A7-92479FFAD084}"/>
                </a:ext>
              </a:extLst>
            </xdr14:cNvPr>
            <xdr14:cNvContentPartPr/>
          </xdr14:nvContentPartPr>
          <xdr14:nvPr macro=""/>
          <xdr14:xfrm>
            <a:off x="11944080" y="952200"/>
            <a:ext cx="1373400" cy="466920"/>
          </xdr14:xfrm>
        </xdr:contentPart>
      </mc:Choice>
      <mc:Fallback xmlns="">
        <xdr:pic>
          <xdr:nvPicPr>
            <xdr:cNvPr id="54" name="Ink 53">
              <a:extLst>
                <a:ext uri="{FF2B5EF4-FFF2-40B4-BE49-F238E27FC236}">
                  <a16:creationId xmlns:a16="http://schemas.microsoft.com/office/drawing/2014/main" id="{E93D3422-2B46-4889-19A7-92479FFAD084}"/>
                </a:ext>
              </a:extLst>
            </xdr:cNvPr>
            <xdr:cNvPicPr/>
          </xdr:nvPicPr>
          <xdr:blipFill>
            <a:blip xmlns:r="http://schemas.openxmlformats.org/officeDocument/2006/relationships" r:embed="rId18"/>
            <a:stretch>
              <a:fillRect/>
            </a:stretch>
          </xdr:blipFill>
          <xdr:spPr>
            <a:xfrm>
              <a:off x="11937960" y="946080"/>
              <a:ext cx="1385640" cy="479160"/>
            </a:xfrm>
            <a:prstGeom prst="rect">
              <a:avLst/>
            </a:prstGeom>
          </xdr:spPr>
        </xdr:pic>
      </mc:Fallback>
    </mc:AlternateContent>
    <xdr:clientData/>
  </xdr:twoCellAnchor>
  <xdr:twoCellAnchor editAs="oneCell">
    <xdr:from>
      <xdr:col>13</xdr:col>
      <xdr:colOff>73755</xdr:colOff>
      <xdr:row>3</xdr:row>
      <xdr:rowOff>95220</xdr:rowOff>
    </xdr:from>
    <xdr:to>
      <xdr:col>15</xdr:col>
      <xdr:colOff>258855</xdr:colOff>
      <xdr:row>5</xdr:row>
      <xdr:rowOff>51435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65" name="Ink 64">
              <a:extLst>
                <a:ext uri="{FF2B5EF4-FFF2-40B4-BE49-F238E27FC236}">
                  <a16:creationId xmlns:a16="http://schemas.microsoft.com/office/drawing/2014/main" id="{34C4FD17-8F2D-04CE-D788-214FFB46AE66}"/>
                </a:ext>
              </a:extLst>
            </xdr14:cNvPr>
            <xdr14:cNvContentPartPr/>
          </xdr14:nvContentPartPr>
          <xdr14:nvPr macro=""/>
          <xdr14:xfrm>
            <a:off x="13418280" y="666720"/>
            <a:ext cx="1137600" cy="384840"/>
          </xdr14:xfrm>
        </xdr:contentPart>
      </mc:Choice>
      <mc:Fallback xmlns="">
        <xdr:pic>
          <xdr:nvPicPr>
            <xdr:cNvPr id="65" name="Ink 64">
              <a:extLst>
                <a:ext uri="{FF2B5EF4-FFF2-40B4-BE49-F238E27FC236}">
                  <a16:creationId xmlns:a16="http://schemas.microsoft.com/office/drawing/2014/main" id="{34C4FD17-8F2D-04CE-D788-214FFB46AE66}"/>
                </a:ext>
              </a:extLst>
            </xdr:cNvPr>
            <xdr:cNvPicPr/>
          </xdr:nvPicPr>
          <xdr:blipFill>
            <a:blip xmlns:r="http://schemas.openxmlformats.org/officeDocument/2006/relationships" r:embed="rId20"/>
            <a:stretch>
              <a:fillRect/>
            </a:stretch>
          </xdr:blipFill>
          <xdr:spPr>
            <a:xfrm>
              <a:off x="13412160" y="660606"/>
              <a:ext cx="1149840" cy="397069"/>
            </a:xfrm>
            <a:prstGeom prst="rect">
              <a:avLst/>
            </a:prstGeom>
          </xdr:spPr>
        </xdr:pic>
      </mc:Fallback>
    </mc:AlternateContent>
    <xdr:clientData/>
  </xdr:twoCellAnchor>
  <xdr:twoCellAnchor editAs="oneCell">
    <xdr:from>
      <xdr:col>12</xdr:col>
      <xdr:colOff>323205</xdr:colOff>
      <xdr:row>5</xdr:row>
      <xdr:rowOff>438540</xdr:rowOff>
    </xdr:from>
    <xdr:to>
      <xdr:col>13</xdr:col>
      <xdr:colOff>412155</xdr:colOff>
      <xdr:row>6</xdr:row>
      <xdr:rowOff>20715</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68" name="Ink 67">
              <a:extLst>
                <a:ext uri="{FF2B5EF4-FFF2-40B4-BE49-F238E27FC236}">
                  <a16:creationId xmlns:a16="http://schemas.microsoft.com/office/drawing/2014/main" id="{C6406072-99B0-3786-73C0-507719B115C1}"/>
                </a:ext>
              </a:extLst>
            </xdr14:cNvPr>
            <xdr14:cNvContentPartPr/>
          </xdr14:nvContentPartPr>
          <xdr14:nvPr macro=""/>
          <xdr14:xfrm>
            <a:off x="13191480" y="1391040"/>
            <a:ext cx="565200" cy="239400"/>
          </xdr14:xfrm>
        </xdr:contentPart>
      </mc:Choice>
      <mc:Fallback xmlns="">
        <xdr:pic>
          <xdr:nvPicPr>
            <xdr:cNvPr id="68" name="Ink 67">
              <a:extLst>
                <a:ext uri="{FF2B5EF4-FFF2-40B4-BE49-F238E27FC236}">
                  <a16:creationId xmlns:a16="http://schemas.microsoft.com/office/drawing/2014/main" id="{C6406072-99B0-3786-73C0-507719B115C1}"/>
                </a:ext>
              </a:extLst>
            </xdr:cNvPr>
            <xdr:cNvPicPr/>
          </xdr:nvPicPr>
          <xdr:blipFill>
            <a:blip xmlns:r="http://schemas.openxmlformats.org/officeDocument/2006/relationships" r:embed="rId22"/>
            <a:stretch>
              <a:fillRect/>
            </a:stretch>
          </xdr:blipFill>
          <xdr:spPr>
            <a:xfrm>
              <a:off x="13185360" y="1384920"/>
              <a:ext cx="577440" cy="251640"/>
            </a:xfrm>
            <a:prstGeom prst="rect">
              <a:avLst/>
            </a:prstGeom>
          </xdr:spPr>
        </xdr:pic>
      </mc:Fallback>
    </mc:AlternateContent>
    <xdr:clientData/>
  </xdr:twoCellAnchor>
  <xdr:twoCellAnchor editAs="oneCell">
    <xdr:from>
      <xdr:col>14</xdr:col>
      <xdr:colOff>6105</xdr:colOff>
      <xdr:row>5</xdr:row>
      <xdr:rowOff>338460</xdr:rowOff>
    </xdr:from>
    <xdr:to>
      <xdr:col>14</xdr:col>
      <xdr:colOff>475185</xdr:colOff>
      <xdr:row>5</xdr:row>
      <xdr:rowOff>575700</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69" name="Ink 68">
              <a:extLst>
                <a:ext uri="{FF2B5EF4-FFF2-40B4-BE49-F238E27FC236}">
                  <a16:creationId xmlns:a16="http://schemas.microsoft.com/office/drawing/2014/main" id="{E8511736-3BBB-19A4-2ECD-1C85DDE88EF8}"/>
                </a:ext>
              </a:extLst>
            </xdr14:cNvPr>
            <xdr14:cNvContentPartPr/>
          </xdr14:nvContentPartPr>
          <xdr14:nvPr macro=""/>
          <xdr14:xfrm>
            <a:off x="13826880" y="1290960"/>
            <a:ext cx="469080" cy="237240"/>
          </xdr14:xfrm>
        </xdr:contentPart>
      </mc:Choice>
      <mc:Fallback xmlns="">
        <xdr:pic>
          <xdr:nvPicPr>
            <xdr:cNvPr id="69" name="Ink 68">
              <a:extLst>
                <a:ext uri="{FF2B5EF4-FFF2-40B4-BE49-F238E27FC236}">
                  <a16:creationId xmlns:a16="http://schemas.microsoft.com/office/drawing/2014/main" id="{E8511736-3BBB-19A4-2ECD-1C85DDE88EF8}"/>
                </a:ext>
              </a:extLst>
            </xdr:cNvPr>
            <xdr:cNvPicPr/>
          </xdr:nvPicPr>
          <xdr:blipFill>
            <a:blip xmlns:r="http://schemas.openxmlformats.org/officeDocument/2006/relationships" r:embed="rId24"/>
            <a:stretch>
              <a:fillRect/>
            </a:stretch>
          </xdr:blipFill>
          <xdr:spPr>
            <a:xfrm>
              <a:off x="13820760" y="1284840"/>
              <a:ext cx="481320" cy="249480"/>
            </a:xfrm>
            <a:prstGeom prst="rect">
              <a:avLst/>
            </a:prstGeom>
          </xdr:spPr>
        </xdr:pic>
      </mc:Fallback>
    </mc:AlternateContent>
    <xdr:clientData/>
  </xdr:twoCellAnchor>
  <xdr:twoCellAnchor editAs="oneCell">
    <xdr:from>
      <xdr:col>15</xdr:col>
      <xdr:colOff>119535</xdr:colOff>
      <xdr:row>5</xdr:row>
      <xdr:rowOff>209220</xdr:rowOff>
    </xdr:from>
    <xdr:to>
      <xdr:col>16</xdr:col>
      <xdr:colOff>468045</xdr:colOff>
      <xdr:row>6</xdr:row>
      <xdr:rowOff>22875</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79" name="Ink 78">
              <a:extLst>
                <a:ext uri="{FF2B5EF4-FFF2-40B4-BE49-F238E27FC236}">
                  <a16:creationId xmlns:a16="http://schemas.microsoft.com/office/drawing/2014/main" id="{D67766CD-7BAD-356C-8B09-4F9226C131E8}"/>
                </a:ext>
              </a:extLst>
            </xdr14:cNvPr>
            <xdr14:cNvContentPartPr/>
          </xdr14:nvContentPartPr>
          <xdr14:nvPr macro=""/>
          <xdr14:xfrm>
            <a:off x="14416560" y="1161720"/>
            <a:ext cx="824760" cy="470880"/>
          </xdr14:xfrm>
        </xdr:contentPart>
      </mc:Choice>
      <mc:Fallback xmlns="">
        <xdr:pic>
          <xdr:nvPicPr>
            <xdr:cNvPr id="79" name="Ink 78">
              <a:extLst>
                <a:ext uri="{FF2B5EF4-FFF2-40B4-BE49-F238E27FC236}">
                  <a16:creationId xmlns:a16="http://schemas.microsoft.com/office/drawing/2014/main" id="{D67766CD-7BAD-356C-8B09-4F9226C131E8}"/>
                </a:ext>
              </a:extLst>
            </xdr:cNvPr>
            <xdr:cNvPicPr/>
          </xdr:nvPicPr>
          <xdr:blipFill>
            <a:blip xmlns:r="http://schemas.openxmlformats.org/officeDocument/2006/relationships" r:embed="rId26"/>
            <a:stretch>
              <a:fillRect/>
            </a:stretch>
          </xdr:blipFill>
          <xdr:spPr>
            <a:xfrm>
              <a:off x="14410440" y="1155600"/>
              <a:ext cx="837000" cy="483120"/>
            </a:xfrm>
            <a:prstGeom prst="rect">
              <a:avLst/>
            </a:prstGeom>
          </xdr:spPr>
        </xdr:pic>
      </mc:Fallback>
    </mc:AlternateContent>
    <xdr:clientData/>
  </xdr:twoCellAnchor>
  <xdr:twoCellAnchor editAs="oneCell">
    <xdr:from>
      <xdr:col>12</xdr:col>
      <xdr:colOff>276045</xdr:colOff>
      <xdr:row>7</xdr:row>
      <xdr:rowOff>97740</xdr:rowOff>
    </xdr:from>
    <xdr:to>
      <xdr:col>13</xdr:col>
      <xdr:colOff>163755</xdr:colOff>
      <xdr:row>8</xdr:row>
      <xdr:rowOff>65310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82" name="Ink 81">
              <a:extLst>
                <a:ext uri="{FF2B5EF4-FFF2-40B4-BE49-F238E27FC236}">
                  <a16:creationId xmlns:a16="http://schemas.microsoft.com/office/drawing/2014/main" id="{CA4ABAD1-5E01-FB7F-4C2E-2FF335C61992}"/>
                </a:ext>
              </a:extLst>
            </xdr14:cNvPr>
            <xdr14:cNvContentPartPr/>
          </xdr14:nvContentPartPr>
          <xdr14:nvPr macro=""/>
          <xdr14:xfrm>
            <a:off x="13144320" y="1812240"/>
            <a:ext cx="363960" cy="177120"/>
          </xdr14:xfrm>
        </xdr:contentPart>
      </mc:Choice>
      <mc:Fallback xmlns="">
        <xdr:pic>
          <xdr:nvPicPr>
            <xdr:cNvPr id="82" name="Ink 81">
              <a:extLst>
                <a:ext uri="{FF2B5EF4-FFF2-40B4-BE49-F238E27FC236}">
                  <a16:creationId xmlns:a16="http://schemas.microsoft.com/office/drawing/2014/main" id="{CA4ABAD1-5E01-FB7F-4C2E-2FF335C61992}"/>
                </a:ext>
              </a:extLst>
            </xdr:cNvPr>
            <xdr:cNvPicPr/>
          </xdr:nvPicPr>
          <xdr:blipFill>
            <a:blip xmlns:r="http://schemas.openxmlformats.org/officeDocument/2006/relationships" r:embed="rId28"/>
            <a:stretch>
              <a:fillRect/>
            </a:stretch>
          </xdr:blipFill>
          <xdr:spPr>
            <a:xfrm>
              <a:off x="13138194" y="1806120"/>
              <a:ext cx="376212" cy="189360"/>
            </a:xfrm>
            <a:prstGeom prst="rect">
              <a:avLst/>
            </a:prstGeom>
          </xdr:spPr>
        </xdr:pic>
      </mc:Fallback>
    </mc:AlternateContent>
    <xdr:clientData/>
  </xdr:twoCellAnchor>
  <xdr:twoCellAnchor editAs="oneCell">
    <xdr:from>
      <xdr:col>14</xdr:col>
      <xdr:colOff>15465</xdr:colOff>
      <xdr:row>7</xdr:row>
      <xdr:rowOff>23940</xdr:rowOff>
    </xdr:from>
    <xdr:to>
      <xdr:col>15</xdr:col>
      <xdr:colOff>401055</xdr:colOff>
      <xdr:row>8</xdr:row>
      <xdr:rowOff>75030</xdr:rowOff>
    </xdr:to>
    <mc:AlternateContent xmlns:mc="http://schemas.openxmlformats.org/markup-compatibility/2006" xmlns:xdr14="http://schemas.microsoft.com/office/excel/2010/spreadsheetDrawing">
      <mc:Choice Requires="xdr14">
        <xdr:contentPart xmlns:r="http://schemas.openxmlformats.org/officeDocument/2006/relationships" r:id="rId29">
          <xdr14:nvContentPartPr>
            <xdr14:cNvPr id="85" name="Ink 84">
              <a:extLst>
                <a:ext uri="{FF2B5EF4-FFF2-40B4-BE49-F238E27FC236}">
                  <a16:creationId xmlns:a16="http://schemas.microsoft.com/office/drawing/2014/main" id="{9CB86D67-2D91-7081-CD9D-C82897242DD0}"/>
                </a:ext>
              </a:extLst>
            </xdr14:cNvPr>
            <xdr14:cNvContentPartPr/>
          </xdr14:nvContentPartPr>
          <xdr14:nvPr macro=""/>
          <xdr14:xfrm>
            <a:off x="13836240" y="1738440"/>
            <a:ext cx="861840" cy="260640"/>
          </xdr14:xfrm>
        </xdr:contentPart>
      </mc:Choice>
      <mc:Fallback xmlns="">
        <xdr:pic>
          <xdr:nvPicPr>
            <xdr:cNvPr id="85" name="Ink 84">
              <a:extLst>
                <a:ext uri="{FF2B5EF4-FFF2-40B4-BE49-F238E27FC236}">
                  <a16:creationId xmlns:a16="http://schemas.microsoft.com/office/drawing/2014/main" id="{9CB86D67-2D91-7081-CD9D-C82897242DD0}"/>
                </a:ext>
              </a:extLst>
            </xdr:cNvPr>
            <xdr:cNvPicPr/>
          </xdr:nvPicPr>
          <xdr:blipFill>
            <a:blip xmlns:r="http://schemas.openxmlformats.org/officeDocument/2006/relationships" r:embed="rId30"/>
            <a:stretch>
              <a:fillRect/>
            </a:stretch>
          </xdr:blipFill>
          <xdr:spPr>
            <a:xfrm>
              <a:off x="13830120" y="1732320"/>
              <a:ext cx="874080" cy="272880"/>
            </a:xfrm>
            <a:prstGeom prst="rect">
              <a:avLst/>
            </a:prstGeom>
          </xdr:spPr>
        </xdr:pic>
      </mc:Fallback>
    </mc:AlternateContent>
    <xdr:clientData/>
  </xdr:twoCellAnchor>
  <xdr:twoCellAnchor editAs="oneCell">
    <xdr:from>
      <xdr:col>14</xdr:col>
      <xdr:colOff>333345</xdr:colOff>
      <xdr:row>9</xdr:row>
      <xdr:rowOff>104460</xdr:rowOff>
    </xdr:from>
    <xdr:to>
      <xdr:col>14</xdr:col>
      <xdr:colOff>363225</xdr:colOff>
      <xdr:row>10</xdr:row>
      <xdr:rowOff>169230</xdr:rowOff>
    </xdr:to>
    <mc:AlternateContent xmlns:mc="http://schemas.openxmlformats.org/markup-compatibility/2006" xmlns:xdr14="http://schemas.microsoft.com/office/excel/2010/spreadsheetDrawing">
      <mc:Choice Requires="xdr14">
        <xdr:contentPart xmlns:r="http://schemas.openxmlformats.org/officeDocument/2006/relationships" r:id="rId31">
          <xdr14:nvContentPartPr>
            <xdr14:cNvPr id="91" name="Ink 90">
              <a:extLst>
                <a:ext uri="{FF2B5EF4-FFF2-40B4-BE49-F238E27FC236}">
                  <a16:creationId xmlns:a16="http://schemas.microsoft.com/office/drawing/2014/main" id="{266AF3D0-9609-2EA3-A6DC-70B3367D5344}"/>
                </a:ext>
              </a:extLst>
            </xdr14:cNvPr>
            <xdr14:cNvContentPartPr/>
          </xdr14:nvContentPartPr>
          <xdr14:nvPr macro=""/>
          <xdr14:xfrm>
            <a:off x="14154120" y="2199960"/>
            <a:ext cx="29880" cy="274320"/>
          </xdr14:xfrm>
        </xdr:contentPart>
      </mc:Choice>
      <mc:Fallback xmlns="">
        <xdr:pic>
          <xdr:nvPicPr>
            <xdr:cNvPr id="91" name="Ink 90">
              <a:extLst>
                <a:ext uri="{FF2B5EF4-FFF2-40B4-BE49-F238E27FC236}">
                  <a16:creationId xmlns:a16="http://schemas.microsoft.com/office/drawing/2014/main" id="{266AF3D0-9609-2EA3-A6DC-70B3367D5344}"/>
                </a:ext>
              </a:extLst>
            </xdr:cNvPr>
            <xdr:cNvPicPr/>
          </xdr:nvPicPr>
          <xdr:blipFill>
            <a:blip xmlns:r="http://schemas.openxmlformats.org/officeDocument/2006/relationships" r:embed="rId32"/>
            <a:stretch>
              <a:fillRect/>
            </a:stretch>
          </xdr:blipFill>
          <xdr:spPr>
            <a:xfrm>
              <a:off x="14148000" y="2193840"/>
              <a:ext cx="42120" cy="286560"/>
            </a:xfrm>
            <a:prstGeom prst="rect">
              <a:avLst/>
            </a:prstGeom>
          </xdr:spPr>
        </xdr:pic>
      </mc:Fallback>
    </mc:AlternateContent>
    <xdr:clientData/>
  </xdr:twoCellAnchor>
  <xdr:twoCellAnchor editAs="oneCell">
    <xdr:from>
      <xdr:col>12</xdr:col>
      <xdr:colOff>274245</xdr:colOff>
      <xdr:row>9</xdr:row>
      <xdr:rowOff>82140</xdr:rowOff>
    </xdr:from>
    <xdr:to>
      <xdr:col>13</xdr:col>
      <xdr:colOff>413955</xdr:colOff>
      <xdr:row>11</xdr:row>
      <xdr:rowOff>135360</xdr:rowOff>
    </xdr:to>
    <mc:AlternateContent xmlns:mc="http://schemas.openxmlformats.org/markup-compatibility/2006" xmlns:xdr14="http://schemas.microsoft.com/office/excel/2010/spreadsheetDrawing">
      <mc:Choice Requires="xdr14">
        <xdr:contentPart xmlns:r="http://schemas.openxmlformats.org/officeDocument/2006/relationships" r:id="rId33">
          <xdr14:nvContentPartPr>
            <xdr14:cNvPr id="92" name="Ink 91">
              <a:extLst>
                <a:ext uri="{FF2B5EF4-FFF2-40B4-BE49-F238E27FC236}">
                  <a16:creationId xmlns:a16="http://schemas.microsoft.com/office/drawing/2014/main" id="{240E9B6B-12E7-24D1-9D23-EE3949CBB73C}"/>
                </a:ext>
              </a:extLst>
            </xdr14:cNvPr>
            <xdr14:cNvContentPartPr/>
          </xdr14:nvContentPartPr>
          <xdr14:nvPr macro=""/>
          <xdr14:xfrm>
            <a:off x="13142520" y="2177640"/>
            <a:ext cx="615960" cy="472320"/>
          </xdr14:xfrm>
        </xdr:contentPart>
      </mc:Choice>
      <mc:Fallback xmlns="">
        <xdr:pic>
          <xdr:nvPicPr>
            <xdr:cNvPr id="92" name="Ink 91">
              <a:extLst>
                <a:ext uri="{FF2B5EF4-FFF2-40B4-BE49-F238E27FC236}">
                  <a16:creationId xmlns:a16="http://schemas.microsoft.com/office/drawing/2014/main" id="{240E9B6B-12E7-24D1-9D23-EE3949CBB73C}"/>
                </a:ext>
              </a:extLst>
            </xdr:cNvPr>
            <xdr:cNvPicPr/>
          </xdr:nvPicPr>
          <xdr:blipFill>
            <a:blip xmlns:r="http://schemas.openxmlformats.org/officeDocument/2006/relationships" r:embed="rId34"/>
            <a:stretch>
              <a:fillRect/>
            </a:stretch>
          </xdr:blipFill>
          <xdr:spPr>
            <a:xfrm>
              <a:off x="13136400" y="2171520"/>
              <a:ext cx="628200" cy="484560"/>
            </a:xfrm>
            <a:prstGeom prst="rect">
              <a:avLst/>
            </a:prstGeom>
          </xdr:spPr>
        </xdr:pic>
      </mc:Fallback>
    </mc:AlternateContent>
    <xdr:clientData/>
  </xdr:twoCellAnchor>
  <xdr:twoCellAnchor editAs="oneCell">
    <xdr:from>
      <xdr:col>14</xdr:col>
      <xdr:colOff>474825</xdr:colOff>
      <xdr:row>9</xdr:row>
      <xdr:rowOff>131460</xdr:rowOff>
    </xdr:from>
    <xdr:to>
      <xdr:col>15</xdr:col>
      <xdr:colOff>164175</xdr:colOff>
      <xdr:row>11</xdr:row>
      <xdr:rowOff>20520</xdr:rowOff>
    </xdr:to>
    <mc:AlternateContent xmlns:mc="http://schemas.openxmlformats.org/markup-compatibility/2006" xmlns:xdr14="http://schemas.microsoft.com/office/excel/2010/spreadsheetDrawing">
      <mc:Choice Requires="xdr14">
        <xdr:contentPart xmlns:r="http://schemas.openxmlformats.org/officeDocument/2006/relationships" r:id="rId35">
          <xdr14:nvContentPartPr>
            <xdr14:cNvPr id="93" name="Ink 92">
              <a:extLst>
                <a:ext uri="{FF2B5EF4-FFF2-40B4-BE49-F238E27FC236}">
                  <a16:creationId xmlns:a16="http://schemas.microsoft.com/office/drawing/2014/main" id="{ECA24E28-8A17-571D-4A27-926CA1CB60C2}"/>
                </a:ext>
              </a:extLst>
            </xdr14:cNvPr>
            <xdr14:cNvContentPartPr/>
          </xdr14:nvContentPartPr>
          <xdr14:nvPr macro=""/>
          <xdr14:xfrm>
            <a:off x="14295600" y="2226960"/>
            <a:ext cx="165600" cy="308160"/>
          </xdr14:xfrm>
        </xdr:contentPart>
      </mc:Choice>
      <mc:Fallback xmlns="">
        <xdr:pic>
          <xdr:nvPicPr>
            <xdr:cNvPr id="93" name="Ink 92">
              <a:extLst>
                <a:ext uri="{FF2B5EF4-FFF2-40B4-BE49-F238E27FC236}">
                  <a16:creationId xmlns:a16="http://schemas.microsoft.com/office/drawing/2014/main" id="{ECA24E28-8A17-571D-4A27-926CA1CB60C2}"/>
                </a:ext>
              </a:extLst>
            </xdr:cNvPr>
            <xdr:cNvPicPr/>
          </xdr:nvPicPr>
          <xdr:blipFill>
            <a:blip xmlns:r="http://schemas.openxmlformats.org/officeDocument/2006/relationships" r:embed="rId36"/>
            <a:stretch>
              <a:fillRect/>
            </a:stretch>
          </xdr:blipFill>
          <xdr:spPr>
            <a:xfrm>
              <a:off x="14289480" y="2220840"/>
              <a:ext cx="177840" cy="320400"/>
            </a:xfrm>
            <a:prstGeom prst="rect">
              <a:avLst/>
            </a:prstGeom>
          </xdr:spPr>
        </xdr:pic>
      </mc:Fallback>
    </mc:AlternateContent>
    <xdr:clientData/>
  </xdr:twoCellAnchor>
  <xdr:twoCellAnchor editAs="oneCell">
    <xdr:from>
      <xdr:col>16</xdr:col>
      <xdr:colOff>23805</xdr:colOff>
      <xdr:row>9</xdr:row>
      <xdr:rowOff>149100</xdr:rowOff>
    </xdr:from>
    <xdr:to>
      <xdr:col>16</xdr:col>
      <xdr:colOff>145125</xdr:colOff>
      <xdr:row>10</xdr:row>
      <xdr:rowOff>173550</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94" name="Ink 93">
              <a:extLst>
                <a:ext uri="{FF2B5EF4-FFF2-40B4-BE49-F238E27FC236}">
                  <a16:creationId xmlns:a16="http://schemas.microsoft.com/office/drawing/2014/main" id="{18B78F41-7FE5-F8E0-BB6D-AB37BEEA8A18}"/>
                </a:ext>
              </a:extLst>
            </xdr14:cNvPr>
            <xdr14:cNvContentPartPr/>
          </xdr14:nvContentPartPr>
          <xdr14:nvPr macro=""/>
          <xdr14:xfrm>
            <a:off x="14797080" y="2244600"/>
            <a:ext cx="121320" cy="234000"/>
          </xdr14:xfrm>
        </xdr:contentPart>
      </mc:Choice>
      <mc:Fallback xmlns="">
        <xdr:pic>
          <xdr:nvPicPr>
            <xdr:cNvPr id="94" name="Ink 93">
              <a:extLst>
                <a:ext uri="{FF2B5EF4-FFF2-40B4-BE49-F238E27FC236}">
                  <a16:creationId xmlns:a16="http://schemas.microsoft.com/office/drawing/2014/main" id="{18B78F41-7FE5-F8E0-BB6D-AB37BEEA8A18}"/>
                </a:ext>
              </a:extLst>
            </xdr:cNvPr>
            <xdr:cNvPicPr/>
          </xdr:nvPicPr>
          <xdr:blipFill>
            <a:blip xmlns:r="http://schemas.openxmlformats.org/officeDocument/2006/relationships" r:embed="rId38"/>
            <a:stretch>
              <a:fillRect/>
            </a:stretch>
          </xdr:blipFill>
          <xdr:spPr>
            <a:xfrm>
              <a:off x="14790960" y="2238480"/>
              <a:ext cx="133560" cy="246240"/>
            </a:xfrm>
            <a:prstGeom prst="rect">
              <a:avLst/>
            </a:prstGeom>
          </xdr:spPr>
        </xdr:pic>
      </mc:Fallback>
    </mc:AlternateContent>
    <xdr:clientData/>
  </xdr:twoCellAnchor>
  <xdr:twoCellAnchor editAs="oneCell">
    <xdr:from>
      <xdr:col>16</xdr:col>
      <xdr:colOff>253845</xdr:colOff>
      <xdr:row>9</xdr:row>
      <xdr:rowOff>165660</xdr:rowOff>
    </xdr:from>
    <xdr:to>
      <xdr:col>18</xdr:col>
      <xdr:colOff>18825</xdr:colOff>
      <xdr:row>11</xdr:row>
      <xdr:rowOff>108000</xdr:rowOff>
    </xdr:to>
    <mc:AlternateContent xmlns:mc="http://schemas.openxmlformats.org/markup-compatibility/2006" xmlns:xdr14="http://schemas.microsoft.com/office/excel/2010/spreadsheetDrawing">
      <mc:Choice Requires="xdr14">
        <xdr:contentPart xmlns:r="http://schemas.openxmlformats.org/officeDocument/2006/relationships" r:id="rId39">
          <xdr14:nvContentPartPr>
            <xdr14:cNvPr id="95" name="Ink 94">
              <a:extLst>
                <a:ext uri="{FF2B5EF4-FFF2-40B4-BE49-F238E27FC236}">
                  <a16:creationId xmlns:a16="http://schemas.microsoft.com/office/drawing/2014/main" id="{9CA82E91-D8D3-D205-02D6-76638CD01EAC}"/>
                </a:ext>
              </a:extLst>
            </xdr14:cNvPr>
            <xdr14:cNvContentPartPr/>
          </xdr14:nvContentPartPr>
          <xdr14:nvPr macro=""/>
          <xdr14:xfrm>
            <a:off x="15027120" y="2261160"/>
            <a:ext cx="717480" cy="361440"/>
          </xdr14:xfrm>
        </xdr:contentPart>
      </mc:Choice>
      <mc:Fallback xmlns="">
        <xdr:pic>
          <xdr:nvPicPr>
            <xdr:cNvPr id="95" name="Ink 94">
              <a:extLst>
                <a:ext uri="{FF2B5EF4-FFF2-40B4-BE49-F238E27FC236}">
                  <a16:creationId xmlns:a16="http://schemas.microsoft.com/office/drawing/2014/main" id="{9CA82E91-D8D3-D205-02D6-76638CD01EAC}"/>
                </a:ext>
              </a:extLst>
            </xdr:cNvPr>
            <xdr:cNvPicPr/>
          </xdr:nvPicPr>
          <xdr:blipFill>
            <a:blip xmlns:r="http://schemas.openxmlformats.org/officeDocument/2006/relationships" r:embed="rId40"/>
            <a:stretch>
              <a:fillRect/>
            </a:stretch>
          </xdr:blipFill>
          <xdr:spPr>
            <a:xfrm>
              <a:off x="15021000" y="2255040"/>
              <a:ext cx="729720" cy="37368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295200</xdr:colOff>
      <xdr:row>4</xdr:row>
      <xdr:rowOff>180675</xdr:rowOff>
    </xdr:from>
    <xdr:to>
      <xdr:col>0</xdr:col>
      <xdr:colOff>894240</xdr:colOff>
      <xdr:row>6</xdr:row>
      <xdr:rowOff>152535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8" name="Ink 7">
              <a:extLst>
                <a:ext uri="{FF2B5EF4-FFF2-40B4-BE49-F238E27FC236}">
                  <a16:creationId xmlns:a16="http://schemas.microsoft.com/office/drawing/2014/main" id="{0263CB5D-B512-84E5-D12C-1336CC3EFB08}"/>
                </a:ext>
              </a:extLst>
            </xdr14:cNvPr>
            <xdr14:cNvContentPartPr/>
          </xdr14:nvContentPartPr>
          <xdr14:nvPr macro=""/>
          <xdr14:xfrm>
            <a:off x="295200" y="952200"/>
            <a:ext cx="599040" cy="390960"/>
          </xdr14:xfrm>
        </xdr:contentPart>
      </mc:Choice>
      <mc:Fallback xmlns="">
        <xdr:pic>
          <xdr:nvPicPr>
            <xdr:cNvPr id="8" name="Ink 7">
              <a:extLst>
                <a:ext uri="{FF2B5EF4-FFF2-40B4-BE49-F238E27FC236}">
                  <a16:creationId xmlns:a16="http://schemas.microsoft.com/office/drawing/2014/main" id="{0263CB5D-B512-84E5-D12C-1336CC3EFB08}"/>
                </a:ext>
              </a:extLst>
            </xdr:cNvPr>
            <xdr:cNvPicPr/>
          </xdr:nvPicPr>
          <xdr:blipFill>
            <a:blip xmlns:r="http://schemas.openxmlformats.org/officeDocument/2006/relationships" r:embed="rId2"/>
            <a:stretch>
              <a:fillRect/>
            </a:stretch>
          </xdr:blipFill>
          <xdr:spPr>
            <a:xfrm>
              <a:off x="289084" y="946080"/>
              <a:ext cx="611273" cy="403200"/>
            </a:xfrm>
            <a:prstGeom prst="rect">
              <a:avLst/>
            </a:prstGeom>
          </xdr:spPr>
        </xdr:pic>
      </mc:Fallback>
    </mc:AlternateContent>
    <xdr:clientData/>
  </xdr:twoCellAnchor>
  <xdr:twoCellAnchor editAs="oneCell">
    <xdr:from>
      <xdr:col>1</xdr:col>
      <xdr:colOff>246495</xdr:colOff>
      <xdr:row>3</xdr:row>
      <xdr:rowOff>153375</xdr:rowOff>
    </xdr:from>
    <xdr:to>
      <xdr:col>1</xdr:col>
      <xdr:colOff>625215</xdr:colOff>
      <xdr:row>4</xdr:row>
      <xdr:rowOff>184665</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3" name="Ink 12">
              <a:extLst>
                <a:ext uri="{FF2B5EF4-FFF2-40B4-BE49-F238E27FC236}">
                  <a16:creationId xmlns:a16="http://schemas.microsoft.com/office/drawing/2014/main" id="{AD31DCAB-23C4-7A4A-C279-D8D4EDDDC3C9}"/>
                </a:ext>
              </a:extLst>
            </xdr14:cNvPr>
            <xdr14:cNvContentPartPr/>
          </xdr14:nvContentPartPr>
          <xdr14:nvPr macro=""/>
          <xdr14:xfrm>
            <a:off x="1208520" y="734400"/>
            <a:ext cx="378720" cy="240840"/>
          </xdr14:xfrm>
        </xdr:contentPart>
      </mc:Choice>
      <mc:Fallback xmlns="">
        <xdr:pic>
          <xdr:nvPicPr>
            <xdr:cNvPr id="13" name="Ink 12">
              <a:extLst>
                <a:ext uri="{FF2B5EF4-FFF2-40B4-BE49-F238E27FC236}">
                  <a16:creationId xmlns:a16="http://schemas.microsoft.com/office/drawing/2014/main" id="{AD31DCAB-23C4-7A4A-C279-D8D4EDDDC3C9}"/>
                </a:ext>
              </a:extLst>
            </xdr:cNvPr>
            <xdr:cNvPicPr/>
          </xdr:nvPicPr>
          <xdr:blipFill>
            <a:blip xmlns:r="http://schemas.openxmlformats.org/officeDocument/2006/relationships" r:embed="rId4"/>
            <a:stretch>
              <a:fillRect/>
            </a:stretch>
          </xdr:blipFill>
          <xdr:spPr>
            <a:xfrm>
              <a:off x="1202400" y="728271"/>
              <a:ext cx="390960" cy="253098"/>
            </a:xfrm>
            <a:prstGeom prst="rect">
              <a:avLst/>
            </a:prstGeom>
          </xdr:spPr>
        </xdr:pic>
      </mc:Fallback>
    </mc:AlternateContent>
    <xdr:clientData/>
  </xdr:twoCellAnchor>
  <xdr:twoCellAnchor editAs="oneCell">
    <xdr:from>
      <xdr:col>1</xdr:col>
      <xdr:colOff>877575</xdr:colOff>
      <xdr:row>3</xdr:row>
      <xdr:rowOff>66615</xdr:rowOff>
    </xdr:from>
    <xdr:to>
      <xdr:col>1</xdr:col>
      <xdr:colOff>1053255</xdr:colOff>
      <xdr:row>5</xdr:row>
      <xdr:rowOff>675</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4" name="Ink 13">
              <a:extLst>
                <a:ext uri="{FF2B5EF4-FFF2-40B4-BE49-F238E27FC236}">
                  <a16:creationId xmlns:a16="http://schemas.microsoft.com/office/drawing/2014/main" id="{82DEC119-4081-C984-0BBB-7BBD93BDEBE0}"/>
                </a:ext>
              </a:extLst>
            </xdr14:cNvPr>
            <xdr14:cNvContentPartPr/>
          </xdr14:nvContentPartPr>
          <xdr14:nvPr macro=""/>
          <xdr14:xfrm>
            <a:off x="1839600" y="647640"/>
            <a:ext cx="175680" cy="353160"/>
          </xdr14:xfrm>
        </xdr:contentPart>
      </mc:Choice>
      <mc:Fallback xmlns="">
        <xdr:pic>
          <xdr:nvPicPr>
            <xdr:cNvPr id="14" name="Ink 13">
              <a:extLst>
                <a:ext uri="{FF2B5EF4-FFF2-40B4-BE49-F238E27FC236}">
                  <a16:creationId xmlns:a16="http://schemas.microsoft.com/office/drawing/2014/main" id="{82DEC119-4081-C984-0BBB-7BBD93BDEBE0}"/>
                </a:ext>
              </a:extLst>
            </xdr:cNvPr>
            <xdr:cNvPicPr/>
          </xdr:nvPicPr>
          <xdr:blipFill>
            <a:blip xmlns:r="http://schemas.openxmlformats.org/officeDocument/2006/relationships" r:embed="rId6"/>
            <a:stretch>
              <a:fillRect/>
            </a:stretch>
          </xdr:blipFill>
          <xdr:spPr>
            <a:xfrm>
              <a:off x="1833480" y="641520"/>
              <a:ext cx="187920" cy="365400"/>
            </a:xfrm>
            <a:prstGeom prst="rect">
              <a:avLst/>
            </a:prstGeom>
          </xdr:spPr>
        </xdr:pic>
      </mc:Fallback>
    </mc:AlternateContent>
    <xdr:clientData/>
  </xdr:twoCellAnchor>
  <xdr:twoCellAnchor editAs="oneCell">
    <xdr:from>
      <xdr:col>1</xdr:col>
      <xdr:colOff>1016175</xdr:colOff>
      <xdr:row>2</xdr:row>
      <xdr:rowOff>94035</xdr:rowOff>
    </xdr:from>
    <xdr:to>
      <xdr:col>2</xdr:col>
      <xdr:colOff>224220</xdr:colOff>
      <xdr:row>4</xdr:row>
      <xdr:rowOff>105855</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27" name="Ink 26">
              <a:extLst>
                <a:ext uri="{FF2B5EF4-FFF2-40B4-BE49-F238E27FC236}">
                  <a16:creationId xmlns:a16="http://schemas.microsoft.com/office/drawing/2014/main" id="{A43EBF03-4BFF-6E18-FC8E-25C4DD67ADF7}"/>
                </a:ext>
              </a:extLst>
            </xdr14:cNvPr>
            <xdr14:cNvContentPartPr/>
          </xdr14:nvContentPartPr>
          <xdr14:nvPr macro=""/>
          <xdr14:xfrm>
            <a:off x="1978200" y="484560"/>
            <a:ext cx="951120" cy="430920"/>
          </xdr14:xfrm>
        </xdr:contentPart>
      </mc:Choice>
      <mc:Fallback xmlns="">
        <xdr:pic>
          <xdr:nvPicPr>
            <xdr:cNvPr id="27" name="Ink 26">
              <a:extLst>
                <a:ext uri="{FF2B5EF4-FFF2-40B4-BE49-F238E27FC236}">
                  <a16:creationId xmlns:a16="http://schemas.microsoft.com/office/drawing/2014/main" id="{A43EBF03-4BFF-6E18-FC8E-25C4DD67ADF7}"/>
                </a:ext>
              </a:extLst>
            </xdr:cNvPr>
            <xdr:cNvPicPr/>
          </xdr:nvPicPr>
          <xdr:blipFill>
            <a:blip xmlns:r="http://schemas.openxmlformats.org/officeDocument/2006/relationships" r:embed="rId8"/>
            <a:stretch>
              <a:fillRect/>
            </a:stretch>
          </xdr:blipFill>
          <xdr:spPr>
            <a:xfrm>
              <a:off x="1972080" y="478435"/>
              <a:ext cx="963360" cy="443170"/>
            </a:xfrm>
            <a:prstGeom prst="rect">
              <a:avLst/>
            </a:prstGeom>
          </xdr:spPr>
        </xdr:pic>
      </mc:Fallback>
    </mc:AlternateContent>
    <xdr:clientData/>
  </xdr:twoCellAnchor>
  <xdr:twoCellAnchor editAs="oneCell">
    <xdr:from>
      <xdr:col>1</xdr:col>
      <xdr:colOff>1733295</xdr:colOff>
      <xdr:row>4</xdr:row>
      <xdr:rowOff>165915</xdr:rowOff>
    </xdr:from>
    <xdr:to>
      <xdr:col>3</xdr:col>
      <xdr:colOff>456060</xdr:colOff>
      <xdr:row>6</xdr:row>
      <xdr:rowOff>79815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35" name="Ink 34">
              <a:extLst>
                <a:ext uri="{FF2B5EF4-FFF2-40B4-BE49-F238E27FC236}">
                  <a16:creationId xmlns:a16="http://schemas.microsoft.com/office/drawing/2014/main" id="{E17CA976-8B45-7B6C-6AC2-C47BAF55A409}"/>
                </a:ext>
              </a:extLst>
            </xdr14:cNvPr>
            <xdr14:cNvContentPartPr/>
          </xdr14:nvContentPartPr>
          <xdr14:nvPr macro=""/>
          <xdr14:xfrm>
            <a:off x="2695320" y="937440"/>
            <a:ext cx="1151640" cy="333000"/>
          </xdr14:xfrm>
        </xdr:contentPart>
      </mc:Choice>
      <mc:Fallback xmlns="">
        <xdr:pic>
          <xdr:nvPicPr>
            <xdr:cNvPr id="35" name="Ink 34">
              <a:extLst>
                <a:ext uri="{FF2B5EF4-FFF2-40B4-BE49-F238E27FC236}">
                  <a16:creationId xmlns:a16="http://schemas.microsoft.com/office/drawing/2014/main" id="{E17CA976-8B45-7B6C-6AC2-C47BAF55A409}"/>
                </a:ext>
              </a:extLst>
            </xdr:cNvPr>
            <xdr:cNvPicPr/>
          </xdr:nvPicPr>
          <xdr:blipFill>
            <a:blip xmlns:r="http://schemas.openxmlformats.org/officeDocument/2006/relationships" r:embed="rId10"/>
            <a:stretch>
              <a:fillRect/>
            </a:stretch>
          </xdr:blipFill>
          <xdr:spPr>
            <a:xfrm>
              <a:off x="2689198" y="931327"/>
              <a:ext cx="1163884" cy="345227"/>
            </a:xfrm>
            <a:prstGeom prst="rect">
              <a:avLst/>
            </a:prstGeom>
          </xdr:spPr>
        </xdr:pic>
      </mc:Fallback>
    </mc:AlternateContent>
    <xdr:clientData/>
  </xdr:twoCellAnchor>
  <xdr:twoCellAnchor editAs="oneCell">
    <xdr:from>
      <xdr:col>3</xdr:col>
      <xdr:colOff>477660</xdr:colOff>
      <xdr:row>3</xdr:row>
      <xdr:rowOff>123495</xdr:rowOff>
    </xdr:from>
    <xdr:to>
      <xdr:col>5</xdr:col>
      <xdr:colOff>7500</xdr:colOff>
      <xdr:row>5</xdr:row>
      <xdr:rowOff>134235</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41" name="Ink 40">
              <a:extLst>
                <a:ext uri="{FF2B5EF4-FFF2-40B4-BE49-F238E27FC236}">
                  <a16:creationId xmlns:a16="http://schemas.microsoft.com/office/drawing/2014/main" id="{A5F52D19-BEED-2857-686F-37CD85A7A0AB}"/>
                </a:ext>
              </a:extLst>
            </xdr14:cNvPr>
            <xdr14:cNvContentPartPr/>
          </xdr14:nvContentPartPr>
          <xdr14:nvPr macro=""/>
          <xdr14:xfrm>
            <a:off x="3868560" y="704520"/>
            <a:ext cx="901440" cy="429840"/>
          </xdr14:xfrm>
        </xdr:contentPart>
      </mc:Choice>
      <mc:Fallback xmlns="">
        <xdr:pic>
          <xdr:nvPicPr>
            <xdr:cNvPr id="41" name="Ink 40">
              <a:extLst>
                <a:ext uri="{FF2B5EF4-FFF2-40B4-BE49-F238E27FC236}">
                  <a16:creationId xmlns:a16="http://schemas.microsoft.com/office/drawing/2014/main" id="{A5F52D19-BEED-2857-686F-37CD85A7A0AB}"/>
                </a:ext>
              </a:extLst>
            </xdr:cNvPr>
            <xdr:cNvPicPr/>
          </xdr:nvPicPr>
          <xdr:blipFill>
            <a:blip xmlns:r="http://schemas.openxmlformats.org/officeDocument/2006/relationships" r:embed="rId12"/>
            <a:stretch>
              <a:fillRect/>
            </a:stretch>
          </xdr:blipFill>
          <xdr:spPr>
            <a:xfrm>
              <a:off x="3862440" y="698395"/>
              <a:ext cx="913680" cy="442090"/>
            </a:xfrm>
            <a:prstGeom prst="rect">
              <a:avLst/>
            </a:prstGeom>
          </xdr:spPr>
        </xdr:pic>
      </mc:Fallback>
    </mc:AlternateContent>
    <xdr:clientData/>
  </xdr:twoCellAnchor>
  <xdr:twoCellAnchor editAs="oneCell">
    <xdr:from>
      <xdr:col>5</xdr:col>
      <xdr:colOff>46713</xdr:colOff>
      <xdr:row>4</xdr:row>
      <xdr:rowOff>3888</xdr:rowOff>
    </xdr:from>
    <xdr:to>
      <xdr:col>5</xdr:col>
      <xdr:colOff>265287</xdr:colOff>
      <xdr:row>5</xdr:row>
      <xdr:rowOff>12912</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43" name="Ink 42">
              <a:extLst>
                <a:ext uri="{FF2B5EF4-FFF2-40B4-BE49-F238E27FC236}">
                  <a16:creationId xmlns:a16="http://schemas.microsoft.com/office/drawing/2014/main" id="{D4306FDD-D8C5-E00A-73EC-73F6C6EBC580}"/>
                </a:ext>
              </a:extLst>
            </xdr14:cNvPr>
            <xdr14:cNvContentPartPr/>
          </xdr14:nvContentPartPr>
          <xdr14:nvPr macro=""/>
          <xdr14:xfrm rot="5400000">
            <a:off x="4809213" y="775413"/>
            <a:ext cx="218574" cy="218574"/>
          </xdr14:xfrm>
        </xdr:contentPart>
      </mc:Choice>
      <mc:Fallback xmlns="">
        <xdr:pic>
          <xdr:nvPicPr>
            <xdr:cNvPr id="43" name="Ink 42">
              <a:extLst>
                <a:ext uri="{FF2B5EF4-FFF2-40B4-BE49-F238E27FC236}">
                  <a16:creationId xmlns:a16="http://schemas.microsoft.com/office/drawing/2014/main" id="{D4306FDD-D8C5-E00A-73EC-73F6C6EBC580}"/>
                </a:ext>
              </a:extLst>
            </xdr:cNvPr>
            <xdr:cNvPicPr/>
          </xdr:nvPicPr>
          <xdr:blipFill>
            <a:blip xmlns:r="http://schemas.openxmlformats.org/officeDocument/2006/relationships" r:embed="rId14"/>
            <a:stretch>
              <a:fillRect/>
            </a:stretch>
          </xdr:blipFill>
          <xdr:spPr>
            <a:xfrm rot="5400000">
              <a:off x="4803091" y="769291"/>
              <a:ext cx="230817" cy="230817"/>
            </a:xfrm>
            <a:prstGeom prst="rect">
              <a:avLst/>
            </a:prstGeom>
          </xdr:spPr>
        </xdr:pic>
      </mc:Fallback>
    </mc:AlternateContent>
    <xdr:clientData/>
  </xdr:twoCellAnchor>
  <xdr:twoCellAnchor editAs="oneCell">
    <xdr:from>
      <xdr:col>5</xdr:col>
      <xdr:colOff>256980</xdr:colOff>
      <xdr:row>3</xdr:row>
      <xdr:rowOff>72375</xdr:rowOff>
    </xdr:from>
    <xdr:to>
      <xdr:col>6</xdr:col>
      <xdr:colOff>288660</xdr:colOff>
      <xdr:row>5</xdr:row>
      <xdr:rowOff>97875</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52" name="Ink 51">
              <a:extLst>
                <a:ext uri="{FF2B5EF4-FFF2-40B4-BE49-F238E27FC236}">
                  <a16:creationId xmlns:a16="http://schemas.microsoft.com/office/drawing/2014/main" id="{E1CEAA1B-0173-2DF8-D2A0-97E5C439635B}"/>
                </a:ext>
              </a:extLst>
            </xdr14:cNvPr>
            <xdr14:cNvContentPartPr/>
          </xdr14:nvContentPartPr>
          <xdr14:nvPr macro=""/>
          <xdr14:xfrm>
            <a:off x="5019480" y="653400"/>
            <a:ext cx="717480" cy="444600"/>
          </xdr14:xfrm>
        </xdr:contentPart>
      </mc:Choice>
      <mc:Fallback xmlns="">
        <xdr:pic>
          <xdr:nvPicPr>
            <xdr:cNvPr id="52" name="Ink 51">
              <a:extLst>
                <a:ext uri="{FF2B5EF4-FFF2-40B4-BE49-F238E27FC236}">
                  <a16:creationId xmlns:a16="http://schemas.microsoft.com/office/drawing/2014/main" id="{E1CEAA1B-0173-2DF8-D2A0-97E5C439635B}"/>
                </a:ext>
              </a:extLst>
            </xdr:cNvPr>
            <xdr:cNvPicPr/>
          </xdr:nvPicPr>
          <xdr:blipFill>
            <a:blip xmlns:r="http://schemas.openxmlformats.org/officeDocument/2006/relationships" r:embed="rId16"/>
            <a:stretch>
              <a:fillRect/>
            </a:stretch>
          </xdr:blipFill>
          <xdr:spPr>
            <a:xfrm>
              <a:off x="5013360" y="647285"/>
              <a:ext cx="729720" cy="456830"/>
            </a:xfrm>
            <a:prstGeom prst="rect">
              <a:avLst/>
            </a:prstGeom>
          </xdr:spPr>
        </xdr:pic>
      </mc:Fallback>
    </mc:AlternateContent>
    <xdr:clientData/>
  </xdr:twoCellAnchor>
  <xdr:twoCellAnchor editAs="oneCell">
    <xdr:from>
      <xdr:col>2</xdr:col>
      <xdr:colOff>180660</xdr:colOff>
      <xdr:row>7</xdr:row>
      <xdr:rowOff>9495</xdr:rowOff>
    </xdr:from>
    <xdr:to>
      <xdr:col>3</xdr:col>
      <xdr:colOff>667020</xdr:colOff>
      <xdr:row>9</xdr:row>
      <xdr:rowOff>2235</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61" name="Ink 60">
              <a:extLst>
                <a:ext uri="{FF2B5EF4-FFF2-40B4-BE49-F238E27FC236}">
                  <a16:creationId xmlns:a16="http://schemas.microsoft.com/office/drawing/2014/main" id="{D6100520-9DD1-B886-7962-311F4A59820B}"/>
                </a:ext>
              </a:extLst>
            </xdr14:cNvPr>
            <xdr14:cNvContentPartPr/>
          </xdr14:nvContentPartPr>
          <xdr14:nvPr macro=""/>
          <xdr14:xfrm>
            <a:off x="2885760" y="1352520"/>
            <a:ext cx="1172160" cy="411840"/>
          </xdr14:xfrm>
        </xdr:contentPart>
      </mc:Choice>
      <mc:Fallback xmlns="">
        <xdr:pic>
          <xdr:nvPicPr>
            <xdr:cNvPr id="61" name="Ink 60">
              <a:extLst>
                <a:ext uri="{FF2B5EF4-FFF2-40B4-BE49-F238E27FC236}">
                  <a16:creationId xmlns:a16="http://schemas.microsoft.com/office/drawing/2014/main" id="{D6100520-9DD1-B886-7962-311F4A59820B}"/>
                </a:ext>
              </a:extLst>
            </xdr:cNvPr>
            <xdr:cNvPicPr/>
          </xdr:nvPicPr>
          <xdr:blipFill>
            <a:blip xmlns:r="http://schemas.openxmlformats.org/officeDocument/2006/relationships" r:embed="rId18"/>
            <a:stretch>
              <a:fillRect/>
            </a:stretch>
          </xdr:blipFill>
          <xdr:spPr>
            <a:xfrm>
              <a:off x="2879638" y="1346405"/>
              <a:ext cx="1184404" cy="424069"/>
            </a:xfrm>
            <a:prstGeom prst="rect">
              <a:avLst/>
            </a:prstGeom>
          </xdr:spPr>
        </xdr:pic>
      </mc:Fallback>
    </mc:AlternateContent>
    <xdr:clientData/>
  </xdr:twoCellAnchor>
  <xdr:twoCellAnchor editAs="oneCell">
    <xdr:from>
      <xdr:col>2</xdr:col>
      <xdr:colOff>85620</xdr:colOff>
      <xdr:row>10</xdr:row>
      <xdr:rowOff>58635</xdr:rowOff>
    </xdr:from>
    <xdr:to>
      <xdr:col>3</xdr:col>
      <xdr:colOff>658740</xdr:colOff>
      <xdr:row>13</xdr:row>
      <xdr:rowOff>98145</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73" name="Ink 72">
              <a:extLst>
                <a:ext uri="{FF2B5EF4-FFF2-40B4-BE49-F238E27FC236}">
                  <a16:creationId xmlns:a16="http://schemas.microsoft.com/office/drawing/2014/main" id="{92900941-303B-4811-AFCB-886E5A7F27AC}"/>
                </a:ext>
              </a:extLst>
            </xdr14:cNvPr>
            <xdr14:cNvContentPartPr/>
          </xdr14:nvContentPartPr>
          <xdr14:nvPr macro=""/>
          <xdr14:xfrm>
            <a:off x="2790720" y="1973160"/>
            <a:ext cx="1258920" cy="668160"/>
          </xdr14:xfrm>
        </xdr:contentPart>
      </mc:Choice>
      <mc:Fallback xmlns="">
        <xdr:pic>
          <xdr:nvPicPr>
            <xdr:cNvPr id="73" name="Ink 72">
              <a:extLst>
                <a:ext uri="{FF2B5EF4-FFF2-40B4-BE49-F238E27FC236}">
                  <a16:creationId xmlns:a16="http://schemas.microsoft.com/office/drawing/2014/main" id="{92900941-303B-4811-AFCB-886E5A7F27AC}"/>
                </a:ext>
              </a:extLst>
            </xdr:cNvPr>
            <xdr:cNvPicPr/>
          </xdr:nvPicPr>
          <xdr:blipFill>
            <a:blip xmlns:r="http://schemas.openxmlformats.org/officeDocument/2006/relationships" r:embed="rId20"/>
            <a:stretch>
              <a:fillRect/>
            </a:stretch>
          </xdr:blipFill>
          <xdr:spPr>
            <a:xfrm>
              <a:off x="2784602" y="1967040"/>
              <a:ext cx="1271157" cy="680400"/>
            </a:xfrm>
            <a:prstGeom prst="rect">
              <a:avLst/>
            </a:prstGeom>
          </xdr:spPr>
        </xdr:pic>
      </mc:Fallback>
    </mc:AlternateContent>
    <xdr:clientData/>
  </xdr:twoCellAnchor>
  <xdr:twoCellAnchor editAs="oneCell">
    <xdr:from>
      <xdr:col>10</xdr:col>
      <xdr:colOff>123825</xdr:colOff>
      <xdr:row>11</xdr:row>
      <xdr:rowOff>57150</xdr:rowOff>
    </xdr:from>
    <xdr:to>
      <xdr:col>12</xdr:col>
      <xdr:colOff>581025</xdr:colOff>
      <xdr:row>24</xdr:row>
      <xdr:rowOff>0</xdr:rowOff>
    </xdr:to>
    <mc:AlternateContent xmlns:mc="http://schemas.openxmlformats.org/markup-compatibility/2006" xmlns:a14="http://schemas.microsoft.com/office/drawing/2010/main">
      <mc:Choice Requires="a14">
        <xdr:graphicFrame macro="">
          <xdr:nvGraphicFramePr>
            <xdr:cNvPr id="74" name="Representative">
              <a:extLst>
                <a:ext uri="{FF2B5EF4-FFF2-40B4-BE49-F238E27FC236}">
                  <a16:creationId xmlns:a16="http://schemas.microsoft.com/office/drawing/2014/main" id="{97ABA5C8-AF9B-FA67-69E0-3A6F51FF8FE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9648825" y="21621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247260</xdr:colOff>
      <xdr:row>3</xdr:row>
      <xdr:rowOff>161655</xdr:rowOff>
    </xdr:from>
    <xdr:to>
      <xdr:col>9</xdr:col>
      <xdr:colOff>362055</xdr:colOff>
      <xdr:row>7</xdr:row>
      <xdr:rowOff>193935</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83" name="Ink 82">
              <a:extLst>
                <a:ext uri="{FF2B5EF4-FFF2-40B4-BE49-F238E27FC236}">
                  <a16:creationId xmlns:a16="http://schemas.microsoft.com/office/drawing/2014/main" id="{BDC6669F-DA55-96F3-EF2A-DE4249787FB7}"/>
                </a:ext>
              </a:extLst>
            </xdr14:cNvPr>
            <xdr14:cNvContentPartPr/>
          </xdr14:nvContentPartPr>
          <xdr14:nvPr macro=""/>
          <xdr14:xfrm>
            <a:off x="7067160" y="742680"/>
            <a:ext cx="1114920" cy="870480"/>
          </xdr14:xfrm>
        </xdr:contentPart>
      </mc:Choice>
      <mc:Fallback xmlns="">
        <xdr:pic>
          <xdr:nvPicPr>
            <xdr:cNvPr id="83" name="Ink 82">
              <a:extLst>
                <a:ext uri="{FF2B5EF4-FFF2-40B4-BE49-F238E27FC236}">
                  <a16:creationId xmlns:a16="http://schemas.microsoft.com/office/drawing/2014/main" id="{BDC6669F-DA55-96F3-EF2A-DE4249787FB7}"/>
                </a:ext>
              </a:extLst>
            </xdr:cNvPr>
            <xdr:cNvPicPr/>
          </xdr:nvPicPr>
          <xdr:blipFill>
            <a:blip xmlns:r="http://schemas.openxmlformats.org/officeDocument/2006/relationships" r:embed="rId22"/>
            <a:stretch>
              <a:fillRect/>
            </a:stretch>
          </xdr:blipFill>
          <xdr:spPr>
            <a:xfrm>
              <a:off x="7061040" y="736560"/>
              <a:ext cx="1127160" cy="882720"/>
            </a:xfrm>
            <a:prstGeom prst="rect">
              <a:avLst/>
            </a:prstGeom>
          </xdr:spPr>
        </xdr:pic>
      </mc:Fallback>
    </mc:AlternateContent>
    <xdr:clientData/>
  </xdr:twoCellAnchor>
  <xdr:twoCellAnchor editAs="oneCell">
    <xdr:from>
      <xdr:col>9</xdr:col>
      <xdr:colOff>608595</xdr:colOff>
      <xdr:row>5</xdr:row>
      <xdr:rowOff>26535</xdr:rowOff>
    </xdr:from>
    <xdr:to>
      <xdr:col>10</xdr:col>
      <xdr:colOff>462765</xdr:colOff>
      <xdr:row>7</xdr:row>
      <xdr:rowOff>134835</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90" name="Ink 89">
              <a:extLst>
                <a:ext uri="{FF2B5EF4-FFF2-40B4-BE49-F238E27FC236}">
                  <a16:creationId xmlns:a16="http://schemas.microsoft.com/office/drawing/2014/main" id="{C39450C5-FE4D-591F-65E8-1D8E55107574}"/>
                </a:ext>
              </a:extLst>
            </xdr14:cNvPr>
            <xdr14:cNvContentPartPr/>
          </xdr14:nvContentPartPr>
          <xdr14:nvPr macro=""/>
          <xdr14:xfrm>
            <a:off x="8390520" y="988560"/>
            <a:ext cx="1663920" cy="527400"/>
          </xdr14:xfrm>
        </xdr:contentPart>
      </mc:Choice>
      <mc:Fallback xmlns="">
        <xdr:pic>
          <xdr:nvPicPr>
            <xdr:cNvPr id="90" name="Ink 89">
              <a:extLst>
                <a:ext uri="{FF2B5EF4-FFF2-40B4-BE49-F238E27FC236}">
                  <a16:creationId xmlns:a16="http://schemas.microsoft.com/office/drawing/2014/main" id="{C39450C5-FE4D-591F-65E8-1D8E55107574}"/>
                </a:ext>
              </a:extLst>
            </xdr:cNvPr>
            <xdr:cNvPicPr/>
          </xdr:nvPicPr>
          <xdr:blipFill>
            <a:blip xmlns:r="http://schemas.openxmlformats.org/officeDocument/2006/relationships" r:embed="rId24"/>
            <a:stretch>
              <a:fillRect/>
            </a:stretch>
          </xdr:blipFill>
          <xdr:spPr>
            <a:xfrm>
              <a:off x="8384400" y="982440"/>
              <a:ext cx="1676160" cy="539640"/>
            </a:xfrm>
            <a:prstGeom prst="rect">
              <a:avLst/>
            </a:prstGeom>
          </xdr:spPr>
        </xdr:pic>
      </mc:Fallback>
    </mc:AlternateContent>
    <xdr:clientData/>
  </xdr:twoCellAnchor>
  <xdr:twoCellAnchor editAs="oneCell">
    <xdr:from>
      <xdr:col>10</xdr:col>
      <xdr:colOff>618000</xdr:colOff>
      <xdr:row>5</xdr:row>
      <xdr:rowOff>132735</xdr:rowOff>
    </xdr:from>
    <xdr:to>
      <xdr:col>11</xdr:col>
      <xdr:colOff>271680</xdr:colOff>
      <xdr:row>8</xdr:row>
      <xdr:rowOff>162165</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91" name="Ink 90">
              <a:extLst>
                <a:ext uri="{FF2B5EF4-FFF2-40B4-BE49-F238E27FC236}">
                  <a16:creationId xmlns:a16="http://schemas.microsoft.com/office/drawing/2014/main" id="{9BD84052-D316-E40D-8DA9-50C17DE9CA7D}"/>
                </a:ext>
              </a:extLst>
            </xdr14:cNvPr>
            <xdr14:cNvContentPartPr/>
          </xdr14:nvContentPartPr>
          <xdr14:nvPr macro=""/>
          <xdr14:xfrm>
            <a:off x="10143000" y="1094760"/>
            <a:ext cx="339480" cy="658080"/>
          </xdr14:xfrm>
        </xdr:contentPart>
      </mc:Choice>
      <mc:Fallback xmlns="">
        <xdr:pic>
          <xdr:nvPicPr>
            <xdr:cNvPr id="91" name="Ink 90">
              <a:extLst>
                <a:ext uri="{FF2B5EF4-FFF2-40B4-BE49-F238E27FC236}">
                  <a16:creationId xmlns:a16="http://schemas.microsoft.com/office/drawing/2014/main" id="{9BD84052-D316-E40D-8DA9-50C17DE9CA7D}"/>
                </a:ext>
              </a:extLst>
            </xdr:cNvPr>
            <xdr:cNvPicPr/>
          </xdr:nvPicPr>
          <xdr:blipFill>
            <a:blip xmlns:r="http://schemas.openxmlformats.org/officeDocument/2006/relationships" r:embed="rId26"/>
            <a:stretch>
              <a:fillRect/>
            </a:stretch>
          </xdr:blipFill>
          <xdr:spPr>
            <a:xfrm>
              <a:off x="10136880" y="1088640"/>
              <a:ext cx="351720" cy="670320"/>
            </a:xfrm>
            <a:prstGeom prst="rect">
              <a:avLst/>
            </a:prstGeom>
          </xdr:spPr>
        </xdr:pic>
      </mc:Fallback>
    </mc:AlternateContent>
    <xdr:clientData/>
  </xdr:twoCellAnchor>
  <xdr:twoCellAnchor editAs="oneCell">
    <xdr:from>
      <xdr:col>9</xdr:col>
      <xdr:colOff>104595</xdr:colOff>
      <xdr:row>25</xdr:row>
      <xdr:rowOff>66540</xdr:rowOff>
    </xdr:from>
    <xdr:to>
      <xdr:col>9</xdr:col>
      <xdr:colOff>378195</xdr:colOff>
      <xdr:row>27</xdr:row>
      <xdr:rowOff>125520</xdr:rowOff>
    </xdr:to>
    <mc:AlternateContent xmlns:mc="http://schemas.openxmlformats.org/markup-compatibility/2006" xmlns:xdr14="http://schemas.microsoft.com/office/excel/2010/spreadsheetDrawing">
      <mc:Choice Requires="xdr14">
        <xdr:contentPart xmlns:r="http://schemas.openxmlformats.org/officeDocument/2006/relationships" r:id="rId27">
          <xdr14:nvContentPartPr>
            <xdr14:cNvPr id="94" name="Ink 93">
              <a:extLst>
                <a:ext uri="{FF2B5EF4-FFF2-40B4-BE49-F238E27FC236}">
                  <a16:creationId xmlns:a16="http://schemas.microsoft.com/office/drawing/2014/main" id="{14A118B7-DEA9-5D3A-A404-7F55DDDEE981}"/>
                </a:ext>
              </a:extLst>
            </xdr14:cNvPr>
            <xdr14:cNvContentPartPr/>
          </xdr14:nvContentPartPr>
          <xdr14:nvPr macro=""/>
          <xdr14:xfrm>
            <a:off x="7886520" y="4838565"/>
            <a:ext cx="273600" cy="478080"/>
          </xdr14:xfrm>
        </xdr:contentPart>
      </mc:Choice>
      <mc:Fallback xmlns="">
        <xdr:pic>
          <xdr:nvPicPr>
            <xdr:cNvPr id="94" name="Ink 93">
              <a:extLst>
                <a:ext uri="{FF2B5EF4-FFF2-40B4-BE49-F238E27FC236}">
                  <a16:creationId xmlns:a16="http://schemas.microsoft.com/office/drawing/2014/main" id="{14A118B7-DEA9-5D3A-A404-7F55DDDEE981}"/>
                </a:ext>
              </a:extLst>
            </xdr:cNvPr>
            <xdr:cNvPicPr/>
          </xdr:nvPicPr>
          <xdr:blipFill>
            <a:blip xmlns:r="http://schemas.openxmlformats.org/officeDocument/2006/relationships" r:embed="rId28"/>
            <a:stretch>
              <a:fillRect/>
            </a:stretch>
          </xdr:blipFill>
          <xdr:spPr>
            <a:xfrm>
              <a:off x="7868520" y="4820565"/>
              <a:ext cx="309240" cy="513720"/>
            </a:xfrm>
            <a:prstGeom prst="rect">
              <a:avLst/>
            </a:prstGeom>
          </xdr:spPr>
        </xdr:pic>
      </mc:Fallback>
    </mc:AlternateContent>
    <xdr:clientData/>
  </xdr:twoCellAnchor>
  <xdr:twoCellAnchor>
    <xdr:from>
      <xdr:col>7</xdr:col>
      <xdr:colOff>219075</xdr:colOff>
      <xdr:row>28</xdr:row>
      <xdr:rowOff>171450</xdr:rowOff>
    </xdr:from>
    <xdr:to>
      <xdr:col>11</xdr:col>
      <xdr:colOff>319087</xdr:colOff>
      <xdr:row>43</xdr:row>
      <xdr:rowOff>57150</xdr:rowOff>
    </xdr:to>
    <xdr:graphicFrame macro="">
      <xdr:nvGraphicFramePr>
        <xdr:cNvPr id="95" name="Chart 94">
          <a:extLst>
            <a:ext uri="{FF2B5EF4-FFF2-40B4-BE49-F238E27FC236}">
              <a16:creationId xmlns:a16="http://schemas.microsoft.com/office/drawing/2014/main" id="{D35004FC-C7B4-8081-FF44-54B3262C40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414336</xdr:colOff>
      <xdr:row>5</xdr:row>
      <xdr:rowOff>38100</xdr:rowOff>
    </xdr:from>
    <xdr:to>
      <xdr:col>12</xdr:col>
      <xdr:colOff>266700</xdr:colOff>
      <xdr:row>24</xdr:row>
      <xdr:rowOff>76200</xdr:rowOff>
    </xdr:to>
    <xdr:graphicFrame macro="">
      <xdr:nvGraphicFramePr>
        <xdr:cNvPr id="4" name="Chart 3">
          <a:extLst>
            <a:ext uri="{FF2B5EF4-FFF2-40B4-BE49-F238E27FC236}">
              <a16:creationId xmlns:a16="http://schemas.microsoft.com/office/drawing/2014/main" id="{43F63055-438F-B652-A55F-716457029E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252234</xdr:colOff>
      <xdr:row>21</xdr:row>
      <xdr:rowOff>174625</xdr:rowOff>
    </xdr:from>
    <xdr:to>
      <xdr:col>2</xdr:col>
      <xdr:colOff>733535</xdr:colOff>
      <xdr:row>30</xdr:row>
      <xdr:rowOff>79375</xdr:rowOff>
    </xdr:to>
    <mc:AlternateContent xmlns:mc="http://schemas.openxmlformats.org/markup-compatibility/2006" xmlns:a14="http://schemas.microsoft.com/office/drawing/2010/main">
      <mc:Choice Requires="a14">
        <xdr:graphicFrame macro="">
          <xdr:nvGraphicFramePr>
            <xdr:cNvPr id="5" name="Representative 1">
              <a:extLst>
                <a:ext uri="{FF2B5EF4-FFF2-40B4-BE49-F238E27FC236}">
                  <a16:creationId xmlns:a16="http://schemas.microsoft.com/office/drawing/2014/main" id="{1DAE4522-044D-1A14-EAAA-EA3DA85728D4}"/>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936623" y="4182181"/>
              <a:ext cx="1483190" cy="1809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132137</xdr:colOff>
      <xdr:row>40</xdr:row>
      <xdr:rowOff>15351</xdr:rowOff>
    </xdr:from>
    <xdr:to>
      <xdr:col>4</xdr:col>
      <xdr:colOff>535974</xdr:colOff>
      <xdr:row>42</xdr:row>
      <xdr:rowOff>30282</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57" name="Ink 56">
              <a:extLst>
                <a:ext uri="{FF2B5EF4-FFF2-40B4-BE49-F238E27FC236}">
                  <a16:creationId xmlns:a16="http://schemas.microsoft.com/office/drawing/2014/main" id="{7588B0A2-F085-F914-16AF-2FA021FCB7DC}"/>
                </a:ext>
              </a:extLst>
            </xdr14:cNvPr>
            <xdr14:cNvContentPartPr/>
          </xdr14:nvContentPartPr>
          <xdr14:nvPr macro=""/>
          <xdr14:xfrm>
            <a:off x="3263040" y="7829379"/>
            <a:ext cx="2217600" cy="445320"/>
          </xdr14:xfrm>
        </xdr:contentPart>
      </mc:Choice>
      <mc:Fallback xmlns="">
        <xdr:pic>
          <xdr:nvPicPr>
            <xdr:cNvPr id="57" name="Ink 56">
              <a:extLst>
                <a:ext uri="{FF2B5EF4-FFF2-40B4-BE49-F238E27FC236}">
                  <a16:creationId xmlns:a16="http://schemas.microsoft.com/office/drawing/2014/main" id="{7588B0A2-F085-F914-16AF-2FA021FCB7DC}"/>
                </a:ext>
              </a:extLst>
            </xdr:cNvPr>
            <xdr:cNvPicPr/>
          </xdr:nvPicPr>
          <xdr:blipFill>
            <a:blip xmlns:r="http://schemas.openxmlformats.org/officeDocument/2006/relationships" r:embed="rId3"/>
            <a:stretch>
              <a:fillRect/>
            </a:stretch>
          </xdr:blipFill>
          <xdr:spPr>
            <a:xfrm>
              <a:off x="3256919" y="7823164"/>
              <a:ext cx="2229842" cy="457751"/>
            </a:xfrm>
            <a:prstGeom prst="rect">
              <a:avLst/>
            </a:prstGeom>
          </xdr:spPr>
        </xdr:pic>
      </mc:Fallback>
    </mc:AlternateContent>
    <xdr:clientData/>
  </xdr:twoCellAnchor>
  <xdr:twoCellAnchor editAs="oneCell">
    <xdr:from>
      <xdr:col>2</xdr:col>
      <xdr:colOff>1223204</xdr:colOff>
      <xdr:row>36</xdr:row>
      <xdr:rowOff>96840</xdr:rowOff>
    </xdr:from>
    <xdr:to>
      <xdr:col>4</xdr:col>
      <xdr:colOff>189637</xdr:colOff>
      <xdr:row>39</xdr:row>
      <xdr:rowOff>47743</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82" name="Ink 81">
              <a:extLst>
                <a:ext uri="{FF2B5EF4-FFF2-40B4-BE49-F238E27FC236}">
                  <a16:creationId xmlns:a16="http://schemas.microsoft.com/office/drawing/2014/main" id="{C9218197-D79A-413C-E00C-A126BFAE0FF9}"/>
                </a:ext>
              </a:extLst>
            </xdr14:cNvPr>
            <xdr14:cNvContentPartPr/>
          </xdr14:nvContentPartPr>
          <xdr14:nvPr macro=""/>
          <xdr14:xfrm>
            <a:off x="2872440" y="7090659"/>
            <a:ext cx="2590920" cy="647640"/>
          </xdr14:xfrm>
        </xdr:contentPart>
      </mc:Choice>
      <mc:Fallback xmlns="">
        <xdr:pic>
          <xdr:nvPicPr>
            <xdr:cNvPr id="82" name="Ink 81">
              <a:extLst>
                <a:ext uri="{FF2B5EF4-FFF2-40B4-BE49-F238E27FC236}">
                  <a16:creationId xmlns:a16="http://schemas.microsoft.com/office/drawing/2014/main" id="{C9218197-D79A-413C-E00C-A126BFAE0FF9}"/>
                </a:ext>
              </a:extLst>
            </xdr:cNvPr>
            <xdr:cNvPicPr/>
          </xdr:nvPicPr>
          <xdr:blipFill>
            <a:blip xmlns:r="http://schemas.openxmlformats.org/officeDocument/2006/relationships" r:embed="rId5"/>
            <a:stretch>
              <a:fillRect/>
            </a:stretch>
          </xdr:blipFill>
          <xdr:spPr>
            <a:xfrm>
              <a:off x="2866325" y="7084491"/>
              <a:ext cx="2603150" cy="659976"/>
            </a:xfrm>
            <a:prstGeom prst="rect">
              <a:avLst/>
            </a:prstGeom>
          </xdr:spPr>
        </xdr:pic>
      </mc:Fallback>
    </mc:AlternateContent>
    <xdr:clientData/>
  </xdr:twoCellAnchor>
  <xdr:twoCellAnchor>
    <xdr:from>
      <xdr:col>3</xdr:col>
      <xdr:colOff>253999</xdr:colOff>
      <xdr:row>42</xdr:row>
      <xdr:rowOff>149754</xdr:rowOff>
    </xdr:from>
    <xdr:to>
      <xdr:col>10</xdr:col>
      <xdr:colOff>10582</xdr:colOff>
      <xdr:row>56</xdr:row>
      <xdr:rowOff>176565</xdr:rowOff>
    </xdr:to>
    <xdr:graphicFrame macro="">
      <xdr:nvGraphicFramePr>
        <xdr:cNvPr id="83" name="Chart 82">
          <a:extLst>
            <a:ext uri="{FF2B5EF4-FFF2-40B4-BE49-F238E27FC236}">
              <a16:creationId xmlns:a16="http://schemas.microsoft.com/office/drawing/2014/main" id="{C09DDC3F-7A35-3494-6390-66B6B11BF4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-6357</xdr:colOff>
      <xdr:row>33</xdr:row>
      <xdr:rowOff>26839</xdr:rowOff>
    </xdr:from>
    <xdr:to>
      <xdr:col>9</xdr:col>
      <xdr:colOff>537208</xdr:colOff>
      <xdr:row>63</xdr:row>
      <xdr:rowOff>25810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85" name="Ink 84">
              <a:extLst>
                <a:ext uri="{FF2B5EF4-FFF2-40B4-BE49-F238E27FC236}">
                  <a16:creationId xmlns:a16="http://schemas.microsoft.com/office/drawing/2014/main" id="{A4222F23-5F4D-F5F6-8401-7964425EF73F}"/>
                </a:ext>
              </a:extLst>
            </xdr14:cNvPr>
            <xdr14:cNvContentPartPr/>
          </xdr14:nvContentPartPr>
          <xdr14:nvPr macro=""/>
          <xdr14:xfrm>
            <a:off x="-6357" y="6232521"/>
            <a:ext cx="9330717" cy="6325560"/>
          </xdr14:xfrm>
        </xdr:contentPart>
      </mc:Choice>
      <mc:Fallback xmlns="">
        <xdr:pic>
          <xdr:nvPicPr>
            <xdr:cNvPr id="85" name="Ink 84">
              <a:extLst>
                <a:ext uri="{FF2B5EF4-FFF2-40B4-BE49-F238E27FC236}">
                  <a16:creationId xmlns:a16="http://schemas.microsoft.com/office/drawing/2014/main" id="{A4222F23-5F4D-F5F6-8401-7964425EF73F}"/>
                </a:ext>
              </a:extLst>
            </xdr:cNvPr>
            <xdr:cNvPicPr/>
          </xdr:nvPicPr>
          <xdr:blipFill>
            <a:blip xmlns:r="http://schemas.openxmlformats.org/officeDocument/2006/relationships" r:embed="rId8"/>
            <a:stretch>
              <a:fillRect/>
            </a:stretch>
          </xdr:blipFill>
          <xdr:spPr>
            <a:xfrm>
              <a:off x="-12511" y="6226484"/>
              <a:ext cx="9343026" cy="6337634"/>
            </a:xfrm>
            <a:prstGeom prst="rect">
              <a:avLst/>
            </a:prstGeom>
          </xdr:spPr>
        </xdr:pic>
      </mc:Fallback>
    </mc:AlternateContent>
    <xdr:clientData/>
  </xdr:twoCellAnchor>
  <xdr:twoCellAnchor editAs="oneCell">
    <xdr:from>
      <xdr:col>3</xdr:col>
      <xdr:colOff>45771</xdr:colOff>
      <xdr:row>28</xdr:row>
      <xdr:rowOff>143387</xdr:rowOff>
    </xdr:from>
    <xdr:to>
      <xdr:col>14</xdr:col>
      <xdr:colOff>217281</xdr:colOff>
      <xdr:row>45</xdr:row>
      <xdr:rowOff>173920</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86" name="Ink 85">
              <a:extLst>
                <a:ext uri="{FF2B5EF4-FFF2-40B4-BE49-F238E27FC236}">
                  <a16:creationId xmlns:a16="http://schemas.microsoft.com/office/drawing/2014/main" id="{F23FA8BB-3B1A-FD05-6376-F6793BFCA8BF}"/>
                </a:ext>
              </a:extLst>
            </xdr14:cNvPr>
            <xdr14:cNvContentPartPr/>
          </xdr14:nvContentPartPr>
          <xdr14:nvPr macro=""/>
          <xdr14:xfrm>
            <a:off x="3451680" y="5411001"/>
            <a:ext cx="8918640" cy="3652920"/>
          </xdr14:xfrm>
        </xdr:contentPart>
      </mc:Choice>
      <mc:Fallback xmlns="">
        <xdr:pic>
          <xdr:nvPicPr>
            <xdr:cNvPr id="86" name="Ink 85">
              <a:extLst>
                <a:ext uri="{FF2B5EF4-FFF2-40B4-BE49-F238E27FC236}">
                  <a16:creationId xmlns:a16="http://schemas.microsoft.com/office/drawing/2014/main" id="{F23FA8BB-3B1A-FD05-6376-F6793BFCA8BF}"/>
                </a:ext>
              </a:extLst>
            </xdr:cNvPr>
            <xdr:cNvPicPr/>
          </xdr:nvPicPr>
          <xdr:blipFill>
            <a:blip xmlns:r="http://schemas.openxmlformats.org/officeDocument/2006/relationships" r:embed="rId10"/>
            <a:stretch>
              <a:fillRect/>
            </a:stretch>
          </xdr:blipFill>
          <xdr:spPr>
            <a:xfrm>
              <a:off x="3445498" y="5404958"/>
              <a:ext cx="8931004" cy="3665005"/>
            </a:xfrm>
            <a:prstGeom prst="rect">
              <a:avLst/>
            </a:prstGeom>
          </xdr:spPr>
        </xdr:pic>
      </mc:Fallback>
    </mc:AlternateContent>
    <xdr:clientData/>
  </xdr:twoCellAnchor>
  <xdr:twoCellAnchor editAs="oneCell">
    <xdr:from>
      <xdr:col>2</xdr:col>
      <xdr:colOff>1149421</xdr:colOff>
      <xdr:row>27</xdr:row>
      <xdr:rowOff>28731</xdr:rowOff>
    </xdr:from>
    <xdr:to>
      <xdr:col>2</xdr:col>
      <xdr:colOff>1792055</xdr:colOff>
      <xdr:row>29</xdr:row>
      <xdr:rowOff>133531</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89" name="Ink 88">
              <a:extLst>
                <a:ext uri="{FF2B5EF4-FFF2-40B4-BE49-F238E27FC236}">
                  <a16:creationId xmlns:a16="http://schemas.microsoft.com/office/drawing/2014/main" id="{9004D9DA-8193-08CD-A46A-A36FD22C592B}"/>
                </a:ext>
              </a:extLst>
            </xdr14:cNvPr>
            <xdr14:cNvContentPartPr/>
          </xdr14:nvContentPartPr>
          <xdr14:nvPr macro=""/>
          <xdr14:xfrm>
            <a:off x="2809080" y="5108731"/>
            <a:ext cx="640080" cy="522360"/>
          </xdr14:xfrm>
        </xdr:contentPart>
      </mc:Choice>
      <mc:Fallback xmlns="">
        <xdr:pic>
          <xdr:nvPicPr>
            <xdr:cNvPr id="89" name="Ink 88">
              <a:extLst>
                <a:ext uri="{FF2B5EF4-FFF2-40B4-BE49-F238E27FC236}">
                  <a16:creationId xmlns:a16="http://schemas.microsoft.com/office/drawing/2014/main" id="{9004D9DA-8193-08CD-A46A-A36FD22C592B}"/>
                </a:ext>
              </a:extLst>
            </xdr:cNvPr>
            <xdr:cNvPicPr/>
          </xdr:nvPicPr>
          <xdr:blipFill>
            <a:blip xmlns:r="http://schemas.openxmlformats.org/officeDocument/2006/relationships" r:embed="rId12"/>
            <a:stretch>
              <a:fillRect/>
            </a:stretch>
          </xdr:blipFill>
          <xdr:spPr>
            <a:xfrm>
              <a:off x="2802887" y="5102763"/>
              <a:ext cx="652466" cy="534296"/>
            </a:xfrm>
            <a:prstGeom prst="rect">
              <a:avLst/>
            </a:prstGeom>
          </xdr:spPr>
        </xdr:pic>
      </mc:Fallback>
    </mc:AlternateContent>
    <xdr:clientData/>
  </xdr:twoCellAnchor>
  <xdr:twoCellAnchor editAs="oneCell">
    <xdr:from>
      <xdr:col>10</xdr:col>
      <xdr:colOff>486046</xdr:colOff>
      <xdr:row>35</xdr:row>
      <xdr:rowOff>15448</xdr:rowOff>
    </xdr:from>
    <xdr:to>
      <xdr:col>11</xdr:col>
      <xdr:colOff>489850</xdr:colOff>
      <xdr:row>36</xdr:row>
      <xdr:rowOff>100293</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06" name="Ink 105">
              <a:extLst>
                <a:ext uri="{FF2B5EF4-FFF2-40B4-BE49-F238E27FC236}">
                  <a16:creationId xmlns:a16="http://schemas.microsoft.com/office/drawing/2014/main" id="{28C29C74-85CB-E0F5-3A88-D6465C6E4041}"/>
                </a:ext>
              </a:extLst>
            </xdr14:cNvPr>
            <xdr14:cNvContentPartPr/>
          </xdr14:nvContentPartPr>
          <xdr14:nvPr macro=""/>
          <xdr14:xfrm>
            <a:off x="8678330" y="6745664"/>
            <a:ext cx="689760" cy="298080"/>
          </xdr14:xfrm>
        </xdr:contentPart>
      </mc:Choice>
      <mc:Fallback xmlns="">
        <xdr:pic>
          <xdr:nvPicPr>
            <xdr:cNvPr id="106" name="Ink 105">
              <a:extLst>
                <a:ext uri="{FF2B5EF4-FFF2-40B4-BE49-F238E27FC236}">
                  <a16:creationId xmlns:a16="http://schemas.microsoft.com/office/drawing/2014/main" id="{28C29C74-85CB-E0F5-3A88-D6465C6E4041}"/>
                </a:ext>
              </a:extLst>
            </xdr:cNvPr>
            <xdr:cNvPicPr/>
          </xdr:nvPicPr>
          <xdr:blipFill>
            <a:blip xmlns:r="http://schemas.openxmlformats.org/officeDocument/2006/relationships" r:embed="rId14"/>
            <a:stretch>
              <a:fillRect/>
            </a:stretch>
          </xdr:blipFill>
          <xdr:spPr>
            <a:xfrm>
              <a:off x="8672213" y="6739551"/>
              <a:ext cx="701994" cy="310305"/>
            </a:xfrm>
            <a:prstGeom prst="rect">
              <a:avLst/>
            </a:prstGeom>
          </xdr:spPr>
        </xdr:pic>
      </mc:Fallback>
    </mc:AlternateContent>
    <xdr:clientData/>
  </xdr:twoCellAnchor>
  <xdr:twoCellAnchor editAs="oneCell">
    <xdr:from>
      <xdr:col>11</xdr:col>
      <xdr:colOff>670209</xdr:colOff>
      <xdr:row>34</xdr:row>
      <xdr:rowOff>164316</xdr:rowOff>
    </xdr:from>
    <xdr:to>
      <xdr:col>12</xdr:col>
      <xdr:colOff>161373</xdr:colOff>
      <xdr:row>35</xdr:row>
      <xdr:rowOff>168161</xdr:rowOff>
    </xdr:to>
    <mc:AlternateContent xmlns:mc="http://schemas.openxmlformats.org/markup-compatibility/2006" xmlns:xdr14="http://schemas.microsoft.com/office/excel/2010/spreadsheetDrawing">
      <mc:Choice Requires="xdr14">
        <xdr:contentPart xmlns:r="http://schemas.openxmlformats.org/officeDocument/2006/relationships" r:id="rId15">
          <xdr14:nvContentPartPr>
            <xdr14:cNvPr id="111" name="Ink 110">
              <a:extLst>
                <a:ext uri="{FF2B5EF4-FFF2-40B4-BE49-F238E27FC236}">
                  <a16:creationId xmlns:a16="http://schemas.microsoft.com/office/drawing/2014/main" id="{3519C133-CB46-28A8-3495-B8F096005127}"/>
                </a:ext>
              </a:extLst>
            </xdr14:cNvPr>
            <xdr14:cNvContentPartPr/>
          </xdr14:nvContentPartPr>
          <xdr14:nvPr macro=""/>
          <xdr14:xfrm>
            <a:off x="9548450" y="6702464"/>
            <a:ext cx="177120" cy="217080"/>
          </xdr14:xfrm>
        </xdr:contentPart>
      </mc:Choice>
      <mc:Fallback xmlns="">
        <xdr:pic>
          <xdr:nvPicPr>
            <xdr:cNvPr id="111" name="Ink 110">
              <a:extLst>
                <a:ext uri="{FF2B5EF4-FFF2-40B4-BE49-F238E27FC236}">
                  <a16:creationId xmlns:a16="http://schemas.microsoft.com/office/drawing/2014/main" id="{3519C133-CB46-28A8-3495-B8F096005127}"/>
                </a:ext>
              </a:extLst>
            </xdr:cNvPr>
            <xdr:cNvPicPr/>
          </xdr:nvPicPr>
          <xdr:blipFill>
            <a:blip xmlns:r="http://schemas.openxmlformats.org/officeDocument/2006/relationships" r:embed="rId16"/>
            <a:stretch>
              <a:fillRect/>
            </a:stretch>
          </xdr:blipFill>
          <xdr:spPr>
            <a:xfrm>
              <a:off x="9542342" y="6696344"/>
              <a:ext cx="189335" cy="229320"/>
            </a:xfrm>
            <a:prstGeom prst="rect">
              <a:avLst/>
            </a:prstGeom>
          </xdr:spPr>
        </xdr:pic>
      </mc:Fallback>
    </mc:AlternateContent>
    <xdr:clientData/>
  </xdr:twoCellAnchor>
  <xdr:twoCellAnchor editAs="oneCell">
    <xdr:from>
      <xdr:col>12</xdr:col>
      <xdr:colOff>429932</xdr:colOff>
      <xdr:row>34</xdr:row>
      <xdr:rowOff>41196</xdr:rowOff>
    </xdr:from>
    <xdr:to>
      <xdr:col>14</xdr:col>
      <xdr:colOff>424939</xdr:colOff>
      <xdr:row>35</xdr:row>
      <xdr:rowOff>96161</xdr:rowOff>
    </xdr:to>
    <mc:AlternateContent xmlns:mc="http://schemas.openxmlformats.org/markup-compatibility/2006" xmlns:xdr14="http://schemas.microsoft.com/office/excel/2010/spreadsheetDrawing">
      <mc:Choice Requires="xdr14">
        <xdr:contentPart xmlns:r="http://schemas.openxmlformats.org/officeDocument/2006/relationships" r:id="rId17">
          <xdr14:nvContentPartPr>
            <xdr14:cNvPr id="127" name="Ink 126">
              <a:extLst>
                <a:ext uri="{FF2B5EF4-FFF2-40B4-BE49-F238E27FC236}">
                  <a16:creationId xmlns:a16="http://schemas.microsoft.com/office/drawing/2014/main" id="{02E3EC43-15AB-06FD-459E-0A74A4DDF437}"/>
                </a:ext>
              </a:extLst>
            </xdr14:cNvPr>
            <xdr14:cNvContentPartPr/>
          </xdr14:nvContentPartPr>
          <xdr14:nvPr macro=""/>
          <xdr14:xfrm>
            <a:off x="9994130" y="6579344"/>
            <a:ext cx="1366920" cy="268200"/>
          </xdr14:xfrm>
        </xdr:contentPart>
      </mc:Choice>
      <mc:Fallback xmlns="">
        <xdr:pic>
          <xdr:nvPicPr>
            <xdr:cNvPr id="127" name="Ink 126">
              <a:extLst>
                <a:ext uri="{FF2B5EF4-FFF2-40B4-BE49-F238E27FC236}">
                  <a16:creationId xmlns:a16="http://schemas.microsoft.com/office/drawing/2014/main" id="{02E3EC43-15AB-06FD-459E-0A74A4DDF437}"/>
                </a:ext>
              </a:extLst>
            </xdr:cNvPr>
            <xdr:cNvPicPr/>
          </xdr:nvPicPr>
          <xdr:blipFill>
            <a:blip xmlns:r="http://schemas.openxmlformats.org/officeDocument/2006/relationships" r:embed="rId18"/>
            <a:stretch>
              <a:fillRect/>
            </a:stretch>
          </xdr:blipFill>
          <xdr:spPr>
            <a:xfrm>
              <a:off x="9988010" y="6573224"/>
              <a:ext cx="1379160" cy="280440"/>
            </a:xfrm>
            <a:prstGeom prst="rect">
              <a:avLst/>
            </a:prstGeom>
          </xdr:spPr>
        </xdr:pic>
      </mc:Fallback>
    </mc:AlternateContent>
    <xdr:clientData/>
  </xdr:twoCellAnchor>
  <xdr:twoCellAnchor editAs="oneCell">
    <xdr:from>
      <xdr:col>11</xdr:col>
      <xdr:colOff>101769</xdr:colOff>
      <xdr:row>37</xdr:row>
      <xdr:rowOff>31272</xdr:rowOff>
    </xdr:from>
    <xdr:to>
      <xdr:col>11</xdr:col>
      <xdr:colOff>501009</xdr:colOff>
      <xdr:row>38</xdr:row>
      <xdr:rowOff>54557</xdr:rowOff>
    </xdr:to>
    <mc:AlternateContent xmlns:mc="http://schemas.openxmlformats.org/markup-compatibility/2006" xmlns:xdr14="http://schemas.microsoft.com/office/excel/2010/spreadsheetDrawing">
      <mc:Choice Requires="xdr14">
        <xdr:contentPart xmlns:r="http://schemas.openxmlformats.org/officeDocument/2006/relationships" r:id="rId19">
          <xdr14:nvContentPartPr>
            <xdr14:cNvPr id="132" name="Ink 131">
              <a:extLst>
                <a:ext uri="{FF2B5EF4-FFF2-40B4-BE49-F238E27FC236}">
                  <a16:creationId xmlns:a16="http://schemas.microsoft.com/office/drawing/2014/main" id="{C7C92D70-FC4B-57A4-C67C-82B553D22C55}"/>
                </a:ext>
              </a:extLst>
            </xdr14:cNvPr>
            <xdr14:cNvContentPartPr/>
          </xdr14:nvContentPartPr>
          <xdr14:nvPr macro=""/>
          <xdr14:xfrm>
            <a:off x="8980010" y="7145624"/>
            <a:ext cx="399240" cy="236520"/>
          </xdr14:xfrm>
        </xdr:contentPart>
      </mc:Choice>
      <mc:Fallback xmlns="">
        <xdr:pic>
          <xdr:nvPicPr>
            <xdr:cNvPr id="132" name="Ink 131">
              <a:extLst>
                <a:ext uri="{FF2B5EF4-FFF2-40B4-BE49-F238E27FC236}">
                  <a16:creationId xmlns:a16="http://schemas.microsoft.com/office/drawing/2014/main" id="{C7C92D70-FC4B-57A4-C67C-82B553D22C55}"/>
                </a:ext>
              </a:extLst>
            </xdr:cNvPr>
            <xdr:cNvPicPr/>
          </xdr:nvPicPr>
          <xdr:blipFill>
            <a:blip xmlns:r="http://schemas.openxmlformats.org/officeDocument/2006/relationships" r:embed="rId20"/>
            <a:stretch>
              <a:fillRect/>
            </a:stretch>
          </xdr:blipFill>
          <xdr:spPr>
            <a:xfrm>
              <a:off x="8973890" y="7139504"/>
              <a:ext cx="411480" cy="248760"/>
            </a:xfrm>
            <a:prstGeom prst="rect">
              <a:avLst/>
            </a:prstGeom>
          </xdr:spPr>
        </xdr:pic>
      </mc:Fallback>
    </mc:AlternateContent>
    <xdr:clientData/>
  </xdr:twoCellAnchor>
  <xdr:twoCellAnchor editAs="oneCell">
    <xdr:from>
      <xdr:col>12</xdr:col>
      <xdr:colOff>62372</xdr:colOff>
      <xdr:row>37</xdr:row>
      <xdr:rowOff>11472</xdr:rowOff>
    </xdr:from>
    <xdr:to>
      <xdr:col>12</xdr:col>
      <xdr:colOff>66692</xdr:colOff>
      <xdr:row>37</xdr:row>
      <xdr:rowOff>183192</xdr:rowOff>
    </xdr:to>
    <mc:AlternateContent xmlns:mc="http://schemas.openxmlformats.org/markup-compatibility/2006" xmlns:xdr14="http://schemas.microsoft.com/office/excel/2010/spreadsheetDrawing">
      <mc:Choice Requires="xdr14">
        <xdr:contentPart xmlns:r="http://schemas.openxmlformats.org/officeDocument/2006/relationships" r:id="rId21">
          <xdr14:nvContentPartPr>
            <xdr14:cNvPr id="133" name="Ink 132">
              <a:extLst>
                <a:ext uri="{FF2B5EF4-FFF2-40B4-BE49-F238E27FC236}">
                  <a16:creationId xmlns:a16="http://schemas.microsoft.com/office/drawing/2014/main" id="{4C669CE2-4ACB-1C74-F57E-4FCC1FCC4B94}"/>
                </a:ext>
              </a:extLst>
            </xdr14:cNvPr>
            <xdr14:cNvContentPartPr/>
          </xdr14:nvContentPartPr>
          <xdr14:nvPr macro=""/>
          <xdr14:xfrm>
            <a:off x="9626570" y="7125824"/>
            <a:ext cx="4320" cy="171720"/>
          </xdr14:xfrm>
        </xdr:contentPart>
      </mc:Choice>
      <mc:Fallback xmlns="">
        <xdr:pic>
          <xdr:nvPicPr>
            <xdr:cNvPr id="133" name="Ink 132">
              <a:extLst>
                <a:ext uri="{FF2B5EF4-FFF2-40B4-BE49-F238E27FC236}">
                  <a16:creationId xmlns:a16="http://schemas.microsoft.com/office/drawing/2014/main" id="{4C669CE2-4ACB-1C74-F57E-4FCC1FCC4B94}"/>
                </a:ext>
              </a:extLst>
            </xdr:cNvPr>
            <xdr:cNvPicPr/>
          </xdr:nvPicPr>
          <xdr:blipFill>
            <a:blip xmlns:r="http://schemas.openxmlformats.org/officeDocument/2006/relationships" r:embed="rId22"/>
            <a:stretch>
              <a:fillRect/>
            </a:stretch>
          </xdr:blipFill>
          <xdr:spPr>
            <a:xfrm>
              <a:off x="9620450" y="7119704"/>
              <a:ext cx="16560" cy="183960"/>
            </a:xfrm>
            <a:prstGeom prst="rect">
              <a:avLst/>
            </a:prstGeom>
          </xdr:spPr>
        </xdr:pic>
      </mc:Fallback>
    </mc:AlternateContent>
    <xdr:clientData/>
  </xdr:twoCellAnchor>
  <xdr:twoCellAnchor editAs="oneCell">
    <xdr:from>
      <xdr:col>12</xdr:col>
      <xdr:colOff>11612</xdr:colOff>
      <xdr:row>37</xdr:row>
      <xdr:rowOff>19392</xdr:rowOff>
    </xdr:from>
    <xdr:to>
      <xdr:col>12</xdr:col>
      <xdr:colOff>298172</xdr:colOff>
      <xdr:row>38</xdr:row>
      <xdr:rowOff>11357</xdr:rowOff>
    </xdr:to>
    <mc:AlternateContent xmlns:mc="http://schemas.openxmlformats.org/markup-compatibility/2006" xmlns:xdr14="http://schemas.microsoft.com/office/excel/2010/spreadsheetDrawing">
      <mc:Choice Requires="xdr14">
        <xdr:contentPart xmlns:r="http://schemas.openxmlformats.org/officeDocument/2006/relationships" r:id="rId23">
          <xdr14:nvContentPartPr>
            <xdr14:cNvPr id="138" name="Ink 137">
              <a:extLst>
                <a:ext uri="{FF2B5EF4-FFF2-40B4-BE49-F238E27FC236}">
                  <a16:creationId xmlns:a16="http://schemas.microsoft.com/office/drawing/2014/main" id="{103D53BD-9369-9783-7892-0199FA790D25}"/>
                </a:ext>
              </a:extLst>
            </xdr14:cNvPr>
            <xdr14:cNvContentPartPr/>
          </xdr14:nvContentPartPr>
          <xdr14:nvPr macro=""/>
          <xdr14:xfrm>
            <a:off x="9575810" y="7133744"/>
            <a:ext cx="286560" cy="205200"/>
          </xdr14:xfrm>
        </xdr:contentPart>
      </mc:Choice>
      <mc:Fallback xmlns="">
        <xdr:pic>
          <xdr:nvPicPr>
            <xdr:cNvPr id="138" name="Ink 137">
              <a:extLst>
                <a:ext uri="{FF2B5EF4-FFF2-40B4-BE49-F238E27FC236}">
                  <a16:creationId xmlns:a16="http://schemas.microsoft.com/office/drawing/2014/main" id="{103D53BD-9369-9783-7892-0199FA790D25}"/>
                </a:ext>
              </a:extLst>
            </xdr:cNvPr>
            <xdr:cNvPicPr/>
          </xdr:nvPicPr>
          <xdr:blipFill>
            <a:blip xmlns:r="http://schemas.openxmlformats.org/officeDocument/2006/relationships" r:embed="rId24"/>
            <a:stretch>
              <a:fillRect/>
            </a:stretch>
          </xdr:blipFill>
          <xdr:spPr>
            <a:xfrm>
              <a:off x="9569690" y="7127624"/>
              <a:ext cx="298800" cy="217440"/>
            </a:xfrm>
            <a:prstGeom prst="rect">
              <a:avLst/>
            </a:prstGeom>
          </xdr:spPr>
        </xdr:pic>
      </mc:Fallback>
    </mc:AlternateContent>
    <xdr:clientData/>
  </xdr:twoCellAnchor>
  <xdr:twoCellAnchor editAs="oneCell">
    <xdr:from>
      <xdr:col>12</xdr:col>
      <xdr:colOff>514172</xdr:colOff>
      <xdr:row>36</xdr:row>
      <xdr:rowOff>126500</xdr:rowOff>
    </xdr:from>
    <xdr:to>
      <xdr:col>14</xdr:col>
      <xdr:colOff>83659</xdr:colOff>
      <xdr:row>37</xdr:row>
      <xdr:rowOff>206178</xdr:rowOff>
    </xdr:to>
    <mc:AlternateContent xmlns:mc="http://schemas.openxmlformats.org/markup-compatibility/2006" xmlns:xdr14="http://schemas.microsoft.com/office/excel/2010/spreadsheetDrawing">
      <mc:Choice Requires="xdr14">
        <xdr:contentPart xmlns:r="http://schemas.openxmlformats.org/officeDocument/2006/relationships" r:id="rId25">
          <xdr14:nvContentPartPr>
            <xdr14:cNvPr id="149" name="Ink 148">
              <a:extLst>
                <a:ext uri="{FF2B5EF4-FFF2-40B4-BE49-F238E27FC236}">
                  <a16:creationId xmlns:a16="http://schemas.microsoft.com/office/drawing/2014/main" id="{BC9F6B99-B29E-FB25-9137-3D65EF52EBD4}"/>
                </a:ext>
              </a:extLst>
            </xdr14:cNvPr>
            <xdr14:cNvContentPartPr/>
          </xdr14:nvContentPartPr>
          <xdr14:nvPr macro=""/>
          <xdr14:xfrm>
            <a:off x="10078370" y="7048784"/>
            <a:ext cx="941400" cy="294480"/>
          </xdr14:xfrm>
        </xdr:contentPart>
      </mc:Choice>
      <mc:Fallback xmlns="">
        <xdr:pic>
          <xdr:nvPicPr>
            <xdr:cNvPr id="149" name="Ink 148">
              <a:extLst>
                <a:ext uri="{FF2B5EF4-FFF2-40B4-BE49-F238E27FC236}">
                  <a16:creationId xmlns:a16="http://schemas.microsoft.com/office/drawing/2014/main" id="{BC9F6B99-B29E-FB25-9137-3D65EF52EBD4}"/>
                </a:ext>
              </a:extLst>
            </xdr:cNvPr>
            <xdr:cNvPicPr/>
          </xdr:nvPicPr>
          <xdr:blipFill>
            <a:blip xmlns:r="http://schemas.openxmlformats.org/officeDocument/2006/relationships" r:embed="rId26"/>
            <a:stretch>
              <a:fillRect/>
            </a:stretch>
          </xdr:blipFill>
          <xdr:spPr>
            <a:xfrm>
              <a:off x="10072252" y="7042664"/>
              <a:ext cx="953635" cy="306720"/>
            </a:xfrm>
            <a:prstGeom prst="rect">
              <a:avLst/>
            </a:prstGeom>
          </xdr:spPr>
        </xdr:pic>
      </mc:Fallback>
    </mc:AlternateContent>
    <xdr:clientData/>
  </xdr:twoCellAnchor>
  <xdr:twoCellAnchor>
    <xdr:from>
      <xdr:col>4</xdr:col>
      <xdr:colOff>310444</xdr:colOff>
      <xdr:row>71</xdr:row>
      <xdr:rowOff>60678</xdr:rowOff>
    </xdr:from>
    <xdr:to>
      <xdr:col>11</xdr:col>
      <xdr:colOff>91722</xdr:colOff>
      <xdr:row>85</xdr:row>
      <xdr:rowOff>136878</xdr:rowOff>
    </xdr:to>
    <xdr:graphicFrame macro="">
      <xdr:nvGraphicFramePr>
        <xdr:cNvPr id="150" name="Chart 149">
          <a:extLst>
            <a:ext uri="{FF2B5EF4-FFF2-40B4-BE49-F238E27FC236}">
              <a16:creationId xmlns:a16="http://schemas.microsoft.com/office/drawing/2014/main" id="{88A80BF9-6EE8-5E70-3BD3-4968A193A8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609300</xdr:colOff>
      <xdr:row>4</xdr:row>
      <xdr:rowOff>81735</xdr:rowOff>
    </xdr:from>
    <xdr:to>
      <xdr:col>3</xdr:col>
      <xdr:colOff>551490</xdr:colOff>
      <xdr:row>7</xdr:row>
      <xdr:rowOff>105045</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4" name="Ink 3">
              <a:extLst>
                <a:ext uri="{FF2B5EF4-FFF2-40B4-BE49-F238E27FC236}">
                  <a16:creationId xmlns:a16="http://schemas.microsoft.com/office/drawing/2014/main" id="{215CCC7B-A354-6F95-A41E-DF78C380B9E2}"/>
                </a:ext>
              </a:extLst>
            </xdr14:cNvPr>
            <xdr14:cNvContentPartPr/>
          </xdr14:nvContentPartPr>
          <xdr14:nvPr macro=""/>
          <xdr14:xfrm>
            <a:off x="2781000" y="891360"/>
            <a:ext cx="1180440" cy="651960"/>
          </xdr14:xfrm>
        </xdr:contentPart>
      </mc:Choice>
      <mc:Fallback xmlns="">
        <xdr:pic>
          <xdr:nvPicPr>
            <xdr:cNvPr id="4" name="Ink 3">
              <a:extLst>
                <a:ext uri="{FF2B5EF4-FFF2-40B4-BE49-F238E27FC236}">
                  <a16:creationId xmlns:a16="http://schemas.microsoft.com/office/drawing/2014/main" id="{215CCC7B-A354-6F95-A41E-DF78C380B9E2}"/>
                </a:ext>
              </a:extLst>
            </xdr:cNvPr>
            <xdr:cNvPicPr/>
          </xdr:nvPicPr>
          <xdr:blipFill>
            <a:blip xmlns:r="http://schemas.openxmlformats.org/officeDocument/2006/relationships" r:embed="rId2"/>
            <a:stretch>
              <a:fillRect/>
            </a:stretch>
          </xdr:blipFill>
          <xdr:spPr>
            <a:xfrm>
              <a:off x="2774880" y="885240"/>
              <a:ext cx="1192680" cy="664200"/>
            </a:xfrm>
            <a:prstGeom prst="rect">
              <a:avLst/>
            </a:prstGeom>
          </xdr:spPr>
        </xdr:pic>
      </mc:Fallback>
    </mc:AlternateContent>
    <xdr:clientData/>
  </xdr:twoCellAnchor>
  <xdr:twoCellAnchor editAs="oneCell">
    <xdr:from>
      <xdr:col>4</xdr:col>
      <xdr:colOff>116040</xdr:colOff>
      <xdr:row>2</xdr:row>
      <xdr:rowOff>110760</xdr:rowOff>
    </xdr:from>
    <xdr:to>
      <xdr:col>5</xdr:col>
      <xdr:colOff>146745</xdr:colOff>
      <xdr:row>4</xdr:row>
      <xdr:rowOff>2790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6D1D10D6-30CD-A1ED-F1D3-7A2E76BFAC84}"/>
                </a:ext>
              </a:extLst>
            </xdr14:cNvPr>
            <xdr14:cNvContentPartPr/>
          </xdr14:nvContentPartPr>
          <xdr14:nvPr macro=""/>
          <xdr14:xfrm>
            <a:off x="4078440" y="491760"/>
            <a:ext cx="668880" cy="368280"/>
          </xdr14:xfrm>
        </xdr:contentPart>
      </mc:Choice>
      <mc:Fallback xmlns="">
        <xdr:pic>
          <xdr:nvPicPr>
            <xdr:cNvPr id="12" name="Ink 11">
              <a:extLst>
                <a:ext uri="{FF2B5EF4-FFF2-40B4-BE49-F238E27FC236}">
                  <a16:creationId xmlns:a16="http://schemas.microsoft.com/office/drawing/2014/main" id="{6D1D10D6-30CD-A1ED-F1D3-7A2E76BFAC84}"/>
                </a:ext>
              </a:extLst>
            </xdr:cNvPr>
            <xdr:cNvPicPr/>
          </xdr:nvPicPr>
          <xdr:blipFill>
            <a:blip xmlns:r="http://schemas.openxmlformats.org/officeDocument/2006/relationships" r:embed="rId4"/>
            <a:stretch>
              <a:fillRect/>
            </a:stretch>
          </xdr:blipFill>
          <xdr:spPr>
            <a:xfrm>
              <a:off x="4072317" y="485634"/>
              <a:ext cx="681127" cy="380532"/>
            </a:xfrm>
            <a:prstGeom prst="rect">
              <a:avLst/>
            </a:prstGeom>
          </xdr:spPr>
        </xdr:pic>
      </mc:Fallback>
    </mc:AlternateContent>
    <xdr:clientData/>
  </xdr:twoCellAnchor>
  <xdr:twoCellAnchor editAs="oneCell">
    <xdr:from>
      <xdr:col>4</xdr:col>
      <xdr:colOff>55920</xdr:colOff>
      <xdr:row>1</xdr:row>
      <xdr:rowOff>66540</xdr:rowOff>
    </xdr:from>
    <xdr:to>
      <xdr:col>5</xdr:col>
      <xdr:colOff>119025</xdr:colOff>
      <xdr:row>2</xdr:row>
      <xdr:rowOff>78390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31" name="Ink 30">
              <a:extLst>
                <a:ext uri="{FF2B5EF4-FFF2-40B4-BE49-F238E27FC236}">
                  <a16:creationId xmlns:a16="http://schemas.microsoft.com/office/drawing/2014/main" id="{80154786-02A1-3CE2-F7E4-E928FBE9D385}"/>
                </a:ext>
              </a:extLst>
            </xdr14:cNvPr>
            <xdr14:cNvContentPartPr/>
          </xdr14:nvContentPartPr>
          <xdr14:nvPr macro=""/>
          <xdr14:xfrm>
            <a:off x="4018320" y="257040"/>
            <a:ext cx="701280" cy="221400"/>
          </xdr14:xfrm>
        </xdr:contentPart>
      </mc:Choice>
      <mc:Fallback xmlns="">
        <xdr:pic>
          <xdr:nvPicPr>
            <xdr:cNvPr id="31" name="Ink 30">
              <a:extLst>
                <a:ext uri="{FF2B5EF4-FFF2-40B4-BE49-F238E27FC236}">
                  <a16:creationId xmlns:a16="http://schemas.microsoft.com/office/drawing/2014/main" id="{80154786-02A1-3CE2-F7E4-E928FBE9D385}"/>
                </a:ext>
              </a:extLst>
            </xdr:cNvPr>
            <xdr:cNvPicPr/>
          </xdr:nvPicPr>
          <xdr:blipFill>
            <a:blip xmlns:r="http://schemas.openxmlformats.org/officeDocument/2006/relationships" r:embed="rId6"/>
            <a:stretch>
              <a:fillRect/>
            </a:stretch>
          </xdr:blipFill>
          <xdr:spPr>
            <a:xfrm>
              <a:off x="4012203" y="250920"/>
              <a:ext cx="713514" cy="233640"/>
            </a:xfrm>
            <a:prstGeom prst="rect">
              <a:avLst/>
            </a:prstGeom>
          </xdr:spPr>
        </xdr:pic>
      </mc:Fallback>
    </mc:AlternateContent>
    <xdr:clientData/>
  </xdr:twoCellAnchor>
  <xdr:twoCellAnchor editAs="oneCell">
    <xdr:from>
      <xdr:col>5</xdr:col>
      <xdr:colOff>342720</xdr:colOff>
      <xdr:row>0</xdr:row>
      <xdr:rowOff>123480</xdr:rowOff>
    </xdr:from>
    <xdr:to>
      <xdr:col>7</xdr:col>
      <xdr:colOff>341775</xdr:colOff>
      <xdr:row>3</xdr:row>
      <xdr:rowOff>12600</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44" name="Ink 43">
              <a:extLst>
                <a:ext uri="{FF2B5EF4-FFF2-40B4-BE49-F238E27FC236}">
                  <a16:creationId xmlns:a16="http://schemas.microsoft.com/office/drawing/2014/main" id="{C62A8544-833B-0BB7-6CCC-76F72A7A4414}"/>
                </a:ext>
              </a:extLst>
            </xdr14:cNvPr>
            <xdr14:cNvContentPartPr/>
          </xdr14:nvContentPartPr>
          <xdr14:nvPr macro=""/>
          <xdr14:xfrm>
            <a:off x="4914720" y="123480"/>
            <a:ext cx="1570680" cy="574920"/>
          </xdr14:xfrm>
        </xdr:contentPart>
      </mc:Choice>
      <mc:Fallback xmlns="">
        <xdr:pic>
          <xdr:nvPicPr>
            <xdr:cNvPr id="44" name="Ink 43">
              <a:extLst>
                <a:ext uri="{FF2B5EF4-FFF2-40B4-BE49-F238E27FC236}">
                  <a16:creationId xmlns:a16="http://schemas.microsoft.com/office/drawing/2014/main" id="{C62A8544-833B-0BB7-6CCC-76F72A7A4414}"/>
                </a:ext>
              </a:extLst>
            </xdr:cNvPr>
            <xdr:cNvPicPr/>
          </xdr:nvPicPr>
          <xdr:blipFill>
            <a:blip xmlns:r="http://schemas.openxmlformats.org/officeDocument/2006/relationships" r:embed="rId8"/>
            <a:stretch>
              <a:fillRect/>
            </a:stretch>
          </xdr:blipFill>
          <xdr:spPr>
            <a:xfrm>
              <a:off x="4908600" y="117356"/>
              <a:ext cx="1582920" cy="587168"/>
            </a:xfrm>
            <a:prstGeom prst="rect">
              <a:avLst/>
            </a:prstGeom>
          </xdr:spPr>
        </xdr:pic>
      </mc:Fallback>
    </mc:AlternateContent>
    <xdr:clientData/>
  </xdr:twoCellAnchor>
  <xdr:twoCellAnchor editAs="oneCell">
    <xdr:from>
      <xdr:col>5</xdr:col>
      <xdr:colOff>447480</xdr:colOff>
      <xdr:row>4</xdr:row>
      <xdr:rowOff>14775</xdr:rowOff>
    </xdr:from>
    <xdr:to>
      <xdr:col>5</xdr:col>
      <xdr:colOff>620280</xdr:colOff>
      <xdr:row>5</xdr:row>
      <xdr:rowOff>12585</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46" name="Ink 45">
              <a:extLst>
                <a:ext uri="{FF2B5EF4-FFF2-40B4-BE49-F238E27FC236}">
                  <a16:creationId xmlns:a16="http://schemas.microsoft.com/office/drawing/2014/main" id="{D4B48070-44B0-B988-C07A-E6DF0483CA76}"/>
                </a:ext>
              </a:extLst>
            </xdr14:cNvPr>
            <xdr14:cNvContentPartPr/>
          </xdr14:nvContentPartPr>
          <xdr14:nvPr macro=""/>
          <xdr14:xfrm>
            <a:off x="5019480" y="824400"/>
            <a:ext cx="172800" cy="207360"/>
          </xdr14:xfrm>
        </xdr:contentPart>
      </mc:Choice>
      <mc:Fallback xmlns="">
        <xdr:pic>
          <xdr:nvPicPr>
            <xdr:cNvPr id="46" name="Ink 45">
              <a:extLst>
                <a:ext uri="{FF2B5EF4-FFF2-40B4-BE49-F238E27FC236}">
                  <a16:creationId xmlns:a16="http://schemas.microsoft.com/office/drawing/2014/main" id="{D4B48070-44B0-B988-C07A-E6DF0483CA76}"/>
                </a:ext>
              </a:extLst>
            </xdr:cNvPr>
            <xdr:cNvPicPr/>
          </xdr:nvPicPr>
          <xdr:blipFill>
            <a:blip xmlns:r="http://schemas.openxmlformats.org/officeDocument/2006/relationships" r:embed="rId10"/>
            <a:stretch>
              <a:fillRect/>
            </a:stretch>
          </xdr:blipFill>
          <xdr:spPr>
            <a:xfrm>
              <a:off x="5013360" y="818280"/>
              <a:ext cx="185040" cy="219600"/>
            </a:xfrm>
            <a:prstGeom prst="rect">
              <a:avLst/>
            </a:prstGeom>
          </xdr:spPr>
        </xdr:pic>
      </mc:Fallback>
    </mc:AlternateContent>
    <xdr:clientData/>
  </xdr:twoCellAnchor>
  <xdr:twoCellAnchor editAs="oneCell">
    <xdr:from>
      <xdr:col>5</xdr:col>
      <xdr:colOff>645840</xdr:colOff>
      <xdr:row>1</xdr:row>
      <xdr:rowOff>91740</xdr:rowOff>
    </xdr:from>
    <xdr:to>
      <xdr:col>10</xdr:col>
      <xdr:colOff>563625</xdr:colOff>
      <xdr:row>4</xdr:row>
      <xdr:rowOff>162300</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78" name="Ink 77">
              <a:extLst>
                <a:ext uri="{FF2B5EF4-FFF2-40B4-BE49-F238E27FC236}">
                  <a16:creationId xmlns:a16="http://schemas.microsoft.com/office/drawing/2014/main" id="{1369FD22-0976-E996-9CCA-5F14F174DAA4}"/>
                </a:ext>
              </a:extLst>
            </xdr14:cNvPr>
            <xdr14:cNvContentPartPr/>
          </xdr14:nvContentPartPr>
          <xdr14:nvPr macro=""/>
          <xdr14:xfrm>
            <a:off x="5217840" y="282240"/>
            <a:ext cx="3603960" cy="756360"/>
          </xdr14:xfrm>
        </xdr:contentPart>
      </mc:Choice>
      <mc:Fallback xmlns="">
        <xdr:pic>
          <xdr:nvPicPr>
            <xdr:cNvPr id="78" name="Ink 77">
              <a:extLst>
                <a:ext uri="{FF2B5EF4-FFF2-40B4-BE49-F238E27FC236}">
                  <a16:creationId xmlns:a16="http://schemas.microsoft.com/office/drawing/2014/main" id="{1369FD22-0976-E996-9CCA-5F14F174DAA4}"/>
                </a:ext>
              </a:extLst>
            </xdr:cNvPr>
            <xdr:cNvPicPr/>
          </xdr:nvPicPr>
          <xdr:blipFill>
            <a:blip xmlns:r="http://schemas.openxmlformats.org/officeDocument/2006/relationships" r:embed="rId12"/>
            <a:stretch>
              <a:fillRect/>
            </a:stretch>
          </xdr:blipFill>
          <xdr:spPr>
            <a:xfrm>
              <a:off x="5211720" y="276120"/>
              <a:ext cx="3616200" cy="768600"/>
            </a:xfrm>
            <a:prstGeom prst="rect">
              <a:avLst/>
            </a:prstGeom>
          </xdr:spPr>
        </xdr:pic>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476250</xdr:colOff>
      <xdr:row>2</xdr:row>
      <xdr:rowOff>57150</xdr:rowOff>
    </xdr:from>
    <xdr:to>
      <xdr:col>8</xdr:col>
      <xdr:colOff>723900</xdr:colOff>
      <xdr:row>15</xdr:row>
      <xdr:rowOff>0</xdr:rowOff>
    </xdr:to>
    <mc:AlternateContent xmlns:mc="http://schemas.openxmlformats.org/markup-compatibility/2006" xmlns:a14="http://schemas.microsoft.com/office/drawing/2010/main">
      <mc:Choice Requires="a14">
        <xdr:graphicFrame macro="">
          <xdr:nvGraphicFramePr>
            <xdr:cNvPr id="2" name="Duration Bucket">
              <a:extLst>
                <a:ext uri="{FF2B5EF4-FFF2-40B4-BE49-F238E27FC236}">
                  <a16:creationId xmlns:a16="http://schemas.microsoft.com/office/drawing/2014/main" id="{78BEABA6-83B3-340B-9FEF-7524866A16D0}"/>
                </a:ext>
              </a:extLst>
            </xdr:cNvPr>
            <xdr:cNvGraphicFramePr/>
          </xdr:nvGraphicFramePr>
          <xdr:xfrm>
            <a:off x="0" y="0"/>
            <a:ext cx="0" cy="0"/>
          </xdr:xfrm>
          <a:graphic>
            <a:graphicData uri="http://schemas.microsoft.com/office/drawing/2010/slicer">
              <sle:slicer xmlns:sle="http://schemas.microsoft.com/office/drawing/2010/slicer" name="Duration Bucket"/>
            </a:graphicData>
          </a:graphic>
        </xdr:graphicFrame>
      </mc:Choice>
      <mc:Fallback xmlns="">
        <xdr:sp macro="" textlink="">
          <xdr:nvSpPr>
            <xdr:cNvPr id="0" name=""/>
            <xdr:cNvSpPr>
              <a:spLocks noTextEdit="1"/>
            </xdr:cNvSpPr>
          </xdr:nvSpPr>
          <xdr:spPr>
            <a:xfrm>
              <a:off x="3638550" y="485775"/>
              <a:ext cx="1828800" cy="266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272661</xdr:colOff>
      <xdr:row>0</xdr:row>
      <xdr:rowOff>455400</xdr:rowOff>
    </xdr:from>
    <xdr:to>
      <xdr:col>8</xdr:col>
      <xdr:colOff>573621</xdr:colOff>
      <xdr:row>2</xdr:row>
      <xdr:rowOff>157419</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5" name="Ink 4">
              <a:extLst>
                <a:ext uri="{FF2B5EF4-FFF2-40B4-BE49-F238E27FC236}">
                  <a16:creationId xmlns:a16="http://schemas.microsoft.com/office/drawing/2014/main" id="{2CDDFBF9-27B4-B2FA-773E-B5497041F5FF}"/>
                </a:ext>
              </a:extLst>
            </xdr14:cNvPr>
            <xdr14:cNvContentPartPr/>
          </xdr14:nvContentPartPr>
          <xdr14:nvPr macro=""/>
          <xdr14:xfrm>
            <a:off x="8969400" y="455400"/>
            <a:ext cx="300960" cy="530280"/>
          </xdr14:xfrm>
        </xdr:contentPart>
      </mc:Choice>
      <mc:Fallback xmlns="">
        <xdr:pic>
          <xdr:nvPicPr>
            <xdr:cNvPr id="5" name="Ink 4">
              <a:extLst>
                <a:ext uri="{FF2B5EF4-FFF2-40B4-BE49-F238E27FC236}">
                  <a16:creationId xmlns:a16="http://schemas.microsoft.com/office/drawing/2014/main" id="{2CDDFBF9-27B4-B2FA-773E-B5497041F5FF}"/>
                </a:ext>
              </a:extLst>
            </xdr:cNvPr>
            <xdr:cNvPicPr/>
          </xdr:nvPicPr>
          <xdr:blipFill>
            <a:blip xmlns:r="http://schemas.openxmlformats.org/officeDocument/2006/relationships" r:embed="rId2"/>
            <a:stretch>
              <a:fillRect/>
            </a:stretch>
          </xdr:blipFill>
          <xdr:spPr>
            <a:xfrm>
              <a:off x="8963280" y="449280"/>
              <a:ext cx="313200" cy="542520"/>
            </a:xfrm>
            <a:prstGeom prst="rect">
              <a:avLst/>
            </a:prstGeom>
          </xdr:spPr>
        </xdr:pic>
      </mc:Fallback>
    </mc:AlternateContent>
    <xdr:clientData/>
  </xdr:twoCellAnchor>
  <xdr:twoCellAnchor editAs="oneCell">
    <xdr:from>
      <xdr:col>8</xdr:col>
      <xdr:colOff>695661</xdr:colOff>
      <xdr:row>0</xdr:row>
      <xdr:rowOff>209880</xdr:rowOff>
    </xdr:from>
    <xdr:to>
      <xdr:col>10</xdr:col>
      <xdr:colOff>174008</xdr:colOff>
      <xdr:row>0</xdr:row>
      <xdr:rowOff>604080</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23" name="Ink 22">
              <a:extLst>
                <a:ext uri="{FF2B5EF4-FFF2-40B4-BE49-F238E27FC236}">
                  <a16:creationId xmlns:a16="http://schemas.microsoft.com/office/drawing/2014/main" id="{B144AEE4-77A4-DA88-8219-1E97455300E1}"/>
                </a:ext>
              </a:extLst>
            </xdr14:cNvPr>
            <xdr14:cNvContentPartPr/>
          </xdr14:nvContentPartPr>
          <xdr14:nvPr macro=""/>
          <xdr14:xfrm>
            <a:off x="9392400" y="209880"/>
            <a:ext cx="1805760" cy="394200"/>
          </xdr14:xfrm>
        </xdr:contentPart>
      </mc:Choice>
      <mc:Fallback xmlns="">
        <xdr:pic>
          <xdr:nvPicPr>
            <xdr:cNvPr id="23" name="Ink 22">
              <a:extLst>
                <a:ext uri="{FF2B5EF4-FFF2-40B4-BE49-F238E27FC236}">
                  <a16:creationId xmlns:a16="http://schemas.microsoft.com/office/drawing/2014/main" id="{B144AEE4-77A4-DA88-8219-1E97455300E1}"/>
                </a:ext>
              </a:extLst>
            </xdr:cNvPr>
            <xdr:cNvPicPr/>
          </xdr:nvPicPr>
          <xdr:blipFill>
            <a:blip xmlns:r="http://schemas.openxmlformats.org/officeDocument/2006/relationships" r:embed="rId4"/>
            <a:stretch>
              <a:fillRect/>
            </a:stretch>
          </xdr:blipFill>
          <xdr:spPr>
            <a:xfrm>
              <a:off x="9386281" y="203760"/>
              <a:ext cx="1817998" cy="406440"/>
            </a:xfrm>
            <a:prstGeom prst="rect">
              <a:avLst/>
            </a:prstGeom>
          </xdr:spPr>
        </xdr:pic>
      </mc:Fallback>
    </mc:AlternateContent>
    <xdr:clientData/>
  </xdr:twoCellAnchor>
  <xdr:twoCellAnchor editAs="oneCell">
    <xdr:from>
      <xdr:col>9</xdr:col>
      <xdr:colOff>107337</xdr:colOff>
      <xdr:row>1</xdr:row>
      <xdr:rowOff>289800</xdr:rowOff>
    </xdr:from>
    <xdr:to>
      <xdr:col>9</xdr:col>
      <xdr:colOff>107697</xdr:colOff>
      <xdr:row>2</xdr:row>
      <xdr:rowOff>8137</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24" name="Ink 23">
              <a:extLst>
                <a:ext uri="{FF2B5EF4-FFF2-40B4-BE49-F238E27FC236}">
                  <a16:creationId xmlns:a16="http://schemas.microsoft.com/office/drawing/2014/main" id="{DB8D0A53-AAF1-0974-2ED7-6CDA03ACEB65}"/>
                </a:ext>
              </a:extLst>
            </xdr14:cNvPr>
            <xdr14:cNvContentPartPr/>
          </xdr14:nvContentPartPr>
          <xdr14:nvPr macro=""/>
          <xdr14:xfrm>
            <a:off x="11355120" y="289800"/>
            <a:ext cx="360" cy="360"/>
          </xdr14:xfrm>
        </xdr:contentPart>
      </mc:Choice>
      <mc:Fallback xmlns="">
        <xdr:pic>
          <xdr:nvPicPr>
            <xdr:cNvPr id="24" name="Ink 23">
              <a:extLst>
                <a:ext uri="{FF2B5EF4-FFF2-40B4-BE49-F238E27FC236}">
                  <a16:creationId xmlns:a16="http://schemas.microsoft.com/office/drawing/2014/main" id="{DB8D0A53-AAF1-0974-2ED7-6CDA03ACEB65}"/>
                </a:ext>
              </a:extLst>
            </xdr:cNvPr>
            <xdr:cNvPicPr/>
          </xdr:nvPicPr>
          <xdr:blipFill>
            <a:blip xmlns:r="http://schemas.openxmlformats.org/officeDocument/2006/relationships" r:embed="rId6"/>
            <a:stretch>
              <a:fillRect/>
            </a:stretch>
          </xdr:blipFill>
          <xdr:spPr>
            <a:xfrm>
              <a:off x="11349000" y="283680"/>
              <a:ext cx="12600" cy="1260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7:58:20.980"/>
    </inkml:context>
    <inkml:brush xml:id="br0">
      <inkml:brushProperty name="width" value="0.05" units="cm"/>
      <inkml:brushProperty name="height" value="0.05" units="cm"/>
      <inkml:brushProperty name="color" value="#E71224"/>
    </inkml:brush>
  </inkml:definitions>
  <inkml:trace contextRef="#ctx0" brushRef="#br0">1 0 24575</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7:58:23.327"/>
    </inkml:context>
    <inkml:brush xml:id="br0">
      <inkml:brushProperty name="width" value="0.05" units="cm"/>
      <inkml:brushProperty name="height" value="0.05" units="cm"/>
      <inkml:brushProperty name="color" value="#E71224"/>
    </inkml:brush>
  </inkml:definitions>
  <inkml:trace contextRef="#ctx0" brushRef="#br0">193 414 24575,'339'-20'0,"-273"15"0,-44 4 0,0-1 0,0 0 0,0-2 0,0 0 0,26-10 0,-27 7 5,0 1 0,0 1 1,1 1-1,0 0 0,27 0 0,114 6-137,-63 1-1132,-76-3-5562</inkml:trace>
  <inkml:trace contextRef="#ctx0" brushRef="#br0" timeOffset="635.51">1121 1 24575</inkml:trace>
  <inkml:trace contextRef="#ctx0" brushRef="#br0" timeOffset="1544.06">1121 1 24575,'28'12'0,"0"1"0,0 1 0,-2 1 0,0 2 0,34 28 0,41 25 0,-43-38 0,2-2 0,1-4 0,2-2 0,0-2 0,72 14 0,-129-35 0,-1 0 0,1 1 0,0 0 0,-1 0 0,0 0 0,1 1 0,-1-1 0,0 1 0,0 0 0,7 7 0,-10-8 0,-1 0 0,1 0 0,0 1 0,-1-1 0,0 1 0,0-1 0,1 1 0,-2 0 0,1-1 0,0 1 0,0 0 0,-1-1 0,0 1 0,1 0 0,-1 0 0,0-1 0,0 1 0,-1 0 0,1 0 0,-1 0 0,1-1 0,-1 1 0,-1 2 0,-4 12 0,-1-1 0,-1 0 0,0 0 0,-1-1 0,0 0 0,-2 0 0,1-1 0,-22 21 0,-13 8 0,-53 41 0,58-53-341,-1-1 0,-2-2-1,-70 34 1,77-47-6485</inkml:trace>
  <inkml:trace contextRef="#ctx0" brushRef="#br0" timeOffset="3695.85">538 78 24575,'-8'1'0,"1"0"0,0 0 0,0 1 0,-1 0 0,1 0 0,1 1 0,-1 0 0,0 0 0,1 0 0,-1 1 0,-11 8 0,-5 7 0,-32 30 0,55-48 0,-63 54 0,-99 69 0,151-118 0,1 2 0,0-1 0,1 1 0,0 1 0,0 0 0,1 0 0,0 1 0,0-1 0,1 2 0,1-1 0,-1 1 0,2 0 0,0 0 0,0 1 0,1-1 0,1 1 0,0 0 0,0 0 0,-1 14 0,2 6 0,0-20 0,1 0 0,0 0 0,1 0 0,2 16 0,-1-25 0,0 1 0,0 0 0,0-1 0,0 1 0,1-1 0,-1 0 0,1 1 0,0-1 0,0 0 0,0 0 0,0 0 0,1 0 0,-1 0 0,1-1 0,0 1 0,0-1 0,0 0 0,5 4 0,7 2 0,1-1 0,0-1 0,0 0 0,0 0 0,26 4 0,92 9 0,-82-12 0,53 5-24,122 22-1317,-205-28-5485</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2T09:31:54.517"/>
    </inkml:context>
    <inkml:brush xml:id="br0">
      <inkml:brushProperty name="width" value="0.035" units="cm"/>
      <inkml:brushProperty name="height" value="0.035" units="cm"/>
      <inkml:brushProperty name="color" value="#E71224"/>
    </inkml:brush>
  </inkml:definitions>
  <inkml:trace contextRef="#ctx0" brushRef="#br0">23 156 24575,'172'12'0,"-29"0"0,128 21 0,-147-14 0,535 88 0,-569-91-1365,-59-12-5461</inkml:trace>
  <inkml:trace contextRef="#ctx0" brushRef="#br0" timeOffset="1283.32">1468 0 24575,'17'1'0,"1"0"0,-1 1 0,0 1 0,0 1 0,29 10 0,78 40 0,-34-12 0,-86-41 0,0 2 0,-1-1 0,1 0 0,0 1 0,-1 0 0,1 0 0,-1 0 0,0 0 0,0 0 0,0 1 0,-1-1 0,1 1 0,-1 0 0,0 0 0,0 0 0,0 0 0,0 0 0,-1 0 0,0 0 0,1 1 0,-2-1 0,2 7 0,0 10 0,-1 0 0,-1 1 0,-3 31 0,1-35 0,-2 14 15,-1-1 0,-2-1 0,-1 1 0,-1-1 0,-2 0 0,-1-1 0,-28 49 0,-2-8-758,-91 115 1,113-160-6084</inkml:trace>
  <inkml:trace contextRef="#ctx0" brushRef="#br0" timeOffset="6968.5">1 1112 24575,'0'0'-8191</inkml:trace>
  <inkml:trace contextRef="#ctx0" brushRef="#br0" timeOffset="7823.45">45 934 24575,'0'4'0,"0"5"0,0 4 0,0 8 0,0 12 0,0 8 0,0 0 0,0 1 0,0 1 0,0 5 0,0 1 0,0 0 0,0 0 0,0-9-8191</inkml:trace>
  <inkml:trace contextRef="#ctx0" brushRef="#br0" timeOffset="8772.58">1 956 24575,'11'0'0,"15"0"0,8 0 0,4-4 0,1-1 0,4 1 0,-1 0 0,-4 1 0,-1 1 0,1 1 0,2 1 0,1 0 0,-3-4 0,-7 0-8191</inkml:trace>
  <inkml:trace contextRef="#ctx0" brushRef="#br0" timeOffset="9624.37">45 1156 24575,'0'4'0,"4"1"0,5 0 0,8-1 0,9-2 0,8 0 0,6-1 0,3-1 0,-2 0 0,0 0 0,-7 0-8191</inkml:trace>
  <inkml:trace contextRef="#ctx0" brushRef="#br0" timeOffset="10807">423 1201 24575,'-2'-1'0,"-1"1"0,0 0 0,1 0 0,-1 1 0,1-1 0,-1 0 0,1 1 0,-1 0 0,1-1 0,-1 1 0,1 0 0,-1 0 0,1 0 0,0 1 0,0-1 0,0 0 0,-1 1 0,1 0 0,1-1 0,-4 4 0,3-1 0,-1 1 0,1-1 0,1 1 0,-1-1 0,1 1 0,-1 0 0,1 0 0,1 0 0,-1-1 0,0 8 0,0 7 0,0 0 0,1 0 0,0 0 0,2 0 0,0 0 0,2 0 0,10 36 0,-12-49 0,1 1 0,1 0 0,-1-1 0,1 1 0,0-1 0,0 0 0,0 0 0,1-1 0,0 1 0,0-1 0,1 0 0,0-1 0,-1 1 0,2-1 0,-1 0 0,0-1 0,1 1 0,-1-1 0,1 0 0,0-1 0,0 0 0,0 0 0,13 1 0,-16-2 0,0 0 0,0 0 0,1-1 0,-1 0 0,0 0 0,0 0 0,0 0 0,0-1 0,0 0 0,0 0 0,0 0 0,0 0 0,-1 0 0,1-1 0,0 0 0,-1 1 0,1-1 0,-1-1 0,6-4 0,-5 3 0,-1 0 0,0 0 0,0-1 0,-1 1 0,1-1 0,-1 0 0,0 1 0,0-1 0,-1 0 0,1 0 0,-1-1 0,0 1 0,-1 0 0,1 0 0,-1-6 0,0 5 0,1 0 0,-2-1 0,1 1 0,-1 0 0,0 0 0,0 0 0,-1 0 0,1 0 0,-1 0 0,-1 0 0,1 1 0,-1-1 0,0 1 0,0-1 0,-5-4 0,3 4 0,-1 0 0,0 1 0,0-1 0,0 1 0,-1 0 0,1 1 0,-1 0 0,-1 0 0,1 1 0,0-1 0,-11-2 0,-3 1-1365,3 1-5461</inkml:trace>
  <inkml:trace contextRef="#ctx0" brushRef="#br0" timeOffset="13768.51">1068 1334 24575,'1'34'0,"0"-23"0,0-1 0,-1 0 0,0 1 0,-1-1 0,0 0 0,-5 19 0,6-28 0,0 0 0,0-1 0,0 1 0,0 0 0,-1 0 0,1-1 0,0 1 0,-1 0 0,1-1 0,0 1 0,-1-1 0,1 1 0,-1-1 0,1 1 0,-1 0 0,1-1 0,-1 0 0,1 1 0,-1-1 0,1 1 0,-1-1 0,0 0 0,1 1 0,-1-1 0,0 0 0,0 1 0,-11-13 0,-1-28 0,9 11 0,2 1 0,1-42 0,2 61 0,-1 0 0,1 1 0,1-1 0,-1 1 0,1 0 0,1-1 0,0 1 0,0 0 0,0 0 0,1 1 0,0-1 0,9-11 0,-12 17 0,1 0 0,0 0 0,0 0 0,1 0 0,-1 0 0,0 0 0,1 0 0,-1 1 0,1-1 0,-1 1 0,1 0 0,0 0 0,-1 0 0,1 0 0,0 0 0,0 0 0,0 1 0,0 0 0,0-1 0,-1 1 0,1 0 0,0 0 0,0 1 0,0-1 0,0 0 0,0 1 0,0 0 0,0 0 0,-1 0 0,1 0 0,0 0 0,-1 0 0,1 1 0,-1 0 0,1-1 0,-1 1 0,0 0 0,0 0 0,0 0 0,0 0 0,0 0 0,0 1 0,0-1 0,-1 1 0,1-1 0,-1 1 0,0-1 0,0 1 0,0 0 0,0 0 0,0 0 0,0-1 0,0 6 0,1 14 0,-1-1 0,0 1 0,-4 26 0,3-79 0,-1 18 0,1 0 0,0 1 0,5-26 0,-4 34 0,-1 1 0,2-1 0,-1 0 0,0 1 0,1-1 0,0 1 0,-1-1 0,1 1 0,1 0 0,-1 0 0,0 0 0,1 0 0,0 0 0,-1 0 0,1 1 0,0-1 0,0 1 0,6-3 0,-1 1 0,0 0 0,0 1 0,0 0 0,0 1 0,1-1 0,-1 2 0,1-1 0,-1 1 0,14 0 0,-18 1 0,-1 0 0,0 0 0,0 1 0,0-1 0,0 1 0,0 0 0,0 0 0,0 0 0,0 0 0,0 0 0,0 1 0,0-1 0,-1 1 0,1-1 0,-1 1 0,1 0 0,-1 0 0,0 1 0,1-1 0,-1 0 0,0 1 0,-1-1 0,1 1 0,0 0 0,-1-1 0,1 1 0,-1 0 0,2 5 0,0 6-151,-1-1-1,0 1 0,-1 0 0,0 0 1,-1 0-1,-1-1 0,0 1 1,-4 20-1,-1-11-6674</inkml:trace>
  <inkml:trace contextRef="#ctx0" brushRef="#br0" timeOffset="15847.73">1513 1134 24575,'-1'24'0,"0"-4"0,2 0 0,3 33 0,-3-49 0,-1 0 0,1 0 0,0 0 0,1 0 0,-1 0 0,0-1 0,1 1 0,0 0 0,0-1 0,0 1 0,0-1 0,1 1 0,0-1 0,-1 0 0,1 0 0,0 0 0,0-1 0,6 5 0,-7-6 0,-1 0 0,1-1 0,-1 1 0,1 0 0,-1-1 0,1 1 0,-1-1 0,1 0 0,0 1 0,-1-1 0,1 0 0,-1 0 0,1 0 0,0 0 0,-1 0 0,1 0 0,0-1 0,-1 1 0,1 0 0,-1-1 0,1 1 0,-1-1 0,1 0 0,-1 1 0,3-3 0,-1 1 0,0-1 0,-1 0 0,1 0 0,-1 0 0,1 0 0,-1 0 0,0-1 0,0 1 0,0-1 0,1-5 0,2-5 0,-1 0 0,-1 0 0,0 0 0,2-28 0,-7-8 0,1 37 0,2 35 0,1-3 0,0 1 0,2 0 0,0-1 0,13 34 0,-15-47 0,0-1 0,0 1 0,0-1 0,1 0 0,0 0 0,0 0 0,0 0 0,0 0 0,1-1 0,0 1 0,0-1 0,0 0 0,1 0 0,-1-1 0,1 1 0,0-1 0,0 0 0,0-1 0,0 1 0,10 3 0,-12-6 0,-1 0 0,1 1 0,0-1 0,-1 0 0,1 0 0,0-1 0,-1 1 0,1 0 0,0-1 0,-1 0 0,1 1 0,-1-1 0,1 0 0,-1 0 0,1-1 0,-1 1 0,0 0 0,0-1 0,0 0 0,0 1 0,0-1 0,0 0 0,0 0 0,0 0 0,-1 0 0,1 0 0,-1-1 0,1 1 0,-1 0 0,2-5 0,3-7 0,-1-2 0,0 1 0,-1 0 0,3-19 0,0 0 0,1-1 0,-2-1 0,-1 1 0,-2-1 0,-1-46 0,-3 164 0,1 105 0,0-183-47,0-1 0,1 0 0,-1 0 0,1 0 0,-1 0 0,1 0 0,0 0 0,1 0 0,-1 0-1,0 0 1,1 0 0,-1-1 0,1 1 0,0 0 0,0-1 0,0 1 0,0-1 0,0 0 0,1 0 0,-1 0 0,1 0 0,-1 0-1,1 0 1,0-1 0,0 0 0,0 1 0,0-1 0,5 2 0,13 1-6779</inkml:trace>
  <inkml:trace contextRef="#ctx0" brushRef="#br0" timeOffset="40387.67">668 1267 24575,'7'0'0,"0"1"0,0-1 0,0 1 0,0 0 0,1 0 0,-2 1 0,1 0 0,0 1 0,0-1 0,-1 1 0,1 0 0,-1 1 0,0 0 0,0 0 0,10 8 0,-10-5 0,1 1 0,-1-1 0,0 1 0,-1 1 0,0-1 0,0 1 0,-1 0 0,0 0 0,0 0 0,-1 0 0,2 11 0,1 4 0,-3-16 0,0 0 0,-1 0 0,0 0 0,-1 0 0,0 0 0,0 1 0,-1-1 0,-1 11 0,1-19 0,0 0 0,0 0 0,0-1 0,0 1 0,-1 0 0,1-1 0,0 1 0,0 0 0,0 0 0,-1-1 0,1 1 0,0 0 0,-1 0 0,1 0 0,0-1 0,0 1 0,-1 0 0,1 0 0,0 0 0,-1 0 0,1 0 0,0 0 0,-1 0 0,1-1 0,0 1 0,-1 0 0,1 0 0,0 0 0,-1 0 0,1 1 0,0-1 0,-1 0 0,1 0 0,0 0 0,-1 0 0,1 0 0,0 0 0,-1 0 0,1 1 0,0-1 0,-1 0 0,1 0 0,0 0 0,0 1 0,-1-1 0,1 0 0,0 0 0,0 1 0,-1-1 0,1 0 0,0 1 0,0-1 0,0 0 0,0 0 0,0 1 0,-1-1 0,1 0 0,0 1 0,0-1 0,0 0 0,0 1 0,0-1 0,0 1 0,0-1 0,-13-27 0,10 15 0,0 0 0,0 0 0,1 0 0,0-1 0,1 1 0,1 0 0,0-1 0,1 1 0,0-1 0,0 1 0,2 0 0,-1 0 0,2 0 0,-1 0 0,2 0 0,0 1 0,0 0 0,1 0 0,0 0 0,1 1 0,0 0 0,13-14 0,27-24-1365,-33 37-5461</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2T09:32:38.530"/>
    </inkml:context>
    <inkml:brush xml:id="br0">
      <inkml:brushProperty name="width" value="0.035" units="cm"/>
      <inkml:brushProperty name="height" value="0.035" units="cm"/>
      <inkml:brushProperty name="color" value="#E71224"/>
    </inkml:brush>
  </inkml:definitions>
  <inkml:trace contextRef="#ctx0" brushRef="#br0">68 13 24575,'-1'12'0,"-1"0"0,0-1 0,-1 0 0,0 1 0,0-1 0,-1 0 0,-1 0 0,-7 13 0,7-16 0,0 1 0,1 0 0,0 1 0,1-1 0,0 0 0,0 1 0,1 0 0,0 0 0,1 0 0,0-1 0,1 19 0,1-25 0,-1 0 0,1 0 0,0 0 0,0 0 0,0-1 0,0 1 0,1 0 0,-1-1 0,1 1 0,-1-1 0,1 0 0,0 1 0,0-1 0,0 0 0,0 0 0,1 0 0,-1-1 0,1 1 0,2 1 0,-3-2 0,-1 0 0,0-1 0,1 1 0,-1-1 0,0 0 0,1 0 0,-1 1 0,0-1 0,1 0 0,-1 0 0,1 0 0,-1 0 0,0 0 0,1-1 0,-1 1 0,1 0 0,-1-1 0,0 1 0,1-1 0,-1 1 0,0-1 0,0 0 0,0 1 0,1-1 0,-1 0 0,0 0 0,0 0 0,0 0 0,0 0 0,0 0 0,0 0 0,-1 0 0,1 0 0,0-1 0,-1 1 0,1 0 0,0 0 0,-1-1 0,1 1 0,-1 0 0,1-3 0,3-11 0,-1 1 0,0-1 0,0-1 0,-2 1 0,0-21 0,-5-79 0,1 58 0,4 84 0,2 1 0,8 31 0,-5-30 0,-5-24-47,0 0 0,1 0 0,0 0 0,0 0 0,0-1 0,0 1 0,1-1 0,0 0 0,0 1-1,0-1 1,0 0 0,1-1 0,0 1 0,0-1 0,0 1 0,0-1 0,0 0 0,0-1 0,1 1 0,-1-1 0,1 0 0,0 0-1,0 0 1,0-1 0,0 0 0,0 0 0,0 0 0,6 0 0,8 1-6779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2T09:32:58.034"/>
    </inkml:context>
    <inkml:brush xml:id="br0">
      <inkml:brushProperty name="width" value="0.035" units="cm"/>
      <inkml:brushProperty name="height" value="0.035" units="cm"/>
      <inkml:brushProperty name="color" value="#FFC114"/>
    </inkml:brush>
  </inkml:definitions>
  <inkml:trace contextRef="#ctx0" brushRef="#br0">1 0 24575</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2T09:33:11.476"/>
    </inkml:context>
    <inkml:brush xml:id="br0">
      <inkml:brushProperty name="width" value="0.035" units="cm"/>
      <inkml:brushProperty name="height" value="0.035" units="cm"/>
      <inkml:brushProperty name="color" value="#FFC114"/>
    </inkml:brush>
  </inkml:definitions>
  <inkml:trace contextRef="#ctx0" brushRef="#br0">1 0 24575,'0'0'-8191</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10:56.291"/>
    </inkml:context>
    <inkml:brush xml:id="br0">
      <inkml:brushProperty name="width" value="0.035" units="cm"/>
      <inkml:brushProperty name="height" value="0.035" units="cm"/>
      <inkml:brushProperty name="color" value="#E71224"/>
    </inkml:brush>
  </inkml:definitions>
  <inkml:trace contextRef="#ctx0" brushRef="#br0">1116 1013 24575,'-114'5'0,"1"6"0,-187 41 0,191-26 0,45-10 0,-76 9 0,108-20-341,0 2 0,0 0-1,-40 17 1,39-12-6485</inkml:trace>
  <inkml:trace contextRef="#ctx0" brushRef="#br0" timeOffset="1390.55">137 907 24575,'-2'26'0,"-1"-1"0,-1 0 0,-2 0 0,0 0 0,-2 0 0,-14 31 0,7-18 0,-13 56 0,-12 152 0,39-243 0,1 0 0,-1 0 0,1 0 0,0 1 0,0-1 0,0 0 0,0 0 0,1 0 0,1 6 0,-1-8 0,0 0 0,0 1 0,0-1 0,1 0 0,-1 0 0,0 0 0,1 0 0,-1 0 0,1 0 0,-1-1 0,1 1 0,-1 0 0,1-1 0,0 1 0,-1-1 0,1 1 0,0-1 0,-1 0 0,1 0 0,2 0 0,32 3-121,69-4-1,-71-1-1000,-7 1-5704</inkml:trace>
  <inkml:trace contextRef="#ctx0" brushRef="#br0" timeOffset="4207.72">719 378 24575,'-1'94'0,"3"103"0,-2-195 0,0 0 0,0 1 0,0-1 0,0 0 0,0 0 0,1 0 0,-1 0 0,1 0 0,-1 0 0,1 0 0,0 0 0,0 0 0,0 0 0,0 0 0,0 0 0,0-1 0,1 1 0,-1 0 0,0-1 0,1 1 0,0-1 0,-1 0 0,1 1 0,0-1 0,-1 0 0,1 0 0,0 0 0,0 0 0,0 0 0,0 0 0,0-1 0,0 1 0,0-1 0,0 1 0,0-1 0,1 0 0,-1 0 0,0 0 0,0 0 0,0 0 0,0-1 0,0 1 0,0 0 0,0-1 0,0 0 0,0 1 0,0-1 0,3-1 0,1-1 0,-1 1 0,1-1 0,-1 0 0,1 0 0,-1 0 0,0-1 0,0 0 0,-1 0 0,1 0 0,-1 0 0,0-1 0,0 0 0,0 0 0,-1 0 0,0 0 0,4-7 0,49-173 0,-56 184 0,0 1 0,0-1 0,0 0 0,0 1 0,0-1 0,0 1 0,0-1 0,0 0 0,0 1 0,0-1 0,0 1 0,0-1 0,0 1 0,1-1 0,-1 1 0,0-1 0,0 1 0,1-1 0,-1 1 0,0-1 0,1 1 0,-1-1 0,0 1 0,1-1 0,-1 1 0,1 0 0,-1-1 0,1 1 0,-1 0 0,1-1 0,-1 1 0,1 0 0,-1 0 0,1 0 0,-1-1 0,1 1 0,-1 0 0,1 0 0,0 0 0,13 23 0,4 48 0,-17-69 0,1 7 0,0 0 0,0 0 0,1-1 0,1 1 0,0-1 0,0 0 0,7 11 0,-9-17 0,-1 1 0,1-1 0,0 0 0,0 0 0,0 0 0,0-1 0,0 1 0,0 0 0,0-1 0,1 1 0,-1-1 0,1 0 0,-1 0 0,1 0 0,-1 0 0,1 0 0,0 0 0,-1-1 0,1 1 0,0-1 0,0 0 0,-1 0 0,1 0 0,0 0 0,0 0 0,-1-1 0,1 1 0,5-2 0,-6 0 0,1 1 0,0-1 0,-1 0 0,0 0 0,1 1 0,-1-1 0,0-1 0,0 1 0,0 0 0,0 0 0,0-1 0,-1 1 0,1-1 0,-1 0 0,1 1 0,0-4 0,19-55 0,-12 34 0,-4 14-124,-1 1 0,0-1 0,-1 0 0,0 0 0,-1 0 0,-1-1-1,0 1 1,-1 0 0,0-1 0,-3-19 0,-3 11-6702</inkml:trace>
  <inkml:trace contextRef="#ctx0" brushRef="#br0" timeOffset="5976.78">1354 590 24575,'0'-4'0,"0"1"0,-1 0 0,1 0 0,-1 0 0,0-1 0,0 1 0,0 0 0,-1 0 0,1 0 0,-1 1 0,1-1 0,-1 0 0,0 1 0,0-1 0,0 1 0,-1-1 0,1 1 0,0 0 0,-1 0 0,0 0 0,1 0 0,-1 0 0,0 1 0,0-1 0,0 1 0,0 0 0,-4-1 0,4 1 0,1 0 0,0 1 0,-1-1 0,1 1 0,-1 0 0,1-1 0,-1 1 0,1 0 0,0 1 0,-1-1 0,1 0 0,-1 1 0,1-1 0,0 1 0,-1 0 0,1 0 0,0 0 0,0 0 0,-1 0 0,1 0 0,0 0 0,0 1 0,0-1 0,1 1 0,-1 0 0,0 0 0,0-1 0,1 1 0,-1 0 0,1 0 0,0 0 0,0 0 0,0 1 0,0-1 0,0 0 0,-1 4 0,-1 12 0,0 1 0,1-1 0,1 1 0,1 0 0,0 0 0,6 30 0,-6-46-39,1-1 0,-1 1 0,1-1 0,0 1 0,-1-1 0,1 0 0,1 1 0,-1-1 0,0 0 0,0 0 0,1 0 0,-1 0 0,1 0 0,0 0 0,0 0 0,-1-1 0,1 1 0,0 0 0,0-1 0,1 0 0,-1 1 0,0-1 0,0 0 0,1 0 0,-1 0 0,1-1 0,-1 1 0,0 0 0,1-1 0,-1 0 0,1 1 0,0-1 0,-1 0 0,3-1 0,14-1-6787</inkml:trace>
  <inkml:trace contextRef="#ctx0" brushRef="#br0" timeOffset="8048.94">1698 669 24575,'1'0'0,"1"-1"0,-1 1 0,0-1 0,0 1 0,0-1 0,0 0 0,0 0 0,0 1 0,0-1 0,0 0 0,0 0 0,0 0 0,0 0 0,-1 0 0,1 0 0,0 0 0,0 0 0,-1 0 0,1 0 0,-1 0 0,1-1 0,-1 1 0,0 0 0,0 0 0,1 0 0,-1-1 0,0-1 0,5-41 0,-5 40 0,2-23 0,0 1 0,2 0 0,11-41 0,-13 60 0,0 1 0,0-1 0,1 1 0,-1 0 0,2 0 0,-1 0 0,1 0 0,-1 0 0,2 1 0,-1 0 0,1 0 0,-1 0 0,1 0 0,1 1 0,-1 0 0,1 0 0,-1 0 0,1 1 0,9-5 0,-12 7 0,0 0 0,0 0 0,0 1 0,0-1 0,0 0 0,0 1 0,0 0 0,0 0 0,0 0 0,1 0 0,-1 0 0,0 1 0,0-1 0,0 1 0,0 0 0,0 0 0,0 0 0,-1 0 0,1 1 0,4 1 0,-3 1 0,1 0 0,-1 0 0,1 0 0,-1 1 0,0-1 0,-1 1 0,1 0 0,-1 0 0,0 0 0,2 6 0,3 9 0,-1 0 0,0 0 0,-2 0 0,6 42 0,-6-3-682,-3 80-1,-4-100-6143</inkml:trace>
  <inkml:trace contextRef="#ctx0" brushRef="#br0" timeOffset="9328.64">2519 457 24575,'-10'0'0,"-93"-1"0,0 5 0,-108 18 0,207-21 0,0-1 0,0 1 0,0 0 0,1 1 0,-1-1 0,0 1 0,1 0 0,-1 0 0,1 0 0,-1 0 0,1 0 0,0 1 0,0-1 0,0 1 0,0 0 0,1 0 0,-1 0 0,-2 5 0,2-2 0,0 0 0,0 0 0,1 0 0,0 1 0,1-1 0,-1 1 0,1-1 0,0 1 0,1 0 0,-1 8 0,2 1 0,1 0 0,0-1 0,0 1 0,2-1 0,0 0 0,1 0 0,0 0 0,15 27 0,-13-32 0,0 0 0,1-1 0,0 1 0,1-2 0,0 1 0,1-1 0,-1-1 0,2 0 0,-1 0 0,1-1 0,0 0 0,15 6 0,-10-6 0,1 0 0,0-1 0,0 0 0,0-1 0,0-1 0,1-1 0,-1-1 0,22 0 0,15-12-1365,-32 4-5461</inkml:trace>
  <inkml:trace contextRef="#ctx0" brushRef="#br0" timeOffset="10511.84">2968 590 24575,'1'-9'0,"-1"1"0,-1-1 0,0 1 0,0-1 0,0 1 0,-1 0 0,-1 0 0,-3-10 0,4 15 0,0 0 0,0-1 0,0 1 0,0 0 0,-1 1 0,1-1 0,-1 0 0,0 1 0,0-1 0,0 1 0,0 0 0,0 0 0,0 0 0,-1 0 0,1 1 0,-1-1 0,1 1 0,-1 0 0,0 0 0,-5-1 0,3 1 0,0-1 0,0 2 0,-1-1 0,1 1 0,0-1 0,-1 2 0,1-1 0,0 1 0,0 0 0,0 0 0,-1 1 0,1-1 0,0 1 0,-10 6 0,10-4 0,1 0 0,-1 0 0,1 1 0,0 0 0,1 0 0,-1 0 0,1 0 0,0 1 0,0 0 0,1 0 0,-1 0 0,1 0 0,-3 10 0,2-3 0,0-1 0,0 1 0,1 0 0,1 0 0,0 0 0,1 1 0,0-1 0,1 0 0,3 27 0,-2-34 0,0 1 0,1-1 0,-1 1 0,1-1 0,1 0 0,-1 0 0,1 0 0,0 0 0,0 0 0,1-1 0,0 1 0,0-1 0,0 0 0,1 0 0,-1-1 0,1 1 0,0-1 0,0 0 0,1 0 0,-1 0 0,11 4 0,-1-3-227,0 0-1,1-1 1,-1 0-1,1-1 1,28 1-1,-18-3-6598</inkml:trace>
  <inkml:trace contextRef="#ctx0" brushRef="#br0" timeOffset="12830.01">3630 616 24575,'-32'0'0,"8"-2"0,0 2 0,0 1 0,0 1 0,-45 10 0,64-11 0,-1 1 0,1 0 0,0 0 0,0 0 0,0 0 0,0 1 0,0 0 0,0 0 0,1 0 0,-1 1 0,1-1 0,0 1 0,0 0 0,1 0 0,-1 1 0,1-1 0,0 1 0,0 0 0,0-1 0,1 1 0,-1 0 0,1 1 0,0-1 0,1 0 0,0 1 0,-1-1 0,1 10 0,-2 34 0,3 0 0,9 69 0,-9-116 0,1 1 0,-1-1 0,1 1 0,-1-1 0,1 1 0,0-1 0,0 1 0,0-1 0,0 0 0,0 1 0,1-1 0,-1 0 0,1 0 0,0 0 0,-1 0 0,1 0 0,0 0 0,0-1 0,0 1 0,0-1 0,0 1 0,1-1 0,-1 0 0,0 0 0,1 0 0,-1 0 0,1 0 0,-1 0 0,1-1 0,-1 1 0,1-1 0,-1 0 0,1 1 0,-1-1 0,5-1 0,0 1 0,1-1 0,-1 0 0,0 0 0,0-1 0,1 0 0,-1 0 0,0-1 0,0 0 0,-1 0 0,1-1 0,8-5 0,-1-3 0,-1 0 0,-1-1 0,0 0 0,-1-1 0,0 0 0,-1 0 0,-1-1 0,0-1 0,-1 0 0,-1 0 0,0 0 0,-1-1 0,-1 0 0,-1 0 0,4-26 0,1-27 0,-4-1 0,-4-109 0,-2 119 0,-2-277 0,2 541 0,3 260 0,-2-453 15,0-1 0,1 1 0,1-1 0,-1 1 0,2-1 0,-1 0 0,7 16 0,-7-21-89,0-1-1,0 1 1,1-1 0,-1 0 0,1 1-1,0-1 1,0 0 0,0-1 0,0 1-1,1 0 1,-1-1 0,1 0 0,-1 0-1,1 0 1,0 0 0,0 0 0,0-1-1,0 0 1,5 1 0,33 5-6752</inkml:trace>
  <inkml:trace contextRef="#ctx0" brushRef="#br0" timeOffset="13995.3">4450 166 24575,'0'9'0,"0"8"0,0 9 0,0 5 0,0 11 0,0 8 0,0-1 0,0-4 0,0-6 0,0 1 0,-5-7 0,-1-5 0,1-7-8191</inkml:trace>
  <inkml:trace contextRef="#ctx0" brushRef="#br0" timeOffset="14570.91">4212 537 24575,'0'-9'0,"4"-3"0,7 0 0,9 3 0,7-6 0,3-1 0,1 2 0,-5 4-8191</inkml:trace>
  <inkml:trace contextRef="#ctx0" brushRef="#br0" timeOffset="16023.39">4688 351 24575,'-1'44'0,"0"45"0,2-82 0,-1-1 0,1 1 0,1-1 0,-1 1 0,1-1 0,0 1 0,0-1 0,1 0 0,0 0 0,4 7 0,-4-10 0,1 1 0,-1-1 0,0 0 0,1 0 0,0 0 0,0-1 0,0 1 0,0-1 0,0 0 0,0 0 0,1 0 0,-1-1 0,0 1 0,1-1 0,0 0 0,-1-1 0,1 1 0,-1-1 0,1 0 0,0 0 0,-1 0 0,1-1 0,9-1 0,-9 1 0,1 0 0,-1-1 0,1 0 0,-1 1 0,0-2 0,0 1 0,0-1 0,0 1 0,0-1 0,0-1 0,-1 1 0,0-1 0,1 1 0,-1-1 0,-1 0 0,1-1 0,0 1 0,-1-1 0,4-6 0,-4 1 0,1 1 0,-1-1 0,0 0 0,-1 0 0,0 0 0,-1-1 0,0 1 0,-1 0 0,0 0 0,-2-17 0,1 23 0,1 0 0,-1 0 0,0 0 0,0 1 0,0-1 0,-1 0 0,1 1 0,-1-1 0,0 1 0,0-1 0,0 1 0,0 0 0,-1 0 0,1 0 0,-1 0 0,0 0 0,0 1 0,0-1 0,0 1 0,0 0 0,-1 0 0,1 0 0,0 0 0,-1 1 0,0-1 0,1 1 0,-1 0 0,0 0 0,0 0 0,-4 0 0,2 0 0,0 0 0,0 1 0,0 0 0,0 0 0,0 0 0,-1 1 0,1 0 0,0 0 0,-10 4 0,14-4 0,-1 1 0,0-1 0,0 1 0,1 0 0,-1 0 0,1 0 0,0 0 0,0 1 0,0-1 0,0 1 0,0-1 0,0 1 0,1 0 0,-1-1 0,1 1 0,-1 0 0,1 0 0,0 0 0,0 0 0,0 6 0,-8 27-682,-16 47-1,10-45-6143</inkml:trace>
  <inkml:trace contextRef="#ctx0" brushRef="#br0" timeOffset="18545.68">1169 1621 24575,'1'0'0,"-1"0"0,1 0 0,0 0 0,-1 0 0,1 0 0,0 0 0,0 0 0,-1 0 0,1 0 0,0 0 0,-1 0 0,1 0 0,0 1 0,-1-1 0,1 0 0,-1 0 0,1 1 0,0-1 0,-1 0 0,1 1 0,-1-1 0,1 1 0,-1-1 0,1 1 0,-1-1 0,1 1 0,-1-1 0,0 1 0,1-1 0,0 2 0,-5 20 0,-2 0 0,4-9 0,-2 4 0,2 0 0,-1 0 0,2 0 0,1 0 0,0 0 0,1 1 0,6 30 0,-6-45 0,1-1 0,-1 1 0,1-1 0,0 1 0,0-1 0,0 0 0,0 0 0,0 0 0,0 0 0,0 0 0,1 0 0,-1-1 0,1 1 0,0-1 0,-1 0 0,1 0 0,0 0 0,0 0 0,-1 0 0,1 0 0,0-1 0,0 1 0,6-1 0,10 1 0,0-1 0,32-3 0,-22 0 0,11 1 0,-21 0 0,1 1 0,-1 0 0,1 2 0,-1 0 0,31 6 0,-45-5 0,-1 0 0,0 0 0,0 1 0,0-1 0,0 1 0,0 0 0,0 0 0,-1 0 0,1 0 0,-1 1 0,0-1 0,0 1 0,-1 0 0,1 0 0,-1 0 0,1 0 0,-1 1 0,0-1 0,-1 0 0,1 1 0,-1-1 0,0 1 0,0 0 0,-1-1 0,1 8 0,0-6 0,-1 1 0,1-1 0,-1 0 0,-1 0 0,1 1 0,-1-1 0,0 0 0,-1 0 0,0 0 0,1 0 0,-2 0 0,1 0 0,-1-1 0,0 1 0,0-1 0,0 0 0,-1 1 0,0-1 0,-4 4 0,-3-1 0,0-1 0,0 0 0,0-1 0,-1 0 0,0-1 0,0 0 0,0-1 0,0-1 0,-1 0 0,-17 3 0,-14-2 0,-72 0 0,110-4 15,0 0 0,0 0 0,1-1 0,-1 0 0,0 0 0,1 0 0,-11-5 0,15 6-23,0-1 0,1 1 0,-1 0 0,0-1 0,1 1 0,-1-1 0,0 1 0,1-1 0,-1 1 0,1-1-1,-1 1 1,1-1 0,0 0 0,-1 1 0,1-1 0,-1 0 0,1 1 0,0-1 0,0 0 0,-1 1 0,1-1 0,0 0 0,0 0 0,0 0 0,0-1-72,1 0-1,-1 1 1,1-1 0,-1 0 0,1 1-1,0-1 1,0 1 0,0-1 0,0 1-1,0 0 1,0-1 0,0 1 0,0 0-1,1 0 1,1-2 0,25-19-6746</inkml:trace>
  <inkml:trace contextRef="#ctx0" brushRef="#br0" timeOffset="21007.52">2069 1807 24575,'-2'126'0,"4"139"0,-1-261 0,-1 1 0,0-1 0,1 0 0,0 0 0,0 0 0,0 0 0,0 0 0,1 0 0,0 0 0,0 0 0,0 0 0,0-1 0,0 1 0,1-1 0,-1 1 0,1-1 0,0 0 0,0 0 0,0 0 0,7 4 0,-7-6 0,0 0 0,0 1 0,0-1 0,1-1 0,-1 1 0,0 0 0,0-1 0,1 0 0,-1 0 0,0 0 0,0 0 0,1 0 0,-1 0 0,0-1 0,0 0 0,1 0 0,-1 0 0,0 0 0,0 0 0,0 0 0,0-1 0,0 0 0,-1 1 0,1-1 0,0 0 0,-1 0 0,4-4 0,4-4 0,-1 0 0,-1-1 0,1 0 0,-2 0 0,1-1 0,-2 0 0,0 0 0,0 0 0,-1-1 0,6-20 0,-5 8 0,0-1 0,-2 1 0,-1-1 0,1-41 0,-6 100 0,-1-16 0,2 0 0,0 1 0,2-1 0,-1 0 0,7 33 0,-6-48 0,-1 0 0,1 0 0,0 0 0,0-1 0,0 1 0,0 0 0,0-1 0,0 1 0,0 0 0,1-1 0,-1 0 0,1 1 0,-1-1 0,1 0 0,-1 1 0,1-1 0,0 0 0,-1 0 0,1-1 0,0 1 0,2 1 0,0-1 0,0-1 0,-1 1 0,1-1 0,0 0 0,0 0 0,-1 0 0,1-1 0,0 1 0,-1-1 0,7-2 0,0 0 0,-1 0 0,0-1 0,0-1 0,0 0 0,-1 0 0,1 0 0,12-12 0,-12 7 0,0-1 0,-1 0 0,-1 0 0,0 0 0,0-1 0,-1 0 0,8-24 0,-3 8 0,-11 28 0,0-1 0,0 1 0,0 0 0,0-1 0,0 1 0,0-1 0,1 1 0,-1-1 0,0 1 0,0 0 0,0-1 0,0 1 0,1-1 0,-1 1 0,0 0 0,0-1 0,1 1 0,-1 0 0,0-1 0,1 1 0,-1 0 0,0-1 0,1 1 0,-1 0 0,0 0 0,1-1 0,-1 1 0,1 0 0,-1 0 0,1 0 0,-1 0 0,0 0 0,1 0 0,-1-1 0,1 1 0,-1 0 0,1 0 0,8 19 0,1 51 0,-8-51 0,3 12 0,0-1 0,15 44 0,-20-74 0,0 0 0,0 0 0,0 0 0,0 0 0,0-1 0,0 1 0,0 0 0,0 0 0,0 0 0,1 0 0,-1 0 0,0 0 0,0 0 0,0 0 0,0 0 0,0 0 0,0 0 0,0-1 0,0 1 0,1 0 0,-1 0 0,0 0 0,0 0 0,0 0 0,0 0 0,0 0 0,0 0 0,1 0 0,-1 0 0,0 0 0,0 0 0,0 0 0,0 0 0,0 0 0,0 0 0,0 0 0,1 0 0,-1 1 0,0-1 0,0 0 0,0 0 0,0 0 0,0 0 0,0 0 0,0 0 0,0 0 0,1 0 0,-1 0 0,0 0 0,0 1 0,0-1 0,0 0 0,0 0 0,0 0 0,4-22 0,-1-30 0,-3 17 0,-2 10 0,2 0 0,2 0 0,0 0 0,6-26 0,-7 45 0,1 0 0,0 0 0,0 0 0,0 0 0,1 0 0,0 1 0,0-1 0,0 1 0,1 0 0,-1 0 0,1 0 0,1 0 0,-1 1 0,1-1 0,-1 1 0,1 1 0,1-1 0,-1 0 0,0 1 0,1 0 0,8-3 0,-11 5 0,1 0 0,-1 0 0,0 0 0,1 0 0,-1 0 0,1 1 0,-1 0 0,0-1 0,1 1 0,-1 1 0,1-1 0,-1 0 0,1 1 0,-1 0 0,0 0 0,1 0 0,-1 0 0,0 0 0,6 4 0,-4-2 0,-1 1 0,0-1 0,0 1 0,0 0 0,-1 0 0,1 1 0,-1-1 0,0 1 0,0 0 0,-1-1 0,4 9 0,-1 0 0,-1 1 0,0-1 0,-1 1 0,0 0 0,-1-1 0,-1 1 0,0 0 0,-2 27 0,1-157 0,3 92 0,0 1 0,1-1 0,2 1 0,0 0 0,14-32 0,-16 48 0,-1 1 0,1-1 0,0 1 0,1 0 0,-1 1 0,1-1 0,0 1 0,0 0 0,1 0 0,0 0 0,0 1 0,0 0 0,0 0 0,0 1 0,1-1 0,0 1 0,-1 1 0,1-1 0,0 1 0,1 1 0,13-3 0,-11 3 0,0 0 0,0 0 0,1 0 0,-1 2 0,0-1 0,0 1 0,1 1 0,10 2 0,-17-3 0,-1 1 0,0-1 0,1 1 0,-1 0 0,0 0 0,0 0 0,0 0 0,0 1 0,0-1 0,-1 1 0,1-1 0,-1 1 0,1 0 0,-1 0 0,0 0 0,0 0 0,-1 1 0,1-1 0,0 0 0,-1 1 0,0-1 0,0 1 0,0 0 0,-1-1 0,1 7 0,2 11-195,-1 0 0,-1 0 0,-1 0 0,0 0 0,-2 0 0,-7 33 0,3-36-6631</inkml:trace>
  <inkml:trace contextRef="#ctx0" brushRef="#br0" timeOffset="23208.52">3180 1780 24575,'0'15'0,"-1"-6"0,1 0 0,0 0 0,1 0 0,0 0 0,0 0 0,1 0 0,3 9 0,-4-15 0,1-1 0,0 1 0,-1-1 0,1 1 0,0-1 0,0 1 0,1-1 0,-1 0 0,0 0 0,1 0 0,-1 0 0,1-1 0,0 1 0,-1-1 0,1 1 0,0-1 0,0 0 0,0 0 0,0 0 0,0-1 0,0 1 0,0-1 0,0 1 0,6-1 0,2 1 0,5 0 0,0 1 0,1-2 0,-1 0 0,30-5 0,-42 4 0,-1 1 0,1-1 0,-1 0 0,0-1 0,1 1 0,-1 0 0,0-1 0,0 0 0,0 0 0,0 0 0,0 0 0,-1 0 0,1-1 0,0 1 0,-1-1 0,0 1 0,0-1 0,0 0 0,0 0 0,0 0 0,0 0 0,-1-1 0,1 1 0,-1 0 0,0-1 0,0 1 0,0 0 0,0-5 0,1-66 0,-3 52 0,1 1 0,1-1 0,7-33 0,-8 51 0,1 0 0,0-1 0,1 1 0,-1 0 0,1 0 0,0 0 0,0 0 0,0 0 0,0 0 0,1 1 0,0-1 0,0 1 0,0 0 0,0 0 0,0 0 0,0 0 0,1 0 0,-1 1 0,1-1 0,0 1 0,0 0 0,6-2 0,-7 3 0,-1 0 0,1 0 0,0 0 0,0 1 0,-1 0 0,1-1 0,0 1 0,0 0 0,0 0 0,0 0 0,-1 1 0,1-1 0,0 1 0,0 0 0,0-1 0,-1 1 0,1 1 0,-1-1 0,1 0 0,4 3 0,-3 0 0,1 0 0,-1 0 0,0 0 0,-1 1 0,1-1 0,-1 1 0,0 0 0,0 0 0,4 10 0,1 5 0,-2 0 0,0 1 0,-1-1 0,3 33 0,-10-74 0,1 1 0,2-29 0,0 41 0,-1 0 0,2 0 0,-1 0 0,1 0 0,0 0 0,0 0 0,1 1 0,0-1 0,1 1 0,0 0 0,8-12 0,-8 14 0,0 1 0,0 0 0,1-1 0,-1 2 0,1-1 0,0 0 0,0 1 0,0 0 0,1 0 0,-1 1 0,1-1 0,-1 1 0,1 1 0,9-3 0,-12 4 0,0 0 0,1 0 0,-1 0 0,0 0 0,0 1 0,0-1 0,0 1 0,0 0 0,0 0 0,0 0 0,0 0 0,-1 1 0,1-1 0,0 1 0,-1-1 0,1 1 0,-1 0 0,1 0 0,-1 0 0,0 0 0,0 1 0,0-1 0,0 1 0,0-1 0,-1 1 0,1 0 0,-1-1 0,0 1 0,1 0 0,0 3 0,4 15-195,0 0 0,-2 0 0,0 0 0,-1 0 0,-1 0 0,-1 25 0,-2-25-6631</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11:23.452"/>
    </inkml:context>
    <inkml:brush xml:id="br0">
      <inkml:brushProperty name="width" value="0.035" units="cm"/>
      <inkml:brushProperty name="height" value="0.035" units="cm"/>
      <inkml:brushProperty name="color" value="#E71224"/>
    </inkml:brush>
  </inkml:definitions>
  <inkml:trace contextRef="#ctx0" brushRef="#br0">213 416 24575,'0'-2'0,"0"0"0,0 0 0,0 0 0,0 0 0,-1 0 0,1 0 0,-1 0 0,1 0 0,-1 0 0,0 0 0,1 0 0,-1 1 0,0-1 0,-1 0 0,1 1 0,0-1 0,0 0 0,-1 1 0,1-1 0,-1 1 0,1 0 0,-3-2 0,1 1 0,-1 1 0,1-1 0,-1 1 0,1 0 0,-1 0 0,1 0 0,-1 0 0,0 1 0,1 0 0,-1-1 0,-6 2 0,4-1 0,-1 0 0,1 1 0,0 0 0,0 1 0,0-1 0,0 1 0,0 0 0,1 1 0,-1-1 0,0 1 0,1 0 0,0 1 0,0-1 0,0 1 0,-5 4 0,5 0 0,0 0 0,0 1 0,1-1 0,0 1 0,1 0 0,0 0 0,0 0 0,-2 17 0,-4 78 0,8-95 0,1 1 0,1 0 0,-1-1 0,2 1 0,-1 0 0,6 15 0,-6-23 0,0 1 0,0-1 0,0 0 0,0 1 0,0-1 0,1 0 0,-1 0 0,1 0 0,0 0 0,0 0 0,0 0 0,-1 0 0,2 0 0,-1-1 0,0 1 0,0-1 0,0 0 0,1 1 0,-1-1 0,1 0 0,-1 0 0,1-1 0,-1 1 0,1 0 0,-1-1 0,1 0 0,0 1 0,-1-1 0,4-1 0,-4 1 0,0 0 0,0 0 0,1-1 0,-1 1 0,0-1 0,0 0 0,0 0 0,0 0 0,0 0 0,0 0 0,0 0 0,0 0 0,0-1 0,0 1 0,-1 0 0,1-1 0,-1 0 0,1 1 0,-1-1 0,1 0 0,0-2 0,21-49 0,-7 14 0,-13 37 0,-1 0 0,0 0 0,0 0 0,1 0 0,-1 1 0,1-1 0,0 1 0,-1 0 0,1 0 0,0 0 0,0 0 0,-1 0 0,1 1 0,0-1 0,0 1 0,0 0 0,0 0 0,0 0 0,4 1 0,-2-1 0,0 0 0,0-1 0,0 1 0,-1-1 0,1 0 0,0 0 0,7-4 0,-6 2 0,-1-1 0,1 0 0,-1 0 0,-1 0 0,1-1 0,-1 1 0,1-1 0,-1 0 0,0-1 0,-1 1 0,0-1 0,5-10 0,-1 0 0,-2-1 0,0 1 0,5-27 0,-10 40 0,0 0 0,1 0 0,0 1 0,-1-1 0,1 0 0,0 0 0,0 1 0,1-1 0,-1 1 0,1-1 0,-1 1 0,1 0 0,0-1 0,-1 1 0,1 0 0,0 0 0,1 0 0,-1 0 0,0 1 0,0-1 0,1 1 0,-1-1 0,1 1 0,0 0 0,-1 0 0,1 0 0,0 0 0,-1 0 0,1 1 0,0-1 0,0 1 0,0 0 0,0-1 0,-1 2 0,1-1 0,0 0 0,0 0 0,0 1 0,5 1 0,-3 0 0,1-1 0,-1 1 0,0 0 0,1 1 0,-1-1 0,0 1 0,0 0 0,-1 1 0,1-1 0,-1 1 0,1 0 0,-1 0 0,0 0 0,-1 0 0,1 1 0,-1-1 0,0 1 0,0 0 0,3 8 0,-1 7 0,-2 0 0,0 0 0,-1 0 0,-1 0 0,-1 1 0,-1-1 0,-4 26 0,-2-22 0,7-24 0,0 0 0,0 1 0,-1-1 0,1 0 0,0 0 0,0 0 0,0 0 0,0 0 0,-1 0 0,1 0 0,0 0 0,0 0 0,0 0 0,-1 0 0,1 0 0,0 1 0,0-1 0,0 0 0,-1-1 0,1 1 0,0 0 0,0 0 0,0 0 0,-1 0 0,1 0 0,0 0 0,0 0 0,0 0 0,-1 0 0,1 0 0,0 0 0,0-1 0,0 1 0,0 0 0,-1 0 0,1 0 0,0 0 0,0 0 0,0-1 0,0 1 0,0 0 0,0 0 0,0 0 0,-1 0 0,1-1 0,0 1 0,0 0 0,0-1 0,-2-3 0,0-1 0,0 0 0,1 0 0,0 0 0,0 0 0,-1-10 0,-1-23 0,1 0 0,4-39 0,-1 65 0,0 0 0,1 0 0,1 0 0,0 1 0,0-1 0,1 1 0,1 0 0,0 0 0,0 0 0,13-17 0,-12 19 0,2-1 0,-1 1 0,1 1 0,0-1 0,1 1 0,0 1 0,0 0 0,1 0 0,0 1 0,0 0 0,0 1 0,1 0 0,0 0 0,13-3 0,35-13 0,-54 22-1365</inkml:trace>
  <inkml:trace contextRef="#ctx0" brushRef="#br0" timeOffset="1119.91">1034 204 24575,'0'5'0,"4"10"0,2 7 0,0 4 0,-2 3 0,0 0 0,-2 1 0,3-2 0,2-13 0</inkml:trace>
  <inkml:trace contextRef="#ctx0" brushRef="#br0" timeOffset="1536.43">954 19 24575</inkml:trace>
  <inkml:trace contextRef="#ctx0" brushRef="#br0" timeOffset="3067.44">1219 178 24575,'21'-1'0,"-12"1"0,0 0 0,-1 0 0,1 0 0,0 1 0,17 4 0,-24-4 0,1 0 0,-1 0 0,1 0 0,-1 1 0,0-1 0,0 1 0,0-1 0,0 1 0,0 0 0,0 0 0,0 0 0,0 0 0,-1 0 0,1 0 0,-1 0 0,0 1 0,1-1 0,-1 0 0,0 1 0,0-1 0,0 1 0,-1-1 0,1 1 0,0 4 0,0 8 0,0 1 0,-1 0 0,0-1 0,-1 1 0,-5 21 0,-1 23 0,7-58 0,0 0 0,0 0 0,0 0 0,0 0 0,0 0 0,1 0 0,-1 0 0,1 0 0,-1 0 0,1 0 0,0 0 0,0 0 0,0-1 0,0 1 0,0 0 0,0 0 0,0-1 0,1 1 0,-1-1 0,0 0 0,3 2 0,-1 0 0,1-1 0,0 0 0,0 0 0,0 0 0,0 0 0,0-1 0,1 0 0,-1 0 0,6 1 0,5 0 0,1-1 0,0-1 0,0 0 0,20-3 0,9-7-1365,-8-2-5461</inkml:trace>
  <inkml:trace contextRef="#ctx0" brushRef="#br0" timeOffset="3928.4">1669 204 24575,'6'0'0,"0"-1"0,0 0 0,0 0 0,0-1 0,0 1 0,0-1 0,0-1 0,-1 1 0,1-1 0,-1 0 0,1 0 0,-1-1 0,0 1 0,0-1 0,-1 0 0,1-1 0,-1 1 0,0-1 0,0 0 0,0 0 0,-1 0 0,0 0 0,0-1 0,0 1 0,0-1 0,-1 0 0,0 0 0,-1 0 0,1 0 0,-1 0 0,0 0 0,0 0 0,-1 0 0,0-1 0,0 1 0,0 0 0,-1 0 0,-2-10 0,3 15 0,-1-1 0,1 1 0,-1 0 0,1-1 0,0 1 0,-1 0 0,0 0 0,1-1 0,-1 1 0,0 0 0,0 0 0,0 0 0,1 0 0,-1 0 0,0 0 0,-1 0 0,1 0 0,0 0 0,0 1 0,0-1 0,0 0 0,-1 1 0,1-1 0,0 1 0,0-1 0,-3 1 0,2 0 0,-1 0 0,1 0 0,0 1 0,-1-1 0,1 1 0,0 0 0,0 0 0,0 0 0,0 0 0,0 0 0,0 0 0,0 0 0,0 1 0,-2 1 0,-3 4 0,0-1 0,0 1 0,1 1 0,0-1 0,0 1 0,-7 14 0,8-12 0,1 1 0,1-1 0,0 1 0,1 0 0,0 0 0,0 0 0,1 0 0,0 0 0,1 0 0,1 0 0,0 0 0,0 0 0,1 0 0,3 12 0,-3-17 0,0 0 0,0 0 0,1 0 0,-1 0 0,1 0 0,1-1 0,-1 1 0,1-1 0,0 0 0,0 0 0,0 0 0,1-1 0,0 1 0,0-1 0,0 0 0,0-1 0,1 1 0,-1-1 0,1 0 0,0 0 0,0-1 0,0 0 0,0 0 0,1 0 0,6 0 0,13 0-97,-1 0-1,35-4 0,-35 0-974,-2 1-5754</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11:31.920"/>
    </inkml:context>
    <inkml:brush xml:id="br0">
      <inkml:brushProperty name="width" value="0.035" units="cm"/>
      <inkml:brushProperty name="height" value="0.035" units="cm"/>
      <inkml:brushProperty name="color" value="#E71224"/>
    </inkml:brush>
  </inkml:definitions>
  <inkml:trace contextRef="#ctx0" brushRef="#br0">242 1 24575,'2'3'0,"0"0"0,0 0 0,-1 1 0,1-1 0,-1 1 0,0-1 0,0 1 0,0 0 0,0 0 0,-1-1 0,1 1 0,-1 6 0,1 2 0,12 535 0,-15-367 0,2-68 0,-78-245 0,56 107 0,-2 1 0,-1 1 0,-44-34 0,37 32 0,30 25 0,1 0 0,-1 0 0,1-1 0,-1 1 0,1 0 0,0-1 0,0 1 0,-1-1 0,1 1 0,0-1 0,0 0 0,0 1 0,-1-5 0,2 6 0,0-1 0,0 1 0,1-1 0,-1 1 0,0-1 0,0 1 0,0-1 0,0 1 0,1-1 0,-1 1 0,0-1 0,0 1 0,1 0 0,-1-1 0,0 1 0,1-1 0,-1 1 0,1 0 0,-1-1 0,0 1 0,1 0 0,-1-1 0,1 1 0,-1 0 0,1 0 0,-1 0 0,1-1 0,-1 1 0,1 0 0,-1 0 0,1 0 0,8-2 0,1 1 0,-1 1 0,0-1 0,12 2 0,-14 0 0,71 2 0,160 1 0,-229-5 0,0 1 0,1-2 0,-1 0 0,0 0 0,0 0 0,0-1 0,-1-1 0,1 1 0,-1-1 0,1-1 0,-1 0 0,-1 0 0,1 0 0,-1-1 0,0 0 0,0-1 0,0 1 0,-1-1 0,9-13 0,3-9 0,-1 0 0,-2-1 0,0-1 0,10-34 0,-10 25 0,-8 20 0,-2 0 0,0-1 0,-1 0 0,2-37 0,-4 41 0,3-4 0,2 30 0,5 43 0,-9-41 0,17 97 0,-5 1 0,-5 0 0,-4 160 0,-8-348 0,-1 33 0,8-82 0,-4 117 0,0-1 0,1 1 0,1-1 0,0 1 0,0 0 0,1 0 0,1 0 0,0 1 0,0 0 0,1-1 0,0 2 0,11-13 0,-14 19 0,0-1 0,0 1 0,0 0 0,1 0 0,0 1 0,-1-1 0,1 1 0,0 0 0,0 0 0,1 0 0,-1 0 0,0 1 0,1-1 0,-1 1 0,0 0 0,1 1 0,-1-1 0,1 1 0,0 0 0,-1 0 0,1 0 0,-1 1 0,1-1 0,-1 1 0,1 0 0,-1 1 0,0-1 0,0 1 0,1 0 0,5 3 0,-3-1 0,-1 0 0,1 1 0,-1 0 0,1 0 0,-1 1 0,-1 0 0,1 0 0,-1 0 0,0 1 0,-1-1 0,1 1 0,-1 0 0,0 0 0,-1 1 0,0-1 0,2 10 0,-2-2 0,-1 0 0,0 1 0,-2 29 0,-1-32 0,1 0 0,1 1 0,0-1 0,0 0 0,6 18 0,-6-28 0,1 0 0,0 0 0,0 0 0,0 0 0,0-1 0,0 1 0,1-1 0,-1 1 0,1-1 0,-1 0 0,1 0 0,0 0 0,0-1 0,0 1 0,0 0 0,0-1 0,0 0 0,1 0 0,-1 0 0,0 0 0,0-1 0,1 1 0,-1-1 0,1 0 0,-1 0 0,6 0 0,3 0 0,-1-1 0,1 0 0,-1-1 0,1 0 0,-1 0 0,18-8 0,-15 4 0,0-1 0,-1 0 0,0-1 0,0-1 0,-1 0 0,0-1 0,-1 0 0,0-1 0,-1 0 0,0 0 0,0-1 0,-2-1 0,1 1 0,-1-2 0,-1 1 0,-1-1 0,0 0 0,0 0 0,-2 0 0,0-1 0,0 0 0,-1 0 0,-1 0 0,-1 0 0,0 0 0,-1-1 0,-2-21 0,2 35 0,0 0 0,0 0 0,-1 0 0,1 0 0,-1-1 0,1 1 0,-1 0 0,0 0 0,0 0 0,0 0 0,0 0 0,0 0 0,0 0 0,-1 1 0,1-1 0,-3-2 0,3 3 0,0 0 0,0 1 0,0-1 0,0 1 0,0 0 0,0-1 0,-1 1 0,1 0 0,0 0 0,0 0 0,0 0 0,0 0 0,-1 0 0,1 0 0,0 0 0,0 0 0,0 0 0,0 1 0,0-1 0,0 0 0,-1 1 0,0 0 0,-3 2 0,1-1 0,0 1 0,0 0 0,0 0 0,1 1 0,-1-1 0,1 1 0,0 0 0,0 0 0,0 0 0,0 0 0,0 0 0,-1 6 0,-6 16 0,1 2 0,2-1 0,0 1 0,2 1 0,2-1 0,0 0 0,3 58 0,0-83 0,0 1 0,0 0 0,1-1 0,0 0 0,0 1 0,0-1 0,0 1 0,0-1 0,1 0 0,-1 0 0,1 0 0,0 0 0,0 0 0,0 0 0,0 0 0,0 0 0,1-1 0,-1 1 0,1-1 0,0 0 0,0 0 0,0 0 0,0 0 0,0 0 0,0-1 0,0 1 0,1-1 0,-1 0 0,0 0 0,1 0 0,-1-1 0,1 1 0,4-1 0,-3 1 0,1-1 0,-1-1 0,0 1 0,0-1 0,0 0 0,0 0 0,0 0 0,0-1 0,0 1 0,-1-1 0,1 0 0,-1-1 0,1 1 0,-1-1 0,0 0 0,0 0 0,0-1 0,0 1 0,0-1 0,-1 1 0,1-1 0,4-9 0,-2 1 33,0-1-1,-1 0 1,6-25-1,11-29-1527,-4 34-5331</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11:36.893"/>
    </inkml:context>
    <inkml:brush xml:id="br0">
      <inkml:brushProperty name="width" value="0.035" units="cm"/>
      <inkml:brushProperty name="height" value="0.035" units="cm"/>
      <inkml:brushProperty name="color" value="#E71224"/>
    </inkml:brush>
  </inkml:definitions>
  <inkml:trace contextRef="#ctx0" brushRef="#br0">27 453 24575,'-11'-46'0,"2"36"0,3 33 0,5 1 0,1 1 0,1 0 0,1-1 0,7 36 0,-7-52 0,0-1 0,0 1 0,0 0 0,1-1 0,0 0 0,0 0 0,1 0 0,0 0 0,0 0 0,1-1 0,0 1 0,0-1 0,0 0 0,1-1 0,0 0 0,0 0 0,13 8 0,-17-11 0,1-1 0,-1 0 0,1-1 0,0 1 0,-1 0 0,1-1 0,0 0 0,-1 1 0,1-1 0,0 0 0,0 0 0,-1-1 0,1 1 0,0-1 0,-1 1 0,1-1 0,0 0 0,-1 0 0,1 0 0,-1 0 0,0 0 0,1-1 0,-1 1 0,0-1 0,0 1 0,1-1 0,-1 0 0,-1 0 0,1 0 0,0 0 0,3-5 0,5-6 0,-1-2 0,0 1 0,12-31 0,-16 36 0,12-30 0,-1-1 0,-2-1 0,-1 0 0,-3 0 0,9-72 0,-18 106 0,0 0 0,0 0 0,0 1 0,1-1 0,0 0 0,0 1 0,5-11 0,-6 16 0,0-1 0,0 1 0,1-1 0,-1 1 0,0 0 0,0-1 0,1 1 0,-1 0 0,1 0 0,-1 0 0,1 0 0,0 0 0,-1 1 0,1-1 0,0 0 0,-1 1 0,1-1 0,0 1 0,0-1 0,-1 1 0,1 0 0,0 0 0,0 0 0,0 0 0,0 0 0,-1 0 0,1 1 0,0-1 0,0 1 0,-1-1 0,1 1 0,0-1 0,-1 1 0,3 1 0,70 27 0,2-4 0,1-2 0,0-4 0,2-4 0,81 6 0,-147-20 0,0-1 0,1 0 0,22-3 0,-34 3 0,-1 0 0,1 0 0,0 0 0,0-1 0,0 1 0,-1-1 0,1 1 0,0-1 0,0 1 0,-1-1 0,1 0 0,-1 0 0,1 0 0,0 0 0,-1 0 0,0 0 0,1 0 0,-1 0 0,0-1 0,1 1 0,-1 0 0,0-1 0,0 1 0,0-1 0,0 0 0,0 1 0,-1-1 0,1 0 0,0 1 0,-1-1 0,0 0 0,1 0 0,-1 1 0,0-1 0,0 0 0,0-3 0,-1 3 0,0-1 0,0 1 0,0 0 0,-1-1 0,1 1 0,-1 0 0,1 0 0,-1 0 0,0 0 0,0 1 0,0-1 0,0 0 0,0 1 0,0-1 0,-1 1 0,1 0 0,0 0 0,-1 0 0,-4-2 0,-51-13 0,42 12 0,-1 1 0,0 1 0,0 0 0,-28 2 0,39 0 0,0 1 0,-1 0 0,1 0 0,0 1 0,0-1 0,0 1 0,1 1 0,-1-1 0,0 1 0,1 0 0,-1 0 0,1 1 0,0-1 0,0 1 0,-8 9 0,3-1 0,0 1 0,0 1 0,1 0 0,1 0 0,0 1 0,1 0 0,1 0 0,0 0 0,1 1 0,1 0 0,0 0 0,1 0 0,1 1 0,0-1 0,2 1 0,0-1 0,0 1 0,2-1 0,0 1 0,4 16 0,-4-29 0,0 1 0,0-1 0,0 1 0,0-1 0,1 0 0,-1 1 0,1-2 0,0 1 0,1 0 0,-1 0 0,1-1 0,-1 0 0,1 0 0,5 3 0,-7-4 0,0-1 0,1 1 0,-1-1 0,1 0 0,0 0 0,-1 0 0,1 0 0,0 0 0,-1-1 0,1 1 0,0-1 0,0 0 0,0 1 0,-1-2 0,1 1 0,0 0 0,0 0 0,0-1 0,-1 1 0,1-1 0,0 0 0,-1 0 0,1 0 0,0 0 0,-1-1 0,5-2 0,2-4 0,-1 1 0,0-2 0,0 1 0,0-1 0,-1-1 0,-1 1 0,0-1 0,0 0 0,-1-1 0,0 1 0,0-1 0,-2 0 0,1 0 0,2-14 0,2-20 0,-2 0 0,1-59 0,-5 58 0,-2 46 0,0 0 0,0 0 0,0 0 0,0 0 0,0 0 0,0 0 0,1 0 0,-1 0 0,0 1 0,0-1 0,0 0 0,0 0 0,0 0 0,0 0 0,0 0 0,0 0 0,0 0 0,0 0 0,0 0 0,0 0 0,0 0 0,1 0 0,-1 0 0,0 0 0,0 0 0,0 0 0,0 0 0,0 0 0,0 0 0,0 0 0,0 0 0,0 0 0,0 0 0,0 0 0,1 0 0,-1 0 0,5 17 0,3 24 0,-5-25 0,0 1 0,1-2 0,1 1 0,12 28 0,-16-41 0,1 0 0,-1 0 0,1 0 0,-1 0 0,1 0 0,0 0 0,1-1 0,-1 1 0,0-1 0,1 1 0,-1-1 0,1 0 0,0 0 0,-1 0 0,1 0 0,0-1 0,0 1 0,1-1 0,-1 1 0,0-1 0,0 0 0,1-1 0,-1 1 0,0 0 0,1-1 0,-1 0 0,0 0 0,1 0 0,-1 0 0,5-1 0,-4-1 0,0 1 0,0-1 0,0 0 0,0 0 0,-1 0 0,1-1 0,-1 1 0,1-1 0,-1 0 0,0 0 0,0 0 0,0 0 0,-1 0 0,1-1 0,-1 1 0,0-1 0,0 0 0,2-4 0,5-11 0,-2 0 0,8-27 0,-13 41 0,11-40 0,-3 18 0,-1 0 0,-2-1 0,-1 1 0,-1-2 0,-1 1 0,-2 0 0,-1-38 0,-1 65 0,1 0 0,-1 1 0,0-1 0,0 0 0,0 0 0,0 0 0,-1 0 0,1 0 0,0 0 0,0 0 0,0 0 0,-1 1 0,1-1 0,0 0 0,-1 0 0,1 0 0,-1 0 0,1 1 0,-1-1 0,1 0 0,-1 1 0,0-1 0,1 0 0,-1 1 0,0-1 0,1 1 0,-1-1 0,0 1 0,0-1 0,0 1 0,1-1 0,-1 1 0,0 0 0,0 0 0,0-1 0,0 1 0,0 0 0,0 0 0,0 0 0,1 0 0,-1 0 0,0 0 0,0 0 0,0 0 0,0 1 0,0-1 0,0 0 0,0 0 0,1 1 0,-3 0 0,-1 1 0,0 0 0,1 1 0,-1-1 0,0 1 0,1 0 0,0 0 0,0 0 0,0 0 0,-5 8 0,-7 15 0,2 1 0,2 1 0,0 0 0,1 0 0,-10 59 0,2-16 0,18-70 0,-4 14 0,0 1 0,1-1 0,1 1 0,-1 29 0,2-42 0,1-1 0,0 0 0,0 1 0,1-1 0,-1 0 0,0 1 0,1-1 0,0 0 0,-1 0 0,1 1 0,0-1 0,0 0 0,0 0 0,0 0 0,1 0 0,-1 0 0,0 0 0,1 0 0,-1-1 0,1 1 0,0 0 0,0-1 0,0 0 0,0 1 0,-1-1 0,2 0 0,-1 0 0,0 0 0,0 0 0,0 0 0,0 0 0,1-1 0,-1 1 0,0-1 0,1 0 0,-1 1 0,0-1 0,1 0 0,-1 0 0,0-1 0,1 1 0,-1 0 0,3-2 0,8-1 0,0 0 0,0-1 0,0 0 0,-1-1 0,0-1 0,0 0 0,0-1 0,-1 0 0,0 0 0,0-1 0,16-17 0,-14 13 0,0-2 0,-1 0 0,-1 0 0,0-1 0,-1 0 0,-1-1 0,0 0 0,7-19 0,7-23 0,-23 58 0,0 0 0,0 0 0,0 0 0,0 0 0,0-1 0,0 1 0,0 0 0,0 0 0,0 0 0,0 0 0,0 0 0,0-1 0,0 1 0,1 0 0,-1 0 0,0 0 0,0 0 0,0 0 0,0 0 0,0-1 0,0 1 0,0 0 0,1 0 0,-1 0 0,0 0 0,0 0 0,0 0 0,0 0 0,0 0 0,1 0 0,-1 0 0,0 0 0,0 0 0,0 0 0,0 0 0,1 0 0,-1 0 0,0 0 0,0 0 0,0 0 0,0 0 0,0 0 0,1 0 0,-1 0 0,0 0 0,0 0 0,0 0 0,0 0 0,0 0 0,1 0 0,-1 0 0,0 0 0,0 1 0,0-1 0,0 0 0,0 0 0,5 13 0,-2 19 0,-3 41 0,-2-51 0,2 0 0,0 0 0,2 0 0,1 0 0,9 39 0,-12-59 0,1 0 0,-1 0 0,1 1 0,-1-1 0,1 0 0,0 0 0,0-1 0,0 1 0,0 0 0,0 0 0,1 0 0,-1-1 0,1 1 0,-1-1 0,1 1 0,-1-1 0,1 1 0,0-1 0,-1 0 0,1 0 0,0 0 0,0 0 0,0 0 0,0 0 0,0-1 0,0 1 0,0-1 0,0 1 0,1-1 0,-1 0 0,0 0 0,0 0 0,0 0 0,0 0 0,0 0 0,1 0 0,-1-1 0,0 1 0,0-1 0,0 0 0,0 1 0,0-1 0,0 0 0,0 0 0,-1-1 0,1 1 0,2-2 0,5-2 0,-1-2 0,0 1 0,0-1 0,0 0 0,-1 0 0,0-1 0,-1 0 0,9-13 0,-7 2 0,0 1 0,-1-1 0,-1-1 0,-1 1 0,-1-1 0,0 0 0,-2 1 0,0-2 0,-2-29 0,0 51 0,0-1 0,0 0 0,0 0 0,0 0 0,0 0 0,-1 0 0,1 0 0,0 0 0,0 0 0,0 0 0,0 0 0,0 0 0,-1 0 0,1 0 0,0 0 0,0 0 0,0 0 0,0 0 0,0 0 0,-1 0 0,1 0 0,0 0 0,0 0 0,0 0 0,0 0 0,0 0 0,0-1 0,-1 1 0,1 0 0,0 0 0,0 0 0,0 0 0,0 0 0,0 0 0,0 0 0,0-1 0,0 1 0,-1 0 0,1 0 0,0 0 0,0 0 0,0 0 0,0 0 0,0-1 0,0 1 0,0 0 0,0 0 0,0 0 0,0 0 0,0-1 0,0 1 0,0 0 0,0 0 0,0 0 0,0 0 0,0 0 0,0-1 0,0 1 0,0 0 0,0 0 0,1 0 0,-1 0 0,0 0 0,0 0 0,0-1 0,-10 18 0,-8 27 0,-7 41 0,23-77 0,1-1 0,0 1 0,0-1 0,1 1 0,-1 0 0,2-1 0,-1 1 0,1 0 0,2 9 0,-3-17 0,0 1 0,1 0 0,-1 0 0,0 0 0,1 0 0,-1-1 0,1 1 0,-1 0 0,1 0 0,-1-1 0,1 1 0,-1 0 0,1-1 0,0 1 0,-1-1 0,1 1 0,0-1 0,0 1 0,-1-1 0,1 1 0,0-1 0,0 0 0,0 1 0,0-1 0,-1 0 0,1 0 0,2 1 0,26-10 0,22-29 0,-48 36 0,11-12 0,-1 0 0,16-22 0,-19 23 0,1 0 0,0 1 0,1 0 0,13-11 0,179-124 0,-203 147 0,-1-1 0,0 1 0,1-1 0,-1 1 0,1 0 0,-1-1 0,0 1 0,1-1 0,-1 1 0,1 0 0,-1 0 0,1-1 0,-1 1 0,1 0 0,-1 0 0,1-1 0,0 1 0,-1 0 0,1 0 0,-1 0 0,1 0 0,-1 0 0,1 0 0,-1 0 0,1 0 0,0 0 0,-1 0 0,1 0 0,-1 0 0,1 0 0,-1 1 0,1-1 0,0 0 0,-1 0 0,1 1 0,-1-1 0,0 0 0,1 0 0,-1 1 0,1-1 0,-1 1 0,1-1 0,-1 0 0,0 1 0,1-1 0,-1 1 0,0-1 0,1 1 0,-1 0 0,6 37 0,1 3 0,-4-38 0,-1 0 0,1-1 0,0 1 0,0 0 0,0-1 0,1 0 0,-1 0 0,0 0 0,1 0 0,0 0 0,-1-1 0,1 1 0,0-1 0,0 0 0,-1 0 0,1-1 0,0 1 0,0-1 0,0 1 0,6-2 0,39 11 0,-47-9 0,-1-1 0,1 1 0,0 1 0,0-1 0,-1 0 0,1 0 0,0 1 0,-1-1 0,1 1 0,-1-1 0,0 1 0,0-1 0,1 1 0,-1 0 0,0 0 0,0 0 0,-1 0 0,1-1 0,0 1 0,-1 0 0,1 3 0,0-3 0,-1 0 0,0 0 0,0 1 0,0-1 0,-1 0 0,1 0 0,-1 0 0,1 0 0,-1 0 0,1 0 0,-1 0 0,0 0 0,0 0 0,0 0 0,0 0 0,0 0 0,-1 0 0,1-1 0,-2 3 0,-36 31 0,21-20 0,11-8-273,0 0 0,0 0 0,1 1 0,-6 10 0,0 3-6553</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11:39.661"/>
    </inkml:context>
    <inkml:brush xml:id="br0">
      <inkml:brushProperty name="width" value="0.035" units="cm"/>
      <inkml:brushProperty name="height" value="0.035" units="cm"/>
      <inkml:brushProperty name="color" value="#E71224"/>
    </inkml:brush>
  </inkml:definitions>
  <inkml:trace contextRef="#ctx0" brushRef="#br0">284 169 24575,'0'9'0,"0"12"0,0 16 0,0 10 0,4 7 0,2-2 0,0-5 0,-2-10-8191</inkml:trace>
  <inkml:trace contextRef="#ctx0" brushRef="#br0" timeOffset="606.64">46 301 24575,'-5'0'0,"-5"0"0,-2 5 0,2 5 0,2 6 0,16 5 0,20-1 0,33 4 0,14-1 0,9-5 0,-2-5 0,-5-5 0,-12-4 0,-12-2 0,-10-3 0,-9 1 0,-5-1 0,-8 0-8191</inkml:trace>
  <inkml:trace contextRef="#ctx0" brushRef="#br0" timeOffset="1453.5">998 195 24575,'-21'0'0,"0"0"0,1 1 0,-1 1 0,-39 10 0,54-10 0,1-1 0,-1 2 0,1-1 0,0 0 0,0 1 0,0 0 0,1 0 0,-1 1 0,1-1 0,-1 1 0,1 0 0,0 0 0,1 1 0,-1-1 0,1 1 0,0 0 0,0 0 0,0 0 0,0 0 0,1 0 0,0 0 0,-2 11 0,-1 15 0,1 0 0,2 0 0,2 0 0,0 0 0,7 42 0,-7-71 0,0 5 0,1 0 0,0 0 0,0-1 0,1 1 0,0 0 0,0-1 0,0 1 0,1-1 0,0 1 0,0-1 0,1 0 0,0 0 0,5 6 0,-5-8 0,1 0 0,0 0 0,0 0 0,0-1 0,1 0 0,-1 0 0,1 0 0,0 0 0,-1-1 0,1 0 0,0-1 0,1 1 0,-1-1 0,12 1 0,-2 0 0,1-1 0,0 0 0,0-1 0,18-3 0,-31 2 0,0 1 0,0-1 0,0 0 0,0 0 0,0-1 0,0 1 0,0-1 0,0 0 0,-1 0 0,1 0 0,-1 0 0,1-1 0,-1 1 0,0-1 0,0 0 0,0 0 0,0 0 0,-1 0 0,1 0 0,-1-1 0,0 1 0,3-7 0,3-14 0,-1 0 0,0-1 0,-2 0 0,-2 0 0,2-26 0,-3-133 0,-4 116 0,3 39 0,0 15 0,-1 0 0,-1 0 0,0 0 0,-5-23 0,6 34 0,-1-1 0,-1 1 0,1 0 0,0-1 0,-1 1 0,0 0 0,1 0 0,-1 0 0,-1 1 0,1-1 0,0 0 0,0 1 0,-1-1 0,0 1 0,1 0 0,-1 0 0,0 0 0,0 0 0,0 0 0,0 1 0,-1-1 0,1 1 0,-6-2 0,-5 0 0,1 0 0,-1 1 0,-1 0 0,1 1 0,0 1 0,0 0 0,-14 3 0,23-3 0,0 1 0,1-1 0,-1 1 0,0 1 0,1-1 0,-1 1 0,1 0 0,0 0 0,0 0 0,0 0 0,0 1 0,0-1 0,0 1 0,0 0 0,1 0 0,0 1 0,-1-1 0,1 1 0,0-1 0,1 1 0,-1 0 0,1 0 0,0 1 0,-3 4 0,-2 21-1365,3-3-5461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11:43.463"/>
    </inkml:context>
    <inkml:brush xml:id="br0">
      <inkml:brushProperty name="width" value="0.035" units="cm"/>
      <inkml:brushProperty name="height" value="0.035" units="cm"/>
      <inkml:brushProperty name="color" value="#E71224"/>
    </inkml:brush>
  </inkml:definitions>
  <inkml:trace contextRef="#ctx0" brushRef="#br0">457 260 24575,'-82'-2'0,"-65"1"0,129 2 0,0 1 0,1 1 0,-1 0 0,1 1 0,-32 13 0,43-14 0,0 0 0,1 0 0,0 1 0,-1 0 0,1 0 0,1 0 0,-1 0 0,1 1 0,-1 0 0,2 0 0,-1 0 0,0 0 0,1 1 0,0-1 0,0 1 0,1 0 0,-1 0 0,1 0 0,0 0 0,1 0 0,-1 7 0,-2 14 0,2 1 0,1-1 0,3 45 0,0-34 0,-2-33 0,0-1 0,0 1 0,1 0 0,-1 0 0,1-1 0,0 1 0,1 0 0,-1-1 0,1 1 0,0-1 0,0 1 0,0-1 0,4 5 0,-4-7 0,0 0 0,1 0 0,-1 0 0,1 0 0,0-1 0,0 1 0,0-1 0,0 1 0,0-1 0,0 0 0,0 0 0,0 0 0,0-1 0,0 1 0,0-1 0,1 0 0,-1 0 0,0 0 0,0 0 0,6-1 0,5-1 0,0-1 0,0 0 0,0-1 0,0-1 0,-1 0 0,1 0 0,-1-2 0,13-7 0,1-3 0,-1-2 0,38-34 0,-58 47 0,-1 0 0,0-1 0,0 0 0,-1 0 0,1-1 0,-1 1 0,-1-1 0,0 0 0,0 0 0,0 0 0,-1 0 0,1-11 0,1-5 0,-1 0 0,-1-26 0,-2 44 0,-2 51 0,1 68 0,2-101 0,0-1 0,0 1 0,2 0 0,-1-1 0,1 1 0,1-1 0,5 12 0,-7-20 0,1 1 0,-1-1 0,1 1 0,0-1 0,0 0 0,1 0 0,-1 0 0,1-1 0,-1 1 0,1-1 0,0 0 0,0 0 0,0 0 0,0 0 0,0-1 0,0 0 0,0 1 0,1-2 0,-1 1 0,0 0 0,1-1 0,-1 0 0,0 0 0,1 0 0,-1 0 0,7-2 0,-6 1 0,1 0 0,-1 1 0,0-2 0,0 1 0,0-1 0,0 1 0,0-1 0,0-1 0,-1 1 0,1-1 0,-1 0 0,1 0 0,-1 0 0,0 0 0,0-1 0,-1 0 0,1 1 0,-1-1 0,0-1 0,0 1 0,5-8 0,-4-7 0,0 0 0,0 1 0,-2-1 0,-1 0 0,0-1 0,-1 1 0,-4-29 0,1 19 0,4-49 0,-1 78 0,-1 0 0,1 0 0,0-1 0,0 1 0,0 0 0,0 0 0,0 0 0,0 0 0,0-1 0,0 1 0,0 0 0,0 0 0,0 0 0,0 0 0,0-1 0,0 1 0,0 0 0,0 0 0,0 0 0,0-1 0,0 1 0,0 0 0,1 0 0,-1 0 0,0 0 0,0 0 0,0-1 0,0 1 0,0 0 0,0 0 0,0 0 0,1 0 0,-1 0 0,0 0 0,0-1 0,0 1 0,0 0 0,0 0 0,1 0 0,-1 0 0,0 0 0,0 0 0,0 0 0,1 0 0,-1 0 0,0 0 0,0 0 0,0 0 0,0 0 0,1 0 0,-1 0 0,8 10 0,5 21 0,19 129 0,-23-107 0,21 73 0,-30-124 0,1 0 0,-1 0 0,1 0 0,0 0 0,-1 0 0,1 0 0,0 0 0,0 0 0,1-1 0,-1 1 0,0 0 0,1-1 0,-1 1 0,0-1 0,1 1 0,0-1 0,-1 0 0,1 0 0,0 0 0,0 0 0,0 0 0,-1 0 0,1 0 0,0 0 0,0-1 0,0 1 0,0-1 0,0 0 0,1 1 0,-1-1 0,0 0 0,0 0 0,0 0 0,0-1 0,0 1 0,0 0 0,0-1 0,0 1 0,0-1 0,0 0 0,3-1 0,3-2 0,-1 1 0,0-2 0,1 1 0,-1-1 0,-1 0 0,1-1 0,-1 1 0,0-1 0,7-9 0,14-26 0,-2-2 0,-1-1 0,-2 0 0,17-55 0,-12 33 0,47-148 0,-64 180 0,-5 1 0,-5 33 0,1-1 0,-1 0 0,0 1 0,0-1 0,0 1 0,0-1 0,0 0 0,0 1 0,-1-1 0,1 0 0,0 1 0,0-1 0,0 0 0,0 1 0,-1-1 0,1 1 0,0-1 0,-1 1 0,1-1 0,0 0 0,-1 1 0,1 0 0,-1-1 0,1 1 0,-1-1 0,1 1 0,-1-1 0,1 1 0,-1 0 0,1-1 0,-1 1 0,0 0 0,1 0 0,-1-1 0,1 1 0,-1 0 0,0 0 0,1 0 0,-1 0 0,0 0 0,1 0 0,-1 0 0,0 0 0,1 0 0,-2 0 0,1 1-72,0 0 1,0-1-1,-1 1 0,1 0 0,0 0 0,0 0 0,0 0 0,0 0 1,0 0-1,0 0 0,0 0 0,0 0 0,1 0 0,-1 0 0,0 1 1,1-1-1,-1 0 0,0 2 0,-5 13-6754</inkml:trace>
  <inkml:trace contextRef="#ctx0" brushRef="#br0" timeOffset="1452.39">1410 313 24575,'1'-1'0,"0"1"0,0-1 0,0 1 0,0-1 0,0 1 0,0-1 0,0 1 0,0-1 0,-1 0 0,1 0 0,0 1 0,0-1 0,-1 0 0,1 0 0,0 0 0,-1 0 0,1 0 0,-1 0 0,1 0 0,-1 0 0,1 0 0,-1 0 0,0 0 0,0 0 0,1 0 0,-1-2 0,5-36 0,-4 33 0,0-4 0,0-1 0,-1 1 0,0-1 0,0 0 0,-5-20 0,4 28 0,1 0 0,-2 0 0,1 0 0,0 0 0,0 0 0,-1 1 0,0-1 0,0 0 0,0 1 0,0-1 0,0 1 0,0-1 0,0 1 0,-1 0 0,1 0 0,-1 0 0,0 1 0,1-1 0,-1 0 0,0 1 0,0 0 0,0 0 0,-6-2 0,1 1 0,0 0 0,0 0 0,0 1 0,0 0 0,0 1 0,0 0 0,0 0 0,0 0 0,0 1 0,-14 4 0,19-4 0,0 0 0,-1 1 0,1-1 0,0 1 0,0 0 0,0 0 0,1 0 0,-1 0 0,0 1 0,1-1 0,-1 1 0,1-1 0,0 1 0,0 0 0,0 0 0,0 0 0,1 0 0,-1 0 0,1 1 0,0-1 0,0 0 0,0 1 0,0-1 0,0 1 0,1-1 0,0 1 0,-1 3 0,-10 225 0,10-221 0,1 1 0,0-1 0,0 1 0,1-1 0,0 1 0,1-1 0,1 1 0,0-1 0,0 0 0,1 0 0,6 12 0,-7-18 0,0 1 0,0-1 0,1 0 0,-1 0 0,1-1 0,1 1 0,-1-1 0,1 0 0,-1 0 0,1 0 0,0-1 0,1 1 0,-1-1 0,0 0 0,1-1 0,0 0 0,0 1 0,-1-2 0,1 1 0,0-1 0,1 0 0,8 1 0,-12-2 0,13 1 0,0 0 0,0-1 0,0-1 0,18-3 0,-31 3 0,0 1 0,0-1 0,0 0 0,0 1 0,0-2 0,0 1 0,0 0 0,-1 0 0,1-1 0,0 0 0,-1 0 0,1 1 0,-1-1 0,1-1 0,-1 1 0,0 0 0,0 0 0,0-1 0,0 1 0,-1-1 0,1 0 0,-1 0 0,1 1 0,-1-1 0,0 0 0,0 0 0,1-5 0,10-56-1365,-1 29-5461</inkml:trace>
  <inkml:trace contextRef="#ctx0" brushRef="#br0" timeOffset="2805.49">1727 339 24575,'-20'1'0,"-31"-1"0,49 0 0,0 0 0,0 0 0,0 0 0,0 0 0,0-1 0,0 1 0,0-1 0,0 0 0,0 1 0,0-1 0,1 0 0,-1 0 0,0 0 0,1 0 0,-1-1 0,0 1 0,1 0 0,-3-3 0,4 3 0,0 1 0,0-1 0,-1 0 0,1 0 0,0 1 0,0-1 0,0 0 0,0 0 0,0 1 0,0-1 0,0 0 0,0 0 0,0 1 0,0-1 0,0 0 0,1 0 0,-1 1 0,0-1 0,0 0 0,1 0 0,-1 1 0,0-1 0,1 0 0,-1 1 0,1-1 0,-1 1 0,1-1 0,-1 1 0,1-1 0,0 1 0,-1-1 0,1 1 0,-1-1 0,1 1 0,0 0 0,0-1 0,-1 1 0,1 0 0,0 0 0,1-1 0,33-8 0,-25 9 0,1 0 0,-1 1 0,1 0 0,-1 0 0,1 1 0,-1 0 0,0 1 0,0 1 0,0-1 0,0 1 0,-1 1 0,0 0 0,0 0 0,0 1 0,0 0 0,-1 1 0,0 0 0,0 0 0,11 14 0,-10-10 0,-1 0 0,0 0 0,-1 0 0,0 1 0,-1 1 0,0-1 0,-1 1 0,-1 0 0,0 0 0,0 0 0,-2 0 0,1 1 0,-2-1 0,1 25 0,-2-35 0,-1 0 0,1 1 0,-1-1 0,1 0 0,-1 1 0,0-1 0,-1 0 0,1 0 0,0 0 0,-1 0 0,0 0 0,0 0 0,0 0 0,0 0 0,0-1 0,0 1 0,-1-1 0,-2 3 0,4-5 0,0 1 0,0 0 0,0-1 0,0 0 0,0 1 0,0-1 0,0 1 0,0-1 0,0 0 0,0 0 0,0 0 0,0 1 0,0-1 0,0 0 0,0 0 0,0-1 0,0 1 0,0 0 0,0 0 0,0 0 0,0-1 0,0 1 0,-1-1 0,0 0 0,1 0 0,-1-1 0,0 1 0,1-1 0,-1 1 0,1-1 0,0 0 0,-1 0 0,1 0 0,0 1 0,0-1 0,0 0 0,0 0 0,1 0 0,-2-4 0,-2-9 0,0 0 0,1 0 0,1-1 0,0 0 0,1 1 0,1-1 0,0 1 0,1-1 0,1 0 0,4-20 0,-4 30 0,-1 0 0,1 0 0,0 0 0,0 0 0,1 0 0,0 0 0,0 1 0,0-1 0,1 1 0,-1 0 0,1 0 0,1 0 0,-1 1 0,0-1 0,1 1 0,0 0 0,0 1 0,1-1 0,-1 1 0,1 0 0,-1 0 0,1 0 0,0 1 0,0 0 0,0 0 0,0 1 0,0 0 0,7-1 0,64 1-1365,-54 2-5461</inkml:trace>
  <inkml:trace contextRef="#ctx0" brushRef="#br0" timeOffset="4626.67">2230 313 24575,'1'0'0,"-1"0"0,1 0 0,0 1 0,0-1 0,-1 1 0,1-1 0,0 0 0,-1 1 0,1-1 0,-1 1 0,1-1 0,0 1 0,-1 0 0,1-1 0,-1 1 0,0 0 0,1-1 0,-1 1 0,1 0 0,-1-1 0,0 1 0,0 0 0,1 0 0,-1-1 0,0 1 0,0 0 0,0 0 0,0 0 0,0-1 0,0 1 0,0 0 0,0 0 0,0-1 0,0 1 0,-1 0 0,1 0 0,0-1 0,0 1 0,-1 0 0,0 1 0,-12 40 0,11-35 0,-4 13 0,0 1 0,2-1 0,0 1 0,1 0 0,2 0 0,0 0 0,1 1 0,1-1 0,6 32 0,-7-49 0,1 0 0,1 0 0,-1 0 0,0 0 0,1 0 0,0-1 0,0 1 0,0 0 0,0-1 0,0 1 0,1-1 0,0 0 0,0 0 0,0 0 0,0 0 0,0-1 0,0 1 0,1-1 0,-1 0 0,1 0 0,-1 0 0,1 0 0,0-1 0,0 1 0,0-1 0,0 0 0,0 0 0,0 0 0,0-1 0,0 0 0,1 1 0,-1-2 0,0 1 0,4-1 0,-2 0 0,0 0 0,0 0 0,0-1 0,0 0 0,0 0 0,0 0 0,0-1 0,-1 0 0,0 0 0,1 0 0,-1-1 0,0 0 0,-1 0 0,1 0 0,-1 0 0,1-1 0,-2 0 0,1 0 0,0 0 0,-1 0 0,0 0 0,3-8 0,0-7 0,-2-1 0,-1 1 0,0-1 0,-2 1 0,0-1 0,-2 0 0,-4-33 0,4 31 0,-1 116 0,0-57 0,1-1 0,6 59 0,-4-88 0,1-1 0,0 1 0,0 0 0,0-1 0,0 0 0,1 1 0,0-1 0,0 0 0,0-1 0,1 1 0,-1 0 0,1-1 0,1 0 0,-1 0 0,0 0 0,1 0 0,0-1 0,7 4 0,-4-2 0,0-1 0,1 0 0,0-1 0,-1 0 0,1 0 0,0-1 0,0 0 0,1-1 0,-1 0 0,17 0 0,-3-2 0,-4 1 0,1-1 0,0-1 0,-1-1 0,24-6 0,-39 8 0,0 0 0,0 0 0,0-1 0,0 0 0,0 1 0,-1-1 0,1-1 0,-1 1 0,1 0 0,-1-1 0,0 0 0,0 0 0,0 0 0,-1 0 0,1 0 0,-1 0 0,1-1 0,-1 1 0,0-1 0,0 0 0,-1 1 0,1-1 0,-1 0 0,0 0 0,2-8 0,-2-12-284,-1-45 0,-1 56-513,-1-21-6029</inkml:trace>
  <inkml:trace contextRef="#ctx0" brushRef="#br0" timeOffset="6577.23">2680 445 24575,'-5'0'0,"-5"0"0,-6 0 0,-5 4 0,-3 7 0,-2 1 0,-2 2 0,5-4 0,6-10 0,6-13 0,-4-9 0,-5 0 0,-7 2 0,-3 6 0,2 14 0,7 6-8191</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11:54.301"/>
    </inkml:context>
    <inkml:brush xml:id="br0">
      <inkml:brushProperty name="width" value="0.035" units="cm"/>
      <inkml:brushProperty name="height" value="0.035" units="cm"/>
      <inkml:brushProperty name="color" value="#E71224"/>
    </inkml:brush>
  </inkml:definitions>
  <inkml:trace contextRef="#ctx0" brushRef="#br0">536 21 24575,'-3'-3'0,"0"1"0,-1 0 0,1 0 0,0 0 0,-1 0 0,1 1 0,-1-1 0,0 1 0,1 0 0,-1 0 0,0 1 0,0-1 0,1 1 0,-1-1 0,0 1 0,0 1 0,0-1 0,1 0 0,-1 1 0,0 0 0,0 0 0,1 0 0,-1 0 0,0 0 0,1 1 0,-4 2 0,-5 1 0,0 2 0,1-1 0,0 1 0,0 1 0,1 0 0,-12 11 0,11-7 0,1 0 0,0 0 0,1 1 0,0 0 0,1 1 0,0 0 0,1 0 0,1 0 0,0 1 0,1 0 0,1 0 0,0 1 0,1-1 0,1 1 0,-1 25 0,-6 13 0,-2 24 0,10-73 0,1 0 0,0 0 0,0-1 0,1 1 0,0 0 0,-1 0 0,1-1 0,1 1 0,-1 0 0,1-1 0,0 1 0,3 5 0,-2-6 0,0-1 0,0 0 0,0 0 0,0-1 0,1 1 0,-1-1 0,1 1 0,0-1 0,0 0 0,0-1 0,0 1 0,0-1 0,0 1 0,0-1 0,0 0 0,0-1 0,1 1 0,-1-1 0,0 0 0,0 0 0,1 0 0,-1 0 0,0-1 0,0 0 0,7-2 0,-5 2 0,0 0 0,0-1 0,0 0 0,0 0 0,0-1 0,-1 0 0,1 0 0,-1 0 0,0 0 0,0-1 0,0 0 0,0 0 0,0 0 0,-1-1 0,0 0 0,6-9 0,-4 3 0,-2-2 0,0 1 0,0 0 0,-1-1 0,0 0 0,-1 0 0,0-22 0,-6-94 0,1 93 0,3 258 0,-2-81 0,3 35 0,-2 216 0,-1-340 0,-2 0 0,-3 0 0,-1-1 0,-3 1 0,-22 62 0,27-98 0,-1-1 0,0 0 0,-1 0 0,-1 0 0,0-1 0,-1-1 0,0 1 0,-17 15 0,20-23 0,0 0 0,-1 0 0,1 0 0,-2-1 0,1 0 0,0-1 0,-1 0 0,0 0 0,0 0 0,0-1 0,0-1 0,0 0 0,-1 0 0,1-1 0,-1 0 0,-10 0 0,15-2 0,0 1 0,0-1 0,0 0 0,0-1 0,1 1 0,-1-1 0,0 0 0,1 0 0,-1-1 0,1 1 0,0-1 0,-1 0 0,1 0 0,1-1 0,-1 1 0,0-1 0,1 1 0,0-1 0,0 0 0,0-1 0,0 1 0,1 0 0,0-1 0,-1 1 0,0-6 0,-4-9 0,1 1 0,0-1 0,2 0 0,0 0 0,-2-25 0,2-8 0,2-1 0,2 1 0,2 0 0,3 0 0,14-64 0,-13 88 0,2 1 0,1 0 0,1 0 0,1 1 0,2 1 0,0 0 0,2 0 0,0 2 0,2 0 0,1 0 0,25-24 0,19-13 0,3 4 0,74-51 0,-106 86 0,1 0 0,0 2 0,2 2 0,0 1 0,1 2 0,67-17 0,-65 24 0,0-2 0,0-2 0,0-2 0,-2-1 0,0-2 0,38-21 0,-70 33 0,0 0 0,0-1 0,0 1 0,-1-1 0,1 0 0,-1 0 0,0 0 0,-1-1 0,1 1 0,-1-1 0,0 0 0,3-9 0,-5 11 0,1 1 0,-2 0 0,1-1 0,0 1 0,0 0 0,-1-1 0,0 1 0,0-1 0,0 1 0,0-1 0,0 1 0,-1-1 0,0 1 0,0 0 0,1-1 0,-2 1 0,1 0 0,0 0 0,-1-1 0,1 1 0,-1 0 0,0 0 0,0 1 0,0-1 0,-3-2 0,-7-6 0,0 1 0,-1 1 0,0 0 0,-1 0 0,0 2 0,0 0 0,-1 0 0,0 1 0,-26-6 0,34 10 0,1 0 0,-1 1 0,0 0 0,0 0 0,0 1 0,1 0 0,-1 0 0,0 0 0,0 1 0,0 0 0,0 1 0,1-1 0,-1 1 0,1 1 0,-1-1 0,1 1 0,0 0 0,0 0 0,0 1 0,0 0 0,1 0 0,0 0 0,-1 1 0,-6 8 0,3-2 0,1 0 0,0 1 0,1 0 0,0 0 0,1 0 0,0 1 0,1 0 0,0 1 0,1-1 0,1 1 0,-2 13 0,4-15 0,1-1 0,0 0 0,0 0 0,2 0 0,-1 0 0,1 0 0,1-1 0,0 1 0,0 0 0,1-1 0,0 0 0,1 0 0,1 0 0,9 14 0,-7-11 0,1 0 0,0-1 0,1 0 0,1 0 0,0-1 0,0-1 0,1 0 0,0 0 0,0-2 0,1 1 0,1-1 0,-1-1 0,1-1 0,1 0 0,-1 0 0,1-1 0,0-1 0,0-1 0,0 0 0,0-1 0,28 0 0,-10-1-120,-1 0 246,45-4 1,-71 2-242,1 1-1,-1-2 1,1 1 0,0-1 0,-1 0-1,0 0 1,1 0 0,-1-1 0,0 0 0,-1 0-1,1-1 1,9-7 0,-1-6-6711</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11:59.421"/>
    </inkml:context>
    <inkml:brush xml:id="br0">
      <inkml:brushProperty name="width" value="0.035" units="cm"/>
      <inkml:brushProperty name="height" value="0.035" units="cm"/>
      <inkml:brushProperty name="color" value="#E71224"/>
    </inkml:brush>
  </inkml:definitions>
  <inkml:trace contextRef="#ctx0" brushRef="#br0">1 0 24575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19:15.398"/>
    </inkml:context>
    <inkml:brush xml:id="br0">
      <inkml:brushProperty name="width" value="0.035" units="cm"/>
      <inkml:brushProperty name="height" value="0.035" units="cm"/>
      <inkml:brushProperty name="color" value="#E71224"/>
    </inkml:brush>
  </inkml:definitions>
  <inkml:trace contextRef="#ctx0" brushRef="#br0">1 1610 24575,'0'-1'0,"1"0"0,0 0 0,-1 0 0,1 0 0,0 0 0,0 0 0,-1 0 0,1 0 0,0 0 0,0 1 0,0-1 0,0 0 0,0 1 0,0-1 0,1 0 0,-1 1 0,0-1 0,0 1 0,0 0 0,0-1 0,1 1 0,-1 0 0,2 0 0,40-8 0,-33 7 0,555-86 0,-491 73 0,334-66 0,-303 54 0,187-73 0,-170 46 0,545-202 0,-412 184 0,64-19 0,-76 25 0,-186 52 0,249-73 0,-195 54-1365,-89 27-5461</inkml:trace>
  <inkml:trace contextRef="#ctx0" brushRef="#br0" timeOffset="989.28">3573 314 24575,'6'4'0,"0"0"0,1-1 0,0 1 0,0-1 0,0-1 0,0 1 0,0-1 0,13 1 0,3 3 0,-16-4 0,1 0 0,-1 1 0,1 0 0,-1 0 0,0 1 0,0 0 0,0 0 0,0 1 0,-1 0 0,0 0 0,0 0 0,0 1 0,-1 0 0,0 0 0,0 0 0,0 0 0,-1 1 0,0 0 0,0 0 0,0 0 0,-1 1 0,-1-1 0,1 1 0,-1 0 0,0-1 0,-1 1 0,1 13 0,1 5 15,-2 0 0,0 0 0,-2 0 0,-1 0 0,-1 0 0,-2 0 0,-7 27 0,0-15-386,0 0-1,-3-1 1,-37 69 0,31-73-6455</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20:17.660"/>
    </inkml:context>
    <inkml:brush xml:id="br0">
      <inkml:brushProperty name="width" value="0.035" units="cm"/>
      <inkml:brushProperty name="height" value="0.035" units="cm"/>
      <inkml:brushProperty name="color" value="#E71224"/>
    </inkml:brush>
  </inkml:definitions>
  <inkml:trace contextRef="#ctx0" brushRef="#br0">271 741 24575,'0'3'0,"-1"34"0,1 0 0,2 0 0,1 0 0,2 0 0,2 0 0,12 37 0,-19-74 0,0 1 0,0 0 0,0-1 0,0 1 0,0-1 0,0 1 0,0 0 0,0-1 0,1 1 0,-1-1 0,0 1 0,0 0 0,1-1 0,-1 1 0,0-1 0,1 1 0,-1-1 0,1 1 0,-1-1 0,1 1 0,-1-1 0,1 0 0,-1 1 0,1-1 0,-1 0 0,1 1 0,-1-1 0,1 0 0,-1 1 0,2-1 0,4-18 0,-4-34 0,-2 47 0,-1 1 0,1-1 0,-1 1 0,0 0 0,0-1 0,-1 1 0,1 0 0,-1 0 0,0 0 0,0 0 0,0 0 0,0 1 0,-1-1 0,0 1 0,0-1 0,0 1 0,0 0 0,0 0 0,0 0 0,-1 1 0,0-1 0,1 1 0,-1 0 0,0 0 0,0 0 0,-6-2 0,-11-2 0,0 0 0,0 2 0,-1 0 0,-29-1 0,-32-6 0,53-2 0,25 5 0,19-1 0,243-87 0,-173 60 64,-51 21-779,51-17 1,-55 25-6112</inkml:trace>
  <inkml:trace contextRef="#ctx0" brushRef="#br0" timeOffset="2656">642 688 24575,'0'48'0,"2"0"0,12 68 0,-8-64 0,-1 54 0,-5-104 0,0-24 0,2 1 0,0 0 0,2 0 0,0 0 0,1 0 0,1 1 0,1 0 0,1 0 0,0 0 0,2 1 0,21-32 0,-25 43 0,1 1 0,0 0 0,0 0 0,1 1 0,0 0 0,0 0 0,0 1 0,11-5 0,-17 8 0,0 1 0,1 0 0,-1 0 0,0 0 0,0 0 0,1 0 0,-1 0 0,1 1 0,-1-1 0,1 1 0,-1 0 0,1 0 0,-1 0 0,1 0 0,-1 0 0,1 0 0,-1 1 0,1-1 0,-1 1 0,1 0 0,-1-1 0,0 1 0,1 0 0,-1 1 0,0-1 0,0 0 0,0 1 0,0-1 0,0 1 0,0-1 0,0 1 0,0 0 0,-1 0 0,1 0 0,-1 0 0,2 3 0,2 4 4,-2 0 1,1 0-1,-1 1 0,-1-1 0,0 1 0,0 0 0,-1 0 0,1 12 1,-6 87-184,1-49-1045,2-38-5602</inkml:trace>
  <inkml:trace contextRef="#ctx0" brushRef="#br0" timeOffset="4174.59">1197 794 24575,'3'-3'0,"-1"0"0,0 0 0,0 0 0,0-1 0,-1 1 0,1 0 0,-1-1 0,0 1 0,0-1 0,0 0 0,0 1 0,-1-1 0,1 0 0,-1 1 0,0-1 0,-1-5 0,1 6 0,0 1 0,0 0 0,0-1 0,0 1 0,-1 0 0,0-1 0,1 1 0,-1 0 0,0 0 0,0 0 0,0 0 0,0 0 0,0 0 0,-1 0 0,1 0 0,0 0 0,-1 0 0,0 1 0,1-1 0,-1 1 0,0-1 0,0 1 0,0 0 0,0-1 0,0 1 0,-3-1 0,4 2 0,0 0 0,0 0 0,-1 0 0,1 0 0,0 0 0,0 0 0,0 0 0,0 0 0,0 1 0,0-1 0,0 0 0,0 1 0,-1-1 0,1 1 0,0-1 0,0 1 0,1 0 0,-1-1 0,0 1 0,0 0 0,0 0 0,0-1 0,1 1 0,-1 0 0,0 0 0,1 0 0,-1 0 0,0 0 0,1 0 0,-1 0 0,1 0 0,0 0 0,-1 2 0,-11 44 0,9-33 0,-4 18 0,2 0 0,0 1 0,2 0 0,2 0 0,3 35 0,-2-65 0,1 1 0,-1-1 0,1 1 0,0 0 0,1-1 0,-1 0 0,1 1 0,-1-1 0,1 0 0,0 0 0,0 0 0,0 0 0,1 0 0,-1 0 0,1-1 0,-1 1 0,1-1 0,0 0 0,0 0 0,0 0 0,0 0 0,0 0 0,1 0 0,-1-1 0,0 0 0,1 0 0,-1 0 0,1 0 0,0 0 0,-1-1 0,6 1 0,13 1 0,1-1 0,0-1 0,44-6 0,-44 4 0,11-4-1365,-9 0-5461</inkml:trace>
  <inkml:trace contextRef="#ctx0" brushRef="#br0" timeOffset="5466.84">1462 662 24575,'0'-2'0,"1"1"0,-1 0 0,1 0 0,0 0 0,-1 0 0,1 0 0,0 0 0,-1 0 0,1 0 0,0 0 0,0 0 0,0 1 0,0-1 0,0 0 0,0 0 0,0 1 0,0-1 0,0 1 0,0-1 0,1 1 0,-1-1 0,0 1 0,0 0 0,0 0 0,1-1 0,-1 1 0,0 0 0,0 0 0,3 1 0,37-1 0,-34 1 0,0 1 0,-1-1 0,1 1 0,-1 1 0,0-1 0,0 1 0,0 0 0,0 0 0,0 1 0,-1-1 0,1 2 0,-1-1 0,0 0 0,0 1 0,-1 0 0,1 0 0,-1 0 0,0 1 0,-1-1 0,4 8 0,-2-3 0,-1 1 0,0-1 0,0 1 0,-2 0 0,1 0 0,-1 1 0,-1-1 0,0 0 0,0 1 0,-1-1 0,-2 14 0,2-23 0,-1 1 0,1 0 0,-1-1 0,1 1 0,-1-1 0,0 1 0,0-1 0,0 1 0,-1-1 0,1 0 0,0 0 0,-1 0 0,0 1 0,1-1 0,-1 0 0,0-1 0,0 1 0,0 0 0,0-1 0,0 1 0,0-1 0,-1 1 0,1-1 0,0 0 0,-1 0 0,1 0 0,-1 0 0,1-1 0,-6 1 0,5 0 0,0-1 0,-1 0 0,1 0 0,0 0 0,-1 0 0,1-1 0,0 1 0,-1-1 0,1 0 0,0 0 0,0 0 0,0 0 0,0-1 0,0 1 0,0-1 0,0 0 0,0 1 0,0-2 0,1 1 0,-1 0 0,1 0 0,0-1 0,-3-2 0,-3-9 0,0 1 0,1-1 0,0 0 0,1-1 0,1 0 0,0 0 0,1 0 0,-2-20 0,2 6 0,2 0 0,1 0 0,4-46 0,-2 66-105,1 1 0,0-1 0,0 1 0,1-1 0,0 1 0,0 0 0,1 0 0,0 0 0,1 1 0,0-1 0,0 1 0,9-9 0,6-6-6721</inkml:trace>
  <inkml:trace contextRef="#ctx0" brushRef="#br0" timeOffset="6985.02">1859 556 24575,'2'-1'0,"0"1"0,0-1 0,0 1 0,0-1 0,0 0 0,0 0 0,0 0 0,0 0 0,-1 0 0,1 0 0,0-1 0,-1 1 0,1 0 0,-1-1 0,1 0 0,-1 1 0,1-1 0,-1 0 0,0 1 0,0-1 0,0 0 0,0 0 0,0 0 0,-1 0 0,1 0 0,-1 0 0,1 0 0,0-3 0,0 1 0,0 0 0,-1 0 0,1 0 0,-1 0 0,0 0 0,0 0 0,0 0 0,0 0 0,0 0 0,-1 0 0,0 0 0,0 0 0,0 1 0,-2-5 0,2 7 0,1-1 0,-1 1 0,1 0 0,-1 0 0,0 0 0,0 0 0,0 0 0,0 0 0,1 0 0,-1 0 0,0 0 0,-1 0 0,1 1 0,0-1 0,0 0 0,0 1 0,0-1 0,0 1 0,-1-1 0,1 1 0,0 0 0,-1-1 0,1 1 0,0 0 0,0 0 0,-1 0 0,1 0 0,0 0 0,-1 0 0,1 0 0,0 0 0,-1 1 0,1-1 0,0 1 0,0-1 0,-1 1 0,1-1 0,0 1 0,0-1 0,0 1 0,0 0 0,0 0 0,0 0 0,0-1 0,-1 3 0,-2 0 0,0 1 0,1 1 0,0-1 0,-1 0 0,2 1 0,-1-1 0,0 1 0,1 0 0,0 0 0,-2 6 0,1 3 0,1 1 0,0-1 0,1 1 0,0 0 0,1-1 0,3 22 0,-3-31 0,0 1 0,1 0 0,0-1 0,1 1 0,-1-1 0,1 0 0,0 1 0,0-1 0,1 0 0,-1 0 0,1 0 0,0-1 0,1 1 0,-1-1 0,1 1 0,0-1 0,0 0 0,0-1 0,6 5 0,-9-7-47,0-1 0,0 1 0,1-1 0,-1 1 0,0-1 0,0 0 0,0 1 0,0-1 0,0 0-1,1 0 1,-1 0 0,0 0 0,0 0 0,0 0 0,0 0 0,1-1 0,-1 1 0,0 0 0,0-1 0,0 1 0,0-1 0,0 1-1,0-1 1,0 1 0,0-1 0,0 0 0,0 1 0,1-3 0,10-10-6779</inkml:trace>
  <inkml:trace contextRef="#ctx0" brushRef="#br0" timeOffset="7898.44">2415 212 24575,'0'4'0,"0"7"0,0 9 0,0 7 0,0 3 0,0 1 0,4 4 0,6-4 0,2-3 0,-2-1 0,-2-6-8191</inkml:trace>
  <inkml:trace contextRef="#ctx0" brushRef="#br0" timeOffset="8441.42">2335 0 24575</inkml:trace>
  <inkml:trace contextRef="#ctx0" brushRef="#br0" timeOffset="10705.87">3050 53 24575,'-113'-2'0,"-122"5"0,231-3 0,1 1 0,-1-1 0,1 1 0,-1 0 0,1 0 0,0 0 0,-1 1 0,1-1 0,0 1 0,0 0 0,0 0 0,0 0 0,0 0 0,0 0 0,1 1 0,-1-1 0,1 1 0,0 0 0,0 0 0,0 0 0,0 0 0,0 0 0,0 0 0,1 0 0,-1 0 0,1 1 0,0-1 0,0 1 0,0 3 0,-2 12 0,1 0 0,0 0 0,1 0 0,3 25 0,-1-21 0,-1-18 0,0 1 0,0-1 0,1 1 0,0-1 0,0 0 0,0 1 0,1-1 0,-1 0 0,1 0 0,1 0 0,-1 0 0,4 5 0,-3-6 0,0-1 0,0 0 0,0-1 0,0 1 0,1-1 0,-1 1 0,1-1 0,-1 0 0,1 0 0,0 0 0,0-1 0,0 1 0,0-1 0,0 0 0,0 0 0,6 0 0,65 0 0,-55-3 0,1 2 0,31 3 0,-47-2 0,0 0 0,-1 0 0,1 0 0,0 0 0,-1 1 0,1 0 0,-1 0 0,1 0 0,-1 0 0,0 1 0,0 0 0,0 0 0,0 0 0,-1 0 0,6 6 0,-6-4 0,0 0 0,0 1 0,-1-1 0,1 0 0,-1 1 0,0-1 0,-1 1 0,0-1 0,0 1 0,1 9 0,-1 63 0,-2-54 0,2 26 0,0-31 0,0-1 0,-1 0 0,-1 1 0,-1-1 0,0 0 0,-1 0 0,-12 35 0,14-49 0,0-1 0,-1 0 0,0 0 0,1 0 0,-1-1 0,0 1 0,-1 0 0,1-1 0,0 1 0,-1-1 0,1 0 0,-1 0 0,0 0 0,0 0 0,0 0 0,0-1 0,0 1 0,0-1 0,0 0 0,0 1 0,-6 0 0,4-2 0,-1 0 0,1 0 0,-1 0 0,1-1 0,-1 0 0,1 0 0,-1 0 0,1-1 0,0 1 0,0-1 0,0-1 0,-7-3 0,1 0 0,0 0 0,1-2 0,0 1 0,0-1 0,0-1 0,1 0 0,0 0 0,1-1 0,0 0 0,1 0 0,-8-14 0,6 4 0,1-2 0,1 1 0,0-1 0,2 0 0,0 0 0,-2-29 0,7 49 0,0 0 0,1 0 0,-1 0 0,0 0 0,0 0 0,1 0 0,-1 0 0,1 0 0,0 0 0,0 0 0,-1 1 0,1-1 0,0 0 0,0 1 0,1-1 0,-1 1 0,0-1 0,1 1 0,-1-1 0,0 1 0,4-2 0,-1 0 0,1 1 0,-1-1 0,1 1 0,0 1 0,-1-1 0,1 1 0,0-1 0,8 0 0,-1 1 0,1 0 0,-1 1 0,0 1 0,0-1 0,0 2 0,23 5 0,-13 2 21,1 1 0,-2 1 0,0 1 0,0 1-1,29 25 1,-30-23-319,0 0 0,0-2 0,2 0 0,44 19 0,-45-25-6528</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20:32.228"/>
    </inkml:context>
    <inkml:brush xml:id="br0">
      <inkml:brushProperty name="width" value="0.035" units="cm"/>
      <inkml:brushProperty name="height" value="0.035" units="cm"/>
      <inkml:brushProperty name="color" value="#E71224"/>
    </inkml:brush>
  </inkml:definitions>
  <inkml:trace contextRef="#ctx0" brushRef="#br0">81 396 24575,'3'6'0,"-6"16"0,-6 25 0,5-33 0,0 1 0,1 0 0,1 0 0,1 0 0,0 30 0,1-42 0,0 1 0,1-1 0,0 0 0,-1 0 0,1 1 0,0-1 0,1 0 0,-1 0 0,0 0 0,1 0 0,0 0 0,-1-1 0,1 1 0,1 0 0,-1-1 0,0 1 0,0-1 0,1 0 0,-1 0 0,1 0 0,0 0 0,0 0 0,0-1 0,0 1 0,0-1 0,0 0 0,0 1 0,0-2 0,0 1 0,1 0 0,-1-1 0,0 1 0,5-1 0,2 1 0,1 0 0,-1-1 0,1-1 0,-1 1 0,0-2 0,1 1 0,-1-2 0,0 1 0,0-1 0,14-7 0,-17 7 0,0-1 0,-1-1 0,0 1 0,0-1 0,0 0 0,0 0 0,-1-1 0,1 0 0,-2 0 0,1 0 0,-1 0 0,1-1 0,-2 0 0,7-13 0,-4 3 0,0 0 0,-1 0 0,-1 0 0,0 0 0,-2-1 0,0 0 0,0 1 0,-2-1 0,0 0 0,-1 0 0,-1 1 0,-5-19 0,6 33 0,0 0 0,-1 0 0,0 1 0,0-1 0,0 0 0,0 0 0,0 1 0,0 0 0,-1-1 0,1 1 0,-1 0 0,0 0 0,1 0 0,-1 0 0,0 1 0,0-1 0,0 1 0,0 0 0,-1 0 0,1 0 0,0 0 0,0 1 0,-1-1 0,-4 0 0,-12 0 0,1 0 0,-1 2 0,-21 2 0,9 0 0,20-3 0,-1 1 0,0 0 0,1 1 0,0 1 0,-1 0 0,-20 8 0,29-9 0,0 0 0,1 0 0,-1 0 0,1 0 0,-1 0 0,1 1 0,0 0 0,0-1 0,0 1 0,1 0 0,-1 1 0,1-1 0,-1 0 0,1 1 0,0-1 0,1 1 0,-1 0 0,0 0 0,1 0 0,0 0 0,0-1 0,0 1 0,1 1 0,-1 6 0,1-9 0,0 1 0,0-1 0,0 0 0,0 0 0,0 0 0,1 0 0,-1 0 0,1 0 0,0 0 0,0 0 0,-1 0 0,1 0 0,0 0 0,0 0 0,1-1 0,-1 1 0,0 0 0,1-1 0,-1 1 0,1-1 0,-1 1 0,4 1 0,-1-1 0,1 1 0,-1-1 0,1-1 0,-1 1 0,1-1 0,0 0 0,-1 0 0,1 0 0,9 0 0,-5 0 0,0-1 0,0-1 0,0 0 0,0 0 0,0 0 0,-1-1 0,1-1 0,-1 1 0,1-1 0,-1-1 0,8-4 0,-4-2 0,-1 0 0,-1-1 0,0 0 0,0-1 0,-1 0 0,14-25 0,-16 25 0,1-1 0,0 1 0,1 1 0,0 0 0,1 0 0,0 0 0,12-8 0,-22 18 0,1 0 0,0 1 0,0-1 0,-1 1 0,1-1 0,0 1 0,0-1 0,0 1 0,0-1 0,-1 1 0,1 0 0,0 0 0,0-1 0,0 1 0,0 0 0,0 0 0,0 0 0,0 0 0,0 0 0,0 0 0,0 0 0,0 0 0,0 0 0,0 1 0,-1-1 0,1 0 0,0 1 0,0-1 0,0 0 0,1 2 0,-1-1 0,1 1 0,-1 0 0,0 0 0,0 0 0,0-1 0,0 1 0,0 1 0,0-1 0,0 0 0,0 0 0,-1 0 0,1 4 0,1 10 0,-1 1 0,-1 28 0,0-38 0,0 13 0,-2-3 0,2-1 0,0 1 0,1-1 0,1 0 0,6 28 0,-6-40 0,-1 0 0,1 1 0,0-1 0,0-1 0,0 1 0,1 0 0,-1 0 0,1-1 0,0 1 0,0-1 0,0 0 0,0 0 0,1 0 0,-1 0 0,1-1 0,0 0 0,0 1 0,0-1 0,0-1 0,0 1 0,0 0 0,0-1 0,1 0 0,-1 0 0,0 0 0,6 0 0,4 1-170,0-1-1,1 0 0,-1-1 1,0-1-1,0 0 0,1 0 1,13-5-1,-11 0-6655</inkml:trace>
  <inkml:trace contextRef="#ctx0" brushRef="#br0" timeOffset="1470.99">1272 131 24575,'5'12'0,"67"118"0,-62-114 0,1 1 0,1 1 0,1-2 0,26 28 0,-37-41 0,1 0 0,-1-1 0,1 0 0,-1 1 0,1-1 0,0 0 0,0-1 0,0 1 0,0 0 0,1-1 0,-1 0 0,0 1 0,0-1 0,1-1 0,-1 1 0,1 0 0,-1-1 0,1 0 0,-1 0 0,1 0 0,-1 0 0,1 0 0,-1-1 0,1 1 0,-1-1 0,0 0 0,1 0 0,-1 0 0,0-1 0,3-1 0,-3 1 0,0-1 0,0 0 0,-1 1 0,1-1 0,-1 0 0,0 0 0,0 0 0,0-1 0,0 1 0,0 0 0,-1-1 0,1 1 0,-1-1 0,0 1 0,0-1 0,-1 0 0,1 0 0,-1-5 0,2-12 0,-2 0 0,-2-24 0,0 18 0,-1-172-1365,3 177-5461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20:38.404"/>
    </inkml:context>
    <inkml:brush xml:id="br0">
      <inkml:brushProperty name="width" value="0.035" units="cm"/>
      <inkml:brushProperty name="height" value="0.035" units="cm"/>
      <inkml:brushProperty name="color" value="#E71224"/>
    </inkml:brush>
  </inkml:definitions>
  <inkml:trace contextRef="#ctx0" brushRef="#br0">353 383 24575,'-19'-1'0,"-1"-1"0,-35-9 0,34 7 0,-1 0 0,-25-1 0,22 3 0,10 1 0,1 0 0,-1 1 0,-19 3 0,32-3 0,-1 0 0,1 1 0,-1-1 0,0 1 0,1 0 0,-1-1 0,1 1 0,-1 1 0,1-1 0,0 0 0,0 1 0,-1-1 0,1 1 0,0-1 0,0 1 0,0 0 0,0 0 0,1 0 0,-1 0 0,1 0 0,-1 0 0,1 1 0,-3 4 0,0 14 0,1 1 0,0 0 0,2 0 0,0 0 0,1 0 0,7 42 0,-6-61 0,0 1 0,0 0 0,0-1 0,0 1 0,1-1 0,-1 0 0,1 1 0,0-1 0,0 0 0,0 0 0,1 0 0,-1-1 0,1 1 0,0 0 0,-1-1 0,1 1 0,0-1 0,0 0 0,1 0 0,-1-1 0,0 1 0,1 0 0,-1-1 0,1 0 0,-1 0 0,1 0 0,0 0 0,-1-1 0,1 1 0,0-1 0,6 0 0,-5 0 0,0 0 0,0 0 0,0 0 0,0 0 0,0-1 0,0 0 0,1 0 0,-2 0 0,1-1 0,0 0 0,0 0 0,0 0 0,-1 0 0,1-1 0,-1 0 0,0 0 0,0 0 0,0 0 0,0-1 0,0 1 0,-1-1 0,6-7 0,-6 3 0,0-1 0,0 0 0,-1 1 0,0-1 0,-1 0 0,0 0 0,0 0 0,-1-14 0,-1 14 0,2-1 0,-1 1 0,1 0 0,1-1 0,-1 1 0,6-15 0,-7 24 0,0-1 0,1 0 0,-1 1 0,0-1 0,0 0 0,0 1 0,1-1 0,-1 0 0,0 1 0,1-1 0,-1 1 0,1-1 0,-1 1 0,1-1 0,-1 1 0,1-1 0,-1 1 0,1-1 0,-1 1 0,1-1 0,0 1 0,-1 0 0,1 0 0,0-1 0,-1 1 0,1 0 0,1-1 0,10 15 0,8 42 0,-15-41 0,0-4 0,0 0 0,1-1 0,0 0 0,1 0 0,0-1 0,0 0 0,1 0 0,12 10 0,-18-17 0,-1 0 0,2 0 0,-1 0 0,0-1 0,0 1 0,0-1 0,1 1 0,-1-1 0,1 0 0,-1 0 0,1 0 0,-1 0 0,1 0 0,0-1 0,-1 1 0,1-1 0,0 0 0,0 0 0,-1 0 0,1 0 0,0 0 0,0 0 0,-1-1 0,1 1 0,0-1 0,-1 0 0,1 0 0,-1 0 0,1 0 0,-1 0 0,1-1 0,-1 1 0,0-1 0,0 0 0,1 1 0,-1-1 0,0 0 0,-1 0 0,1 0 0,0-1 0,1-2 0,5-6 0,-1-1 0,-1 0 0,0 0 0,-1 0 0,0-1 0,-1 0 0,-1 0 0,1 0 0,1-26 0,-2-9 0,-4-70 0,0 62 0,-2 21 0,-9-51 0,-1-14 0,15 163 0,3 0 0,3 0 0,25 99 0,-24-119 0,-6-22 0,2-1 0,0 1 0,15 35 0,-19-52 0,1-1 0,-1 0 0,1 0 0,0 1 0,0-1 0,0 0 0,0-1 0,1 1 0,-1 0 0,1-1 0,-1 1 0,1-1 0,0 0 0,0 0 0,0 0 0,0 0 0,1 0 0,-1-1 0,0 1 0,1-1 0,-1 0 0,1 0 0,-1 0 0,1-1 0,0 1 0,-1-1 0,8 0 0,-9-1 0,1 1 0,-1 0 0,1-1 0,-1 0 0,1 1 0,-1-1 0,1 0 0,-1 0 0,0-1 0,1 1 0,-1 0 0,0-1 0,0 0 0,0 1 0,0-1 0,0 0 0,-1 0 0,3-2 0,-1-1 0,0 0 0,-1 0 0,1 0 0,-1 0 0,0-1 0,0 1 0,-1-1 0,2-5 0,0-12 0,-2 0 0,0-1 0,-2-27 0,0 39 0,-3-21 0,5 56 0,0-15 0,0 0 0,1-1 0,0 1 0,0-1 0,1 1 0,0-1 0,0 0 0,1 0 0,0 0 0,0 0 0,0-1 0,7 8 0,-9-12 0,0 0 0,0 0 0,1 0 0,-1 0 0,0 0 0,1 0 0,-1-1 0,1 1 0,-1-1 0,1 0 0,0 1 0,-1-1 0,1 0 0,0-1 0,0 1 0,0 0 0,0-1 0,0 0 0,0 0 0,0 0 0,0 0 0,0 0 0,0 0 0,0-1 0,-1 1 0,1-1 0,0 0 0,0 0 0,0 0 0,-1 0 0,1-1 0,0 1 0,-1-1 0,1 1 0,1-3 0,3-3 0,0-1 0,-1 0 0,0 0 0,0 0 0,-1-1 0,0 0 0,-1 0 0,1 0 0,-2 0 0,0-1 0,0 1 0,0-1 0,0-10 0,-1 13 0,-2 7 0,0-1 0,0 0 0,0 1 0,0-1 0,0 0 0,0 1 0,0-1 0,0 0 0,1 1 0,-1-1 0,0 0 0,0 1 0,1-1 0,-1 0 0,1 1 0,-1-1 0,0 1 0,1-1 0,-1 1 0,1-1 0,-1 1 0,1-1 0,-1 1 0,1-1 0,0 1 0,-1 0 0,1-1 0,-1 1 0,1 0 0,0-1 0,-1 1 0,1 0 0,0 0 0,-1 0 0,1 0 0,0 0 0,0 0 0,-1 0 0,1 0 0,0 0 0,0 0 0,27 20 0,-6-3 0,-19-16 0,1 1 0,-1-1 0,1 0 0,-1 0 0,1 0 0,0 0 0,0-1 0,-1 0 0,1 1 0,0-1 0,0-1 0,-1 1 0,1 0 0,0-1 0,-1 0 0,1 0 0,0 0 0,-1 0 0,1-1 0,-1 1 0,0-1 0,1 0 0,-1 0 0,0 0 0,0 0 0,0-1 0,0 1 0,-1-1 0,1 0 0,-1 0 0,1 0 0,-1 0 0,0 0 0,2-6 0,5-6 0,-2 0 0,0-1 0,0 0 0,-2-1 0,0 0 0,3-21 0,-7 36 0,-1 0 0,1 0 0,-1 0 0,0 0 0,0 0 0,0 0 0,0 0 0,0 0 0,0 0 0,-1 0 0,1 0 0,-1 0 0,1 0 0,-1 0 0,0 0 0,0 0 0,0 0 0,0 0 0,0 1 0,0-1 0,0 0 0,0 1 0,-1-1 0,1 1 0,-1-1 0,1 1 0,-1 0 0,-2-2 0,3 3 0,-1-1 0,0 1 0,0 0 0,1-1 0,-1 1 0,0 0 0,0 0 0,1 0 0,-1 0 0,0 1 0,0-1 0,1 0 0,-1 1 0,0-1 0,1 1 0,-1-1 0,0 1 0,1 0 0,-1 0 0,1 0 0,-1 0 0,1 0 0,-1 0 0,1 0 0,0 0 0,0 1 0,-1-1 0,1 0 0,0 1 0,0-1 0,0 1 0,1-1 0,-2 3 0,-3 6 0,0 1 0,0 0 0,1 0 0,1 0 0,0 0 0,0 0 0,1 1 0,-1 17 0,3 101 0,2-82 0,-3-4 0,-1-32 0,1 1 0,1-1 0,0 1 0,1-1 0,0 1 0,1-1 0,1 1 0,3 11 0,-4-21 0,0 0 0,1-1 0,-1 1 0,1-1 0,0 1 0,0-1 0,-1 0 0,1 0 0,1 0 0,-1 0 0,0-1 0,0 1 0,1-1 0,-1 0 0,1 0 0,-1 0 0,1 0 0,-1-1 0,1 1 0,-1-1 0,1 0 0,0 0 0,3-1 0,3 1 0,1-1 0,-1 0 0,0 0 0,-1-1 0,1-1 0,0 0 0,10-4 0,-15 4-136,0 1-1,-1-1 1,1 0-1,0-1 1,-1 1-1,0-1 1,0 0-1,0 0 0,3-5 1,6-11-6690</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20:44.311"/>
    </inkml:context>
    <inkml:brush xml:id="br0">
      <inkml:brushProperty name="width" value="0.035" units="cm"/>
      <inkml:brushProperty name="height" value="0.035" units="cm"/>
      <inkml:brushProperty name="color" value="#E71224"/>
    </inkml:brush>
  </inkml:definitions>
  <inkml:trace contextRef="#ctx0" brushRef="#br0">515 504 24575,'0'-426'0,"-1"421"0,1 1 0,0 0 0,-1-1 0,0 1 0,0 0 0,0 0 0,-1-1 0,0 1 0,1 0 0,-1 0 0,-1 1 0,1-1 0,-3-4 0,3 7 0,1-1 0,0 1 0,0 0 0,0 0 0,-1 0 0,1 0 0,-1 0 0,1 0 0,0 0 0,-1 0 0,0 1 0,1-1 0,-1 1 0,1-1 0,-1 1 0,0-1 0,1 1 0,-1 0 0,0 0 0,0 0 0,1 0 0,-1 0 0,0 0 0,1 0 0,-1 1 0,0-1 0,1 1 0,-1-1 0,0 1 0,1-1 0,-1 1 0,1 0 0,-1 0 0,1 0 0,0 0 0,-1 0 0,0 1 0,-1 1 0,0 0 0,0 0 0,1 0 0,0 0 0,-1 1 0,1-1 0,0 1 0,1-1 0,-1 1 0,1 0 0,-1-1 0,1 1 0,0 0 0,1 0 0,-1 0 0,1 4 0,-1 71 0,2-56 0,-1 20 0,2 1 0,2 0 0,2-1 0,2 0 0,2 0 0,1-1 0,31 72 0,-32-91 0,0 1 0,-2 1 0,0 0 0,-2 0 0,-1 0 0,-1 0 0,-1 1 0,-1 0 0,-3 39 0,1-62 0,0 36 0,-2-1 0,-2 1 0,-16 72 0,18-101 0,-1-1 0,-1 1 0,1-1 0,-2 0 0,1 0 0,-1 0 0,0-1 0,-1 1 0,0-1 0,-1-1 0,1 1 0,-1-1 0,-1 0 0,0 0 0,1-1 0,-2 0 0,1-1 0,-1 0 0,0 0 0,-14 5 0,-4-2 0,0-1 0,0-1 0,-1-2 0,0-1 0,0 0 0,0-3 0,0 0 0,-44-7 0,68 7 0,0-1 0,0 0 0,0-1 0,0 1 0,0-1 0,1 0 0,-1 0 0,0 0 0,1 0 0,-1 0 0,1-1 0,0 0 0,0 0 0,0 0 0,0 0 0,1 0 0,-1 0 0,1-1 0,0 1 0,0-1 0,0 0 0,0 1 0,1-1 0,-1 0 0,1 0 0,0 0 0,0 0 0,1 0 0,-1-1 0,1 1 0,0 0 0,0 0 0,0-5 0,1-2 0,0 0 0,0 1 0,1-1 0,0 0 0,1 1 0,0-1 0,0 1 0,2 0 0,-1 0 0,1 0 0,11-16 0,28-26 0,62-57 0,-73 79 0,-2-1 0,-2-1 0,-1-1 0,-1-2 0,40-69 0,27-102 0,-91 199 0,18-32 0,-20 37 0,0 0 0,0 0 0,0 0 0,0 0 0,0 1 0,1-1 0,-1 0 0,1 1 0,-1 0 0,1-1 0,0 1 0,0 0 0,-1-1 0,1 1 0,2-1 0,-3 3 0,0-1 0,0 1 0,-1-1 0,1 1 0,0-1 0,-1 1 0,1-1 0,0 1 0,-1 0 0,1-1 0,-1 1 0,1 0 0,-1-1 0,1 1 0,-1 0 0,1 0 0,-1 0 0,0-1 0,1 1 0,-1 0 0,0 0 0,0 0 0,0 0 0,0-1 0,0 3 0,6 32 0,-4-24 0,1 3 0,1 0 0,0-1 0,1 1 0,0-1 0,1 0 0,1 0 0,13 19 0,-18-29 0,0-1 0,0 1 0,0 0 0,0 0 0,1-1 0,-1 1 0,1-1 0,0 0 0,0 0 0,0 0 0,0 0 0,0 0 0,0-1 0,0 1 0,1-1 0,-1 0 0,0 0 0,1 0 0,-1 0 0,1-1 0,-1 1 0,1-1 0,-1 0 0,1 0 0,0 0 0,-1-1 0,1 1 0,-1-1 0,1 0 0,-1 0 0,0 0 0,1-1 0,-1 1 0,0-1 0,6-3 0,-6 2 0,1 1 0,-1-1 0,0 0 0,-1 0 0,1-1 0,0 1 0,-1-1 0,0 1 0,0-1 0,0 1 0,0-1 0,0 0 0,-1 0 0,0 0 0,0 0 0,0 0 0,0-1 0,0-6 0,0-11 0,0 0 0,-4-31 0,1 20 0,1 6 0,0-23 0,0 48 0,1 29 0,-1 59 0,3 105 0,-2-187 0,1 0 0,0 1 0,-1-1 0,2 0 0,-1 0 0,0 0 0,1 0 0,0 0 0,-1-1 0,2 1 0,-1 0 0,0-1 0,1 1 0,5 5 0,-6-8 0,-1 0 0,1 0 0,0 1 0,0-2 0,-1 1 0,1 0 0,0 0 0,0 0 0,0-1 0,0 1 0,0-1 0,0 0 0,0 1 0,0-1 0,0 0 0,0 0 0,0 0 0,0-1 0,0 1 0,0 0 0,0-1 0,-1 1 0,1-1 0,0 0 0,0 1 0,0-1 0,0 0 0,-1 0 0,1 0 0,0 0 0,-1-1 0,3-1 0,3-3 0,-1 0 0,0-1 0,0 0 0,-1 0 0,0 0 0,0 0 0,-1-1 0,0 1 0,0-1 0,-1 0 0,0-1 0,0 1 0,-1-1 0,0 1 0,2-16 0,-1-12 0,-2-1 0,-5-56 0,1 22 0,3-72 0,0 697 0,0-544 0,1 0 0,0 0 0,0-1 0,1 1 0,1 0 0,-1-1 0,2 1 0,-1-1 0,1 0 0,0 0 0,9 12 0,-11-18 0,0 0 0,0 0 0,0-1 0,1 1 0,-1-1 0,1 0 0,-1 0 0,1 0 0,0 0 0,0 0 0,0 0 0,0-1 0,0 1 0,0-1 0,1 0 0,-1 0 0,0 0 0,1 0 0,-1-1 0,0 0 0,1 1 0,-1-1 0,1 0 0,-1 0 0,0-1 0,1 1 0,-1-1 0,0 0 0,1 0 0,-1 0 0,0 0 0,0 0 0,0-1 0,0 0 0,0 1 0,4-4 0,-1 1 0,-1-1 0,1 0 0,-1-1 0,0 1 0,0-1 0,0 0 0,-1 0 0,0 0 0,0-1 0,0 0 0,-1 1 0,0-1 0,3-11 0,4-15 0,8-54 0,-14 68 0,6-73 0,-4 0 0,-6-116 0,-1 143 0,-2 227 0,6 172 0,-2-329 5,-1-1-1,1 0 1,0 0 0,0 1-1,0-1 1,1 0-1,-1 0 1,1 0 0,0 0-1,0-1 1,0 1-1,1 0 1,-1-1 0,1 1-1,0-1 1,0 0 0,0 0-1,1 0 1,-1-1-1,1 1 1,-1-1 0,1 0-1,0 0 1,0 0-1,4 2 1,6 0-253,0 0 1,1 0-1,-1-1 1,0-1-1,29 1 1,-29-3-6579</inkml:trace>
  <inkml:trace contextRef="#ctx0" brushRef="#br0" timeOffset="2243.57">1150 557 24575,'4'0'0,"7"0"0,0-5 0,0-5 0,1-2 0,4 2 0,3-3 0,-1 2-8191</inkml:trace>
  <inkml:trace contextRef="#ctx0" brushRef="#br0" timeOffset="3742.39">1652 424 24575,'-20'0'0,"2"-1"0,0 1 0,0 1 0,0 1 0,0 0 0,-21 6 0,34-6 0,0 0 0,0 0 0,0 0 0,1 1 0,-1-1 0,1 1 0,0 0 0,-1 1 0,1-1 0,1 1 0,-1-1 0,0 1 0,1 0 0,0 1 0,0-1 0,0 0 0,1 1 0,-1 0 0,1 0 0,0-1 0,0 1 0,-1 9 0,-2 15 0,1 1 0,2 0 0,1 1 0,1-1 0,6 40 0,-5-64 0,0 0 0,0 0 0,1 0 0,-1 0 0,1 0 0,0 0 0,1 0 0,0-1 0,-1 0 0,2 1 0,-1-1 0,1 0 0,0 0 0,0-1 0,0 1 0,0-1 0,1 0 0,0 0 0,0 0 0,0-1 0,0 0 0,0 0 0,1 0 0,-1-1 0,9 3 0,-7-3 0,0 0 0,0 0 0,-1-1 0,2 0 0,-1 0 0,0-1 0,0 0 0,0 0 0,0-1 0,0 0 0,0 0 0,0-1 0,0 1 0,-1-2 0,1 1 0,0-1 0,-1 0 0,0 0 0,1-1 0,-1 1 0,-1-1 0,7-6 0,5-9-1365,-5-1-5461</inkml:trace>
  <inkml:trace contextRef="#ctx0" brushRef="#br0" timeOffset="5107.42">1917 371 24575,'12'1'0,"0"-1"0,0 2 0,0 0 0,0 0 0,0 1 0,0 0 0,-1 1 0,1 1 0,-1-1 0,0 2 0,-1 0 0,1 0 0,-1 1 0,13 11 0,-4-4 0,0 2 0,-1 0 0,-1 1 0,0 1 0,-2 0 0,17 25 0,-24-32 0,-1 1 0,-1 0 0,0 1 0,-1-1 0,0 1 0,-1 0 0,0 0 0,-1 0 0,-1 1 0,0-1 0,-1 1 0,0 21 0,-1-33 0,0 0 0,0 0 0,0 0 0,0 0 0,-1 0 0,1 0 0,0 0 0,-1 0 0,0 0 0,1 0 0,-1 0 0,0 0 0,0 0 0,0-1 0,0 1 0,-1 0 0,1-1 0,0 1 0,-1-1 0,1 1 0,-1-1 0,1 0 0,-1 1 0,0-1 0,0 0 0,1 0 0,-1 0 0,0 0 0,0-1 0,0 1 0,0 0 0,0-1 0,0 1 0,0-1 0,0 0 0,0 0 0,0 0 0,0 0 0,-1 0 0,1 0 0,0 0 0,0-1 0,0 1 0,0-1 0,0 1 0,0-1 0,1 0 0,-1 0 0,0 0 0,0 0 0,0 0 0,1 0 0,-1-1 0,0 1 0,1-1 0,0 1 0,-1-1 0,1 1 0,0-1 0,-3-3 0,0-5 0,0 0 0,0 0 0,1 0 0,0 0 0,1-1 0,0 0 0,-1-18 0,3-81 0,2 65 0,-1 18 0,2 0 0,0 0 0,2 1 0,1-1 0,1 1 0,1 1 0,21-45 0,-33 68-1365,-6 7-5461</inkml:trace>
  <inkml:trace contextRef="#ctx0" brushRef="#br0" timeOffset="6107.6">1732 609 24575,'4'-4'0,"7"-2"0,0 0-8191</inkml:trace>
  <inkml:trace contextRef="#ctx0" brushRef="#br0" timeOffset="7774.65">1652 451 24575,'1'-1'0,"-1"0"0,0 0 0,0 0 0,1 0 0,-1 0 0,1 0 0,-1 1 0,1-1 0,-1 0 0,1 0 0,0 1 0,-1-1 0,1 0 0,0 1 0,-1-1 0,1 0 0,0 1 0,0-1 0,0 1 0,-1-1 0,1 1 0,0 0 0,0-1 0,0 1 0,0 0 0,0 0 0,0 0 0,0-1 0,0 1 0,0 0 0,0 0 0,0 0 0,0 1 0,0-1 0,0 0 0,-1 0 0,2 1 0,37 7 0,-35-7 0,-1 1 0,1-1 0,-1 1 0,0 0 0,1 0 0,-1 0 0,0 0 0,0 1 0,0-1 0,-1 1 0,1 0 0,0 0 0,-1 0 0,0 0 0,0 0 0,0 0 0,0 1 0,0-1 0,-1 1 0,0-1 0,1 1 0,-1 0 0,0-1 0,-1 1 0,1 0 0,-1 0 0,0 4 0,0-4 0,-1 1 0,0-1 0,0 1 0,0-1 0,-1 1 0,1-1 0,-1 0 0,0 0 0,0 0 0,-1 0 0,1 0 0,-1 0 0,0 0 0,0-1 0,0 0 0,-1 1 0,1-1 0,-1 0 0,1-1 0,-1 1 0,-8 3 0,-3 0-136,0-1-1,0 0 1,0-2-1,-1 0 1,0 0-1,1-2 1,-1 0-1,0 0 0,-24-3 1,11 1-6690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21:01.879"/>
    </inkml:context>
    <inkml:brush xml:id="br0">
      <inkml:brushProperty name="width" value="0.035" units="cm"/>
      <inkml:brushProperty name="height" value="0.035" units="cm"/>
      <inkml:brushProperty name="color" value="#E71224"/>
    </inkml:brush>
  </inkml:definitions>
  <inkml:trace contextRef="#ctx0" brushRef="#br0">159 46 24575,'0'-1'0,"0"1"0,0-1 0,0 1 0,0-1 0,0 1 0,0-1 0,0 1 0,0-1 0,0 1 0,0-1 0,0 1 0,1-1 0,-1 0 0,0 1 0,0-1 0,1 1 0,-1 0 0,0-1 0,0 1 0,1-1 0,-1 1 0,1-1 0,-1 1 0,0 0 0,1-1 0,-1 1 0,1 0 0,-1-1 0,1 1 0,-1 0 0,1 0 0,-1-1 0,1 1 0,-1 0 0,1 0 0,-1 0 0,1 0 0,-1 0 0,1 0 0,-1 0 0,1 0 0,-1 0 0,1 0 0,0 0 0,-1 0 0,1 0 0,-1 0 0,1 0 0,-1 1 0,1-1 0,-1 0 0,1 0 0,-1 1 0,1-1 0,-1 0 0,0 0 0,1 1 0,-1-1 0,1 1 0,-1-1 0,0 0 0,1 1 0,-1-1 0,1 1 0,28 26 0,-4 9 0,-1 1 0,-2 1 0,-2 1 0,-2 1 0,16 47 0,-15-13 0,-18-69 0,0 1 0,0-1 0,-1 1 0,0-1 0,0 1 0,-1-1 0,1 1 0,-1-1 0,0 1 0,-1-1 0,-1 7 0,3-12 0,0 0 0,-1 1 0,1-1 0,0 0 0,0 0 0,0 1 0,0-1 0,0 0 0,-1 0 0,1 1 0,0-1 0,0 0 0,0 0 0,-1 0 0,1 0 0,0 1 0,0-1 0,-1 0 0,1 0 0,0 0 0,0 0 0,-1 0 0,1 0 0,0 0 0,-1 1 0,1-1 0,0 0 0,0 0 0,-1 0 0,1 0 0,0 0 0,0 0 0,-1 0 0,1-1 0,0 1 0,-1 0 0,1 0 0,0 0 0,0 0 0,-1 0 0,1 0 0,0 0 0,0-1 0,-1 1 0,1 0 0,0 0 0,0 0 0,0-1 0,-1 1 0,1 0 0,0 0 0,0 0 0,0-1 0,0 1 0,-1 0 0,1 0 0,0-1 0,0 1 0,0 0 0,0-1 0,0 1 0,0-1 0,-10-21 0,10 20 0,-45-162 0,-4-13 0,47 173 0,0 1 0,0-1 0,0 1 0,0 0 0,-1-1 0,1 1 0,-1 0 0,0 0 0,0 1 0,0-1 0,0 1 0,0-1 0,-1 1 0,1 0 0,-1 0 0,1 1 0,-1-1 0,0 1 0,0-1 0,0 1 0,1 0 0,-1 1 0,0-1 0,-5 1 0,-14-2 0,0 2 0,1 0 0,-29 5 0,2-1 0,119-4 0,140-2 0,-170 0 0,0-2 0,-1-2 0,59-15 0,-17-6-1365,-51 17-5461</inkml:trace>
  <inkml:trace contextRef="#ctx0" brushRef="#br0" timeOffset="1453.65">979 152 24575,'-7'-7'0,"-1"1"0,-1 0 0,1 1 0,-1 0 0,0 0 0,-1 1 0,1 0 0,-1 0 0,1 1 0,-1 1 0,0-1 0,-15 0 0,20 2 0,0 0 0,1 1 0,-1-1 0,0 1 0,0 0 0,1 0 0,-1 1 0,0 0 0,1 0 0,-1 0 0,1 0 0,-1 0 0,1 1 0,-1 0 0,1 0 0,0 0 0,0 1 0,0-1 0,0 1 0,0 0 0,1 0 0,-1 1 0,1-1 0,0 1 0,0-1 0,0 1 0,0 0 0,-2 5 0,3-5 0,0 0 0,0 0 0,0 1 0,1-1 0,0 0 0,0 1 0,0 0 0,0-1 0,0 1 0,1 0 0,0-1 0,0 1 0,1 0 0,-1-1 0,1 1 0,0-1 0,0 1 0,0-1 0,1 1 0,-1-1 0,1 0 0,0 1 0,1-1 0,-1 0 0,1 0 0,-1-1 0,1 1 0,0-1 0,1 1 0,-1-1 0,1 0 0,-1 0 0,1 0 0,0-1 0,0 1 0,0-1 0,0 0 0,0 0 0,1 0 0,-1-1 0,1 0 0,-1 1 0,1-2 0,-1 1 0,8 0 0,-4 0 0,0 0 0,0-1 0,0 0 0,0 0 0,0 0 0,0-1 0,0-1 0,0 1 0,-1-1 0,1-1 0,0 1 0,-1-1 0,0-1 0,0 1 0,13-10 0,-15 9 0,0 0 0,0 0 0,-1-1 0,0 1 0,0-1 0,0 0 0,0 0 0,-1-1 0,0 1 0,0-1 0,0 0 0,-1 1 0,0-1 0,0 0 0,-1 0 0,1-1 0,-1 1 0,0 0 0,-1 0 0,0-12 0,0 16 5,0 0 0,0 0 0,-1-1-1,1 1 1,0 0 0,-1 0 0,0 0 0,0-1-1,1 1 1,-1 0 0,0 0 0,-1 0 0,1 0-1,0 0 1,0 1 0,-1-1 0,1 0-1,-1 1 1,0-1 0,1 1 0,-1-1 0,0 1-1,0 0 1,-3-2 0,-2 0-217,1 1 0,-1 0 0,1 1-1,-1 0 1,1 0 0,-14-1 0,-8 1-6614</inkml:trace>
</inkml:ink>
</file>

<file path=xl/ink/ink2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21:08.950"/>
    </inkml:context>
    <inkml:brush xml:id="br0">
      <inkml:brushProperty name="width" value="0.035" units="cm"/>
      <inkml:brushProperty name="height" value="0.035" units="cm"/>
      <inkml:brushProperty name="color" value="#E71224"/>
    </inkml:brush>
  </inkml:definitions>
  <inkml:trace contextRef="#ctx0" brushRef="#br0">248 198 24575,'-17'0'0,"0"0"0,0 1 0,0 1 0,0 0 0,0 1 0,1 1 0,0 1 0,-1 0 0,1 1 0,-24 14 0,36-16 0,0 0 0,0 0 0,1 1 0,-1 0 0,1 0 0,0 0 0,1 0 0,-1 0 0,1 0 0,0 1 0,0-1 0,1 1 0,0 0 0,0-1 0,0 1 0,0 0 0,1 0 0,1 9 0,-2-10 0,1 0 0,0 0 0,1-1 0,-1 1 0,1 0 0,0-1 0,0 1 0,1 0 0,-1-1 0,1 1 0,0-1 0,0 0 0,0 0 0,1 0 0,-1 0 0,1 0 0,0 0 0,0-1 0,1 1 0,-1-1 0,1 0 0,7 5 0,0-4 0,1-1 0,-1 0 0,1-1 0,0-1 0,0 0 0,0 0 0,0-1 0,20-3 0,-22 2 0,1 0 0,0 1 0,-1 0 0,1 0 0,0 1 0,-1 0 0,1 1 0,-1 0 0,1 1 0,-1 0 0,10 5 0,-16-6 0,-1 0 0,0 1 0,0-1 0,0 1 0,-1 0 0,1-1 0,0 1 0,-1 0 0,0 1 0,0-1 0,0 0 0,0 1 0,0-1 0,-1 1 0,0-1 0,1 1 0,-1 0 0,0 0 0,-1-1 0,1 1 0,-1 0 0,0 0 0,0 0 0,0 0 0,0 0 0,-1-1 0,1 1 0,-1 0 0,0 0 0,0-1 0,-1 1 0,-1 4 0,2-5 0,0 0 0,-1 0 0,1-1 0,-1 1 0,1-1 0,-1 1 0,0-1 0,0 1 0,0-1 0,0 0 0,0 0 0,0 0 0,-1 0 0,1 0 0,-1-1 0,0 1 0,1-1 0,-1 0 0,0 1 0,0-1 0,1 0 0,-1-1 0,0 1 0,0-1 0,0 1 0,0-1 0,0 0 0,0 0 0,0 0 0,0 0 0,0-1 0,0 1 0,0-1 0,0 1 0,0-1 0,0 0 0,0-1 0,0 1 0,1 0 0,-6-4 0,5 3 0,0-1 0,-1 1 0,1-1 0,0 0 0,0 0 0,0 0 0,1 0 0,-1 0 0,1-1 0,0 1 0,0-1 0,0 0 0,0 0 0,0 1 0,1-1 0,0 0 0,0 0 0,0-1 0,0 1 0,1 0 0,-1 0 0,1 0 0,0 0 0,1 0 0,-1-1 0,1 1 0,-1 0 0,1 0 0,0 0 0,1 0 0,-1 0 0,1 0 0,0 1 0,0-1 0,0 0 0,0 1 0,1-1 0,-1 1 0,1 0 0,0 0 0,0 0 0,0 0 0,0 1 0,0-1 0,1 1 0,-1-1 0,1 1 0,0 1 0,0-1 0,-1 0 0,8-1 0,11 0 0,-1 2 0,1 0 0,27 4 0,-29-2 0,0 0 0,0-1 0,0-1 0,0 0 0,25-7 0,-40 7 0,0-1 0,0 1 0,0-2 0,0 1 0,-1 0 0,1-1 0,-1 0 0,0 0 0,0 0 0,0 0 0,0-1 0,0 0 0,-1 0 0,1 0 0,-1 0 0,0 0 0,0-1 0,-1 1 0,1-1 0,-1 0 0,0 1 0,0-1 0,-1 0 0,2-10 0,1-34 0,-8 30 0,3 19 0,1 0 0,-1 0 0,1-1 0,-1 1 0,0 0 0,1 0 0,-1 0 0,1 0 0,-1 0 0,1 0 0,-1 0 0,1 1 0,-1-1 0,1 0 0,-1 0 0,1 0 0,-1 0 0,1 1 0,-1-1 0,1 0 0,0 1 0,-1-1 0,1 0 0,-1 1 0,1-1 0,0 0 0,-1 1 0,1-1 0,0 0 0,-1 1 0,1-1 0,0 1 0,0-1 0,-1 1 0,1 0 0,-5 6 0,1 0 0,0 1 0,0-1 0,0 1 0,1 0 0,1 0 0,-1 0 0,1 1 0,0-1 0,0 16 0,-1 14 0,4 42 0,0-50 0,-2-4 0,1-15 0,0 1 0,0-1 0,1 0 0,0 0 0,6 21 0,-6-30 0,0 1 0,0 0 0,1-1 0,-1 1 0,1-1 0,-1 1 0,1-1 0,0 0 0,0 1 0,0-1 0,0 0 0,1 0 0,-1-1 0,0 1 0,1 0 0,-1-1 0,1 0 0,0 1 0,0-1 0,-1 0 0,1 0 0,0-1 0,0 1 0,0 0 0,0-1 0,0 0 0,3 0 0,0 0 0,1-1 0,-1 1 0,0-1 0,0-1 0,0 1 0,0-1 0,0 0 0,0-1 0,0 0 0,-1 1 0,1-2 0,-1 1 0,0-1 0,0 1 0,0-1 0,0-1 0,-1 1 0,1-1 0,5-9 0,0 2 0,-1-1 0,0 0 0,-1-1 0,-1 0 0,0-1 0,7-24 0,34-144 0,-40 141 0,-3-1 0,-1 1 0,-3-64 0,-2 73 0,1 535 0,0-498 0,0 0 0,0-1 0,0 1 0,0 0 0,1-1 0,-1 1 0,1 0 0,0-1 0,0 1 0,0-1 0,1 1 0,-1-1 0,1 0 0,0 1 0,0-1 0,2 3 0,-1-4 0,0 0 0,1 0 0,-1 0 0,0 0 0,1 0 0,-1-1 0,1 0 0,0 1 0,-1-1 0,1-1 0,0 1 0,0 0 0,-1-1 0,1 0 0,6 0 0,2-1 0,-1 0 0,0 0 0,0-1 0,0-1 0,0 0 0,0 0 0,0-1 0,-1-1 0,1 0 0,-1 0 0,0-1 0,-1 0 0,0 0 0,0-1 0,11-11 0,-1 0 0,-1-2 0,-1 0 0,0 0 0,-2-2 0,21-37 0,-32 50 0,-1 0 0,0 0 0,0 0 0,-1 0 0,0-1 0,0 1 0,0-19 0,-2 24 0,0 0 0,0 0 0,-1 0 0,1 0 0,-1 1 0,0-1 0,0 0 0,0 0 0,-1 1 0,-1-4 0,2 5 0,0 1 0,0-1 0,0 1 0,0-1 0,0 1 0,-1 0 0,1 0 0,0 0 0,-1 0 0,1 0 0,-1 0 0,1 0 0,-1 0 0,0 0 0,1 1 0,-1-1 0,0 1 0,0-1 0,1 1 0,-1 0 0,0-1 0,-2 1 0,0 1 0,0 0 0,0-1 0,0 2 0,0-1 0,0 0 0,0 1 0,1-1 0,-1 1 0,0 0 0,1 1 0,-1-1 0,1 1 0,0-1 0,0 1 0,0 0 0,0 0 0,0 0 0,1 0 0,0 1 0,-3 3 0,-5 8 0,1 1 0,1-1 0,-8 20 0,10-18 0,0 0 0,1 0 0,0 0 0,2 1 0,0 0 0,1-1 0,1 1 0,0 0 0,3 27 0,-1-40 0,-1 0 0,1 0 0,0 1 0,1-1 0,-1 0 0,1 0 0,0 0 0,1-1 0,-1 1 0,1 0 0,-1-1 0,1 0 0,1 1 0,-1-1 0,1 0 0,-1-1 0,1 1 0,0-1 0,1 0 0,-1 0 0,0 0 0,1 0 0,0-1 0,-1 1 0,1-1 0,0-1 0,0 1 0,0-1 0,1 0 0,-1 0 0,0 0 0,0 0 0,1-1 0,-1 0 0,8-1 0,-3 0 0,1-1 0,-1 1 0,0-2 0,0 1 0,0-2 0,0 1 0,0-1 0,-1-1 0,0 0 0,0 0 0,0 0 0,-1-1 0,1-1 0,-1 0 0,-1 0 0,1 0 0,-1-1 0,9-13 0,9-15 0,-2 0 0,-2-2 0,21-47 0,-20 38 0,-4 7 0,-11 22 0,1 2 0,1-1 0,13-19 0,-22 35 0,0 1 0,0 0 0,0 0 0,0-1 0,1 1 0,-1 0 0,0 0 0,0-1 0,0 1 0,0 0 0,1 0 0,-1-1 0,0 1 0,0 0 0,0 0 0,1 0 0,-1-1 0,0 1 0,0 0 0,1 0 0,-1 0 0,0 0 0,0 0 0,1 0 0,-1-1 0,0 1 0,0 0 0,1 0 0,-1 0 0,0 0 0,1 0 0,-1 0 0,0 0 0,1 0 0,-1 0 0,0 0 0,0 0 0,1 1 0,-1-1 0,0 0 0,0 0 0,1 0 0,-1 0 0,1 1 0,3 15 0,-5 23 0,-31 84 0,21-87 0,2 0 0,-9 64 0,17-97 0,1 0 0,0 0 0,0 1 0,0-1 0,1 0 0,-1 1 0,1-1 0,-1 0 0,1 0 0,0 0 0,1 0 0,-1 0 0,0 0 0,1 0 0,0 0 0,2 4 0,-2-6 0,-1 0 0,0 0 0,1 0 0,-1 0 0,1 0 0,-1-1 0,1 1 0,-1 0 0,1-1 0,-1 1 0,1-1 0,0 0 0,-1 1 0,1-1 0,0 0 0,-1 0 0,1 0 0,0 0 0,-1 0 0,1-1 0,0 1 0,-1 0 0,1-1 0,0 1 0,-1-1 0,1 1 0,-1-1 0,1 0 0,-1 0 0,1 0 0,-1 0 0,0 0 0,2-1 0,6-5 0,0-1 0,-1 0 0,0 0 0,0 0 0,-1-1 0,0-1 0,0 1 0,-1-1 0,-1 0 0,1 0 0,6-20 0,2-13 0,15-74 0,-18 68 0,-3 0 0,-1 0 0,-3-1 0,-2 0 0,-5-51 0,23 236 0,-17 18 0,-3-89 0,10 89 0,-9-141 0,1-1 0,1 0 0,0 0 0,0 0 0,1 0 0,0-1 0,1 1 0,9 13 0,-11-19 0,2 1 0,-1-1 0,0-1 0,1 1 0,0 0 0,0-1 0,1 0 0,-1-1 0,1 1 0,0-1 0,-1 0 0,2 0 0,-1 0 0,0-1 0,10 2 0,72 13 0,113 6 0,-170-20 0,31-2 120,-59-2-213,0 1 0,1-1 1,-1 0-1,0 1 0,0-2 0,0 1 0,0 0 0,0-1 1,0 1-1,0-1 0,0 0 0,0 0 0,-1 0 1,1 0-1,3-5 0,5-9-6733</inkml:trace>
  <inkml:trace contextRef="#ctx0" brushRef="#br0" timeOffset="1873.13">1650 119 24575,'0'-5'0,"5"-1"0,14 1 0,14 0 0,14 2 0,13-4 0,10 0 0,1-4 0,-6 1 0,-10 1 0,-9 3 0,-9 2 0,-6 1 0,1 2 0,-1 1 0,0 1 0,-2-1 0,-6 0-8191</inkml:trace>
</inkml:ink>
</file>

<file path=xl/ink/ink2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21:17.318"/>
    </inkml:context>
    <inkml:brush xml:id="br0">
      <inkml:brushProperty name="width" value="0.035" units="cm"/>
      <inkml:brushProperty name="height" value="0.035" units="cm"/>
      <inkml:brushProperty name="color" value="#E71224"/>
    </inkml:brush>
  </inkml:definitions>
  <inkml:trace contextRef="#ctx0" brushRef="#br0">102 1 24575,'9'0'0,"3"4"0,-1 16 0,-1 21 0,1 19 0,-1 15 0,-2 19 0,-3 7 0,-2 3 0,-1-11 0,-1-7 0,-1-28 0,-1-33 0</inkml:trace>
</inkml:ink>
</file>

<file path=xl/ink/ink2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21:13.794"/>
    </inkml:context>
    <inkml:brush xml:id="br0">
      <inkml:brushProperty name="width" value="0.035" units="cm"/>
      <inkml:brushProperty name="height" value="0.035" units="cm"/>
      <inkml:brushProperty name="color" value="#E71224"/>
    </inkml:brush>
  </inkml:definitions>
  <inkml:trace contextRef="#ctx0" brushRef="#br0">244 327 24575,'1'5'0,"0"0"0,0 0 0,1-1 0,0 1 0,0-1 0,0 1 0,0-1 0,1 0 0,3 5 0,8 15 0,-7-6 0,-1 0 0,6 31 0,8 22 0,-36-140 0,14 64 0,-1-1 0,0 1 0,0 0 0,0 1 0,0-1 0,-1 1 0,0-1 0,0 1 0,0 0 0,0 0 0,-1 1 0,1 0 0,-1-1 0,0 1 0,0 1 0,0-1 0,-1 1 0,1 0 0,-11-3 0,-2 2 0,-1 1 0,0 0 0,0 2 0,-30 2 0,26-1 0,1-1 0,-25-2 0,100-26 0,-8 12 0,73-16 0,-2 2 0,-72 16-455,0 2 0,76-12 0,-99 23-6371</inkml:trace>
  <inkml:trace contextRef="#ctx0" brushRef="#br0" timeOffset="1273.99">1143 116 24575,'-12'1'0,"-1"0"0,1 1 0,0 0 0,0 1 0,0 0 0,0 1 0,0 0 0,1 1 0,0 1 0,0 0 0,0 0 0,1 1 0,-13 11 0,1 0 0,1 1 0,2 2 0,0 0 0,-29 42 0,40-49 0,0 1 0,2 0 0,0 0 0,0 0 0,2 1 0,0 0 0,0 0 0,2 0 0,0 0 0,1 0 0,1 21 0,-8 51 0,7-78 0,0 0 0,1 0 0,0 1 0,0-1 0,1 0 0,0 0 0,1 0 0,6 19 0,-7-26 0,0 0 0,0-1 0,0 1 0,0 0 0,1-1 0,-1 1 0,1-1 0,0 0 0,0 0 0,-1 1 0,1-1 0,1 0 0,-1-1 0,0 1 0,0 0 0,1-1 0,-1 1 0,1-1 0,0 0 0,-1 1 0,1-1 0,0-1 0,-1 1 0,1 0 0,0-1 0,0 1 0,0-1 0,0 0 0,0 0 0,0 0 0,-1 0 0,1-1 0,0 1 0,0-1 0,0 1 0,3-3 0,2 0 0,-1 0 0,1-1 0,-1 0 0,0-1 0,-1 0 0,1 0 0,-1 0 0,0-1 0,0 0 0,0 0 0,-1 0 0,0-1 0,0 0 0,3-7 0,11-18 0,23-57 0,-42 88 0,13-33 0,-1-2 0,-2 1 0,-2-1 0,-1-1 0,-1 0 0,-3 1 0,0-2 0,-3 1 0,-7-66 0,6 96 0,-1 1 0,0-1 0,0 1 0,0-1 0,-1 1 0,0 0 0,0 0 0,-1 0 0,1 1 0,-1-1 0,0 1 0,-1 0 0,1 0 0,-1 0 0,0 1 0,-1 0 0,1-1 0,-1 2 0,1-1 0,-9-3 0,7 3 0,0 1 0,0 0 0,0 1 0,-1-1 0,1 1 0,0 1 0,-1-1 0,1 1 0,-1 1 0,0-1 0,1 2 0,-1-1 0,1 1 0,-1 0 0,1 0 0,-1 1 0,-13 4 0,18-4 0,1 0 0,-1-1 0,1 1 0,-1 0 0,1 0 0,0 1 0,0-1 0,0 0 0,0 1 0,0 0 0,0-1 0,1 1 0,0 0 0,-1 0 0,1-1 0,0 1 0,0 0 0,0 0 0,1 0 0,-1 1 0,1-1 0,0 0 0,0 0 0,0 0 0,0 0 0,0 0 0,1 0 0,-1 0 0,2 5 0,-1-2 0,0-1 0,1 1 0,0-1 0,0 0 0,0 1 0,0-1 0,1 0 0,-1-1 0,1 1 0,1 0 0,-1-1 0,1 1 0,-1-1 0,1 0 0,0-1 0,5 5 0,0-4 0,-1-1 0,1 1 0,0-2 0,0 1 0,0-1 0,0 0 0,0-1 0,13 1 0,82-5 0,-56 0 0,15 0-682,82-14-1,-118 12-6143</inkml:trace>
  <inkml:trace contextRef="#ctx0" brushRef="#br0" timeOffset="2550.59">1514 142 24575,'0'1053'0,"0"-1040"0,-3 52 0,3-63 0,0-1 0,0 1 0,0-1 0,0 1 0,0 0 0,0-1 0,-1 1 0,1-1 0,-1 1 0,1-1 0,-1 0 0,0 1 0,1-1 0,-1 0 0,0 1 0,0-1 0,0 0 0,0 0 0,0 0 0,0 0 0,0 0 0,0 0 0,-1 0 0,1 0 0,0 0 0,-1 0 0,1-1 0,0 1 0,-1 0 0,1-1 0,-4 1 0,3-2 0,-1 1 0,1-1 0,0 0 0,-1 0 0,1-1 0,0 1 0,0 0 0,0-1 0,-1 1 0,1-1 0,1 0 0,-1 0 0,0 0 0,0 0 0,1 0 0,-1 0 0,1 0 0,0 0 0,0-1 0,-2-4 0,-21-54 0,23 57 0,-21-85 0,4-1 0,3 0 0,-2-102 0,9 99 0,6 65 0,-3-17 0,3 0 0,2-45 0,1 77 0,1 0 0,0 0 0,0 0 0,2 0 0,-1 0 0,2 1 0,0-1 0,0 1 0,1 0 0,1 1 0,9-14 0,-10 17 0,0 0 0,0 1 0,1 0 0,1 0 0,-1 0 0,1 1 0,0 0 0,1 0 0,-1 1 0,1 1 0,0-1 0,0 1 0,0 1 0,1-1 0,0 2 0,-1-1 0,1 1 0,0 1 0,0 0 0,0 0 0,0 1 0,0 0 0,0 1 0,0 0 0,12 3 0,-18-2 0,1-1 0,-1 1 0,0-1 0,1 1 0,-1 0 0,0 1 0,0-1 0,0 1 0,-1 0 0,1 0 0,-1 0 0,1 0 0,-1 1 0,0-1 0,0 1 0,-1 0 0,1 0 0,-1 0 0,0 0 0,0 0 0,0 0 0,0 1 0,-1-1 0,0 1 0,0-1 0,0 1 0,0 6 0,1 3 0,-1-1 0,0 1 0,-1 0 0,0 0 0,-2-1 0,1 1 0,-2-1 0,-4 19 0,5-28 5,0 0 0,0 0 0,-1-1-1,1 1 1,-1 0 0,0-1 0,0 1 0,0-1-1,0 0 1,0 0 0,-1 0 0,0-1 0,1 1-1,-1-1 1,0 0 0,0 0 0,0 0-1,0 0 1,-1-1 0,1 0 0,0 0 0,-1 0-1,1 0 1,-9 0 0,-3 0-253,0 0 1,0-2-1,1 1 1,-1-2-1,-27-6 1,18 1-6579</inkml:trace>
</inkml:ink>
</file>

<file path=xl/ink/ink2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21:28.375"/>
    </inkml:context>
    <inkml:brush xml:id="br0">
      <inkml:brushProperty name="width" value="0.035" units="cm"/>
      <inkml:brushProperty name="height" value="0.035" units="cm"/>
      <inkml:brushProperty name="color" value="#E71224"/>
    </inkml:brush>
  </inkml:definitions>
  <inkml:trace contextRef="#ctx0" brushRef="#br0">136 5 24575,'-3'43'0,"-2"0"0,-2-1 0,-1 0 0,-3 0 0,-28 74 0,-10 35 0,45-134 0,1 0 0,0 1 0,1-1 0,1 1 0,0 0 0,2 0 0,0-1 0,1 1 0,1-1 0,0 1 0,8 22 0,-8-32 0,-1 0 0,2-1 0,-1 1 0,1-1 0,0 0 0,0 0 0,1 0 0,0 0 0,1-1 0,-1 0 0,1 0 0,0-1 0,0 1 0,1-1 0,0-1 0,0 1 0,0-1 0,0 0 0,1-1 0,-1 0 0,1 0 0,0 0 0,0-1 0,0 0 0,0-1 0,9 1 0,1 0 0,0-2 0,-1 1 0,1-2 0,33-6 0,-44 6 0,0-1 0,0-1 0,-1 1 0,1-1 0,-1-1 0,0 1 0,0-1 0,0 0 0,0 0 0,-1-1 0,0 1 0,0-1 0,0-1 0,0 1 0,4-7 0,-3 2 0,0 0 0,0-1 0,-1 0 0,0 0 0,-1 0 0,0-1 0,-1 1 0,-1-1 0,3-24 0,-3-5 0,-4-66 0,-1 35 0,2 58 0,0 1 0,-1 0 0,-1 0 0,0 0 0,-1 0 0,0 0 0,-1 1 0,0-1 0,-1 1 0,0 0 0,-1 1 0,-1 0 0,1 0 0,-2 1 0,0-1 0,0 2 0,-12-11 0,-18-12 0,-1 2 0,-2 1 0,-53-26 0,47 26 0,46 29-62,-13-11 251,15 11-219,0 0-1,-1 0 1,1-1 0,0 1-1,0 0 1,0 0-1,-1 0 1,1 0-1,0-1 1,0 1-1,0 0 1,0 0-1,-1-1 1,1 1 0,0 0-1,0 0 1,0-1-1,0 1 1,0 0-1,0 0 1,0-1-1,0 1 1,0 0-1,0-1 1,0 1-1,0 0 1,0 0 0,0-1-1,0 1 1,0 0-1,0 0 1,0-1-1,0 1 1,0 0-1,0-1 1,1 1-1,-1 0 1,0 0 0,0 0-1,0-1 1,0 1-1,1 0 1,-1 0-1,0 0 1,0-1-1,0 1 1,1 0-1,-1 0 1,13-5-6796</inkml:trace>
</inkml:ink>
</file>

<file path=xl/ink/ink2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21:30.353"/>
    </inkml:context>
    <inkml:brush xml:id="br0">
      <inkml:brushProperty name="width" value="0.035" units="cm"/>
      <inkml:brushProperty name="height" value="0.035" units="cm"/>
      <inkml:brushProperty name="color" value="#E71224"/>
    </inkml:brush>
  </inkml:definitions>
  <inkml:trace contextRef="#ctx0" brushRef="#br0">40 9 24575,'-1'0'0,"1"-1"0,0 0 0,-1 1 0,1-1 0,-1 1 0,1-1 0,-1 1 0,1-1 0,-1 1 0,0-1 0,1 1 0,-1-1 0,0 1 0,1 0 0,-1-1 0,0 1 0,1 0 0,-1 0 0,0 0 0,1-1 0,-1 1 0,0 0 0,0 0 0,1 0 0,-1 0 0,0 0 0,0 0 0,1 0 0,-1 1 0,0-1 0,1 0 0,-1 0 0,0 1 0,0-1 0,1 0 0,-1 1 0,1-1 0,-1 0 0,0 1 0,1-1 0,-1 1 0,1-1 0,-1 1 0,1-1 0,-1 1 0,1 0 0,-1-1 0,1 1 0,0-1 0,-1 1 0,1 0 0,0-1 0,0 1 0,-1 0 0,1 0 0,0-1 0,0 1 0,0 1 0,-8 46 0,10-11 0,1 1 0,2-1 0,1 0 0,2 0 0,18 48 0,10 51 0,-32-116 0,1-1 0,1 1 0,0-1 0,12 23 0,-15-37 0,0 0 0,-1-1 0,2 1 0,-1-1 0,0 0 0,1 0 0,0 0 0,0 0 0,6 4 0,-7-6 0,-1-1 0,1 0 0,-1 0 0,1 0 0,-1 0 0,1 0 0,0 0 0,0 0 0,-1-1 0,1 0 0,0 1 0,0-1 0,0 0 0,0-1 0,-1 1 0,1 0 0,0-1 0,0 1 0,3-2 0,-2 0 0,0 0 0,0-1 0,0 1 0,-1-1 0,1 0 0,0 0 0,-1 0 0,0-1 0,0 1 0,0-1 0,0 0 0,-1 0 0,1 0 0,2-6 0,26-62 0,-23 45 11,-2 0-1,0-1 0,-2 0 0,2-40 1,-8-115-306,-1 96-827</inkml:trace>
</inkml:ink>
</file>

<file path=xl/ink/ink2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21:36.492"/>
    </inkml:context>
    <inkml:brush xml:id="br0">
      <inkml:brushProperty name="width" value="0.035" units="cm"/>
      <inkml:brushProperty name="height" value="0.035" units="cm"/>
      <inkml:brushProperty name="color" value="#E71224"/>
    </inkml:brush>
  </inkml:definitions>
  <inkml:trace contextRef="#ctx0" brushRef="#br0">300 466 24575,'-6'-6'0,"-1"0"0,0 1 0,-1 0 0,1 1 0,-1-1 0,0 1 0,0 1 0,0-1 0,0 2 0,-1-1 0,1 1 0,-12-2 0,0 2 0,-1 0 0,1 2 0,0 0 0,-25 3 0,42-3 0,1 1 0,-1-1 0,1 1 0,-1 0 0,1-1 0,0 1 0,-1 0 0,1 1 0,0-1 0,0 0 0,-1 1 0,1-1 0,0 1 0,0-1 0,1 1 0,-1 0 0,0 0 0,1 0 0,-3 3 0,1 0 0,1 0 0,0 0 0,0 0 0,0 0 0,1 0 0,-1 0 0,1 0 0,1 1 0,-1 5 0,0 0 0,1-1 0,1 0 0,0 0 0,0 1 0,1-1 0,0 0 0,1 0 0,0 0 0,7 15 0,-7-19 0,1-1 0,0 0 0,0 0 0,0-1 0,1 1 0,-1-1 0,1 0 0,0 0 0,0 0 0,0-1 0,1 0 0,-1 0 0,1 0 0,0-1 0,0 0 0,0 0 0,0 0 0,0-1 0,0 0 0,1 0 0,-1 0 0,9-1 0,-7 0 0,-1 0 0,0-1 0,1 0 0,-1 0 0,1-1 0,-1 0 0,0 0 0,0 0 0,0-1 0,0 0 0,-1-1 0,1 1 0,-1-1 0,0-1 0,0 1 0,0-1 0,0 0 0,8-10 0,-6 4 0,0-1 0,-1 0 0,0-1 0,0 1 0,-1-1 0,-1-1 0,-1 1 0,0-1 0,0 0 0,-1 0 0,1-16 0,-2 29 0,0 0 0,0 1 0,0 0 0,0-1 0,1 1 0,-1 0 0,0 0 0,0 0 0,0 0 0,0 1 0,1-1 0,-1 1 0,0-1 0,0 1 0,0 0 0,0-1 0,2 3 0,11 0 0,-10-2 0,-1 0 0,1 0 0,-1-1 0,1 0 0,0 0 0,-1 0 0,1-1 0,-1 0 0,1 0 0,-1 0 0,1 0 0,-1 0 0,0-1 0,0 0 0,0 0 0,0 0 0,0 0 0,7-6 0,-6 2 0,0 1 0,0-1 0,0 0 0,-1 0 0,0 0 0,-1 0 0,1-1 0,-1 0 0,0 1 0,3-14 0,0-10 0,0-1 0,-2 1 0,-2-1 0,-1-45 0,-3-81 0,2 576 0,0-416 0,-1 0 0,1 0 0,0 0 0,0-1 0,1 1 0,-1 0 0,1 0 0,-1 0 0,1 0 0,0-1 0,0 1 0,0 0 0,0-1 0,1 1 0,-1-1 0,1 1 0,-1-1 0,1 0 0,0 0 0,0 1 0,0-1 0,0-1 0,0 1 0,1 0 0,-1 0 0,0-1 0,1 1 0,-1-1 0,1 0 0,0 0 0,-1 0 0,1 0 0,0 0 0,0-1 0,0 1 0,-1-1 0,1 0 0,0 0 0,0 0 0,3 0 0,2-1 0,-1 1 0,1-2 0,-1 1 0,0-1 0,1 0 0,-1-1 0,0 0 0,0 0 0,0 0 0,-1-1 0,1 0 0,-1 0 0,0 0 0,0-1 0,0 0 0,-1-1 0,0 1 0,0-1 0,0 0 0,6-11 0,-4 7 0,0 0 0,0-1 0,-1 0 0,-1 0 0,0-1 0,-1 1 0,0-1 0,5-24 0,-13 94 0,2-35 0,0 0 0,1 0 0,2 0 0,0 0 0,8 40 0,-8-59 0,1-1 0,-1 1 0,1-1 0,0 0 0,0 0 0,0 0 0,0 0 0,1 0 0,-1 0 0,1 0 0,0-1 0,0 1 0,0-1 0,0 0 0,0 0 0,0 0 0,1 0 0,-1-1 0,1 1 0,-1-1 0,1 0 0,-1 0 0,1 0 0,0 0 0,0-1 0,-1 0 0,1 1 0,0-1 0,0-1 0,0 1 0,3-1 0,8-1 0,0 0 0,0-1 0,-1-1 0,1 0 0,-1-1 0,23-10 0,-23 7 0,0 0 0,0-1 0,-1 0 0,0-1 0,-1 0 0,0-1 0,20-24 0,-27 28 0,1 0 0,-1-1 0,0 0 0,0 0 0,-1 0 0,-1-1 0,1 1 0,-1-1 0,0 0 0,-1 0 0,0 0 0,-1 0 0,0 0 0,0 0 0,-1-12 0,-5 6 0,-2 20 0,-6 24 0,8 6 0,1 1 0,1-1 0,2 1 0,6 52 0,-5-85 0,0 0 0,0 1 0,1-1 0,-1 0 0,1 1 0,0-1 0,0 0 0,0 1 0,1-1 0,-1 0 0,1 0 0,0 0 0,0 0 0,0-1 0,0 1 0,0 0 0,0-1 0,1 0 0,-1 1 0,1-1 0,0 0 0,0 0 0,-1 0 0,1-1 0,1 1 0,-1-1 0,0 0 0,0 1 0,0-1 0,1-1 0,-1 1 0,0 0 0,1-1 0,-1 0 0,7 0 0,-6 0 0,1-1 0,0 1 0,-1-1 0,1-1 0,-1 1 0,0 0 0,1-1 0,-1 0 0,0 0 0,0 0 0,0-1 0,0 1 0,-1-1 0,1 0 0,-1 0 0,1 0 0,-1-1 0,0 1 0,0-1 0,-1 0 0,1 1 0,-1-1 0,0 0 0,0-1 0,0 1 0,2-6 0,10-76 0,-12 70 0,0 0 0,0 0 0,2 0 0,0 0 0,10-24 0,-14 40 0,0-1 0,0 1 0,0 0 0,0 0 0,0-1 0,0 1 0,0 0 0,0-1 0,0 1 0,1 0 0,-1 0 0,0-1 0,0 1 0,0 0 0,0 0 0,1 0 0,-1-1 0,0 1 0,0 0 0,0 0 0,1 0 0,-1 0 0,0-1 0,0 1 0,1 0 0,-1 0 0,0 0 0,0 0 0,1 0 0,-1 0 0,0 0 0,0 0 0,1 0 0,-1 0 0,0 0 0,1 0 0,-1 0 0,0 0 0,1 0 0,4 11 0,-1 20 0,-5-28 0,1 1 0,0 0 0,1 0 0,-1 0 0,1 0 0,0-1 0,0 1 0,0 0 0,0-1 0,1 1 0,-1-1 0,1 1 0,0-1 0,3 4 0,-3-6 0,0 1 0,0-1 0,0 0 0,1 0 0,-1 0 0,0 0 0,1 0 0,-1-1 0,1 1 0,-1-1 0,1 0 0,-1 0 0,1 0 0,-1 0 0,1 0 0,0 0 0,-1 0 0,1-1 0,-1 0 0,0 1 0,1-1 0,3-2 0,16-5 0,-1-1 0,1-1 0,-2-1 0,1-1 0,-2-1 0,0 0 0,22-21 0,-58 96 0,11-45 0,0 1 0,1 0 0,1 0 0,1 0 0,0 0 0,1 1 0,2-1 0,1 28 0,-1-44 0,1 0 0,-1 1 0,1-1 0,0 0 0,0 1 0,0-1 0,0 0 0,0 0 0,0 0 0,1 0 0,-1 0 0,1 0 0,-1 0 0,1 0 0,0-1 0,0 1 0,3 2 0,39 12 0,-38-15 0,-1 1 0,1-1 0,-1 1 0,1 0 0,-1 1 0,0-1 0,0 1 0,0 0 0,7 6 0,-7-4 0,0 0 0,-1 1 0,1 0 0,-1 0 0,-1 1 0,1-1 0,-1 1 0,0-1 0,0 1 0,-1 0 0,0 0 0,0 0 0,-1 1 0,0-1 0,0 0 0,-1 1 0,1-1 0,-2 0 0,1 1 0,-1-1 0,0 0 0,-1 0 0,1 0 0,-2 0 0,1 0 0,-1 0 0,0 0 0,0 0 0,0-1 0,-1 0 0,0 0 0,-1 0 0,1 0 0,-1-1 0,0 1 0,-1-1 0,-6 5 0,1-2 0,0-1 0,0 0 0,0-1 0,-1 0 0,0-1 0,0 0 0,-23 5 0,27-8 0,0 0 0,0-1 0,0 0 0,0 0 0,0-1 0,0 0 0,0-1 0,0 1 0,0-2 0,0 1 0,0-1 0,1 0 0,-15-6 0,20 7 0,0 0 0,0 0 0,0 0 0,0 0 0,1-1 0,-1 1 0,0 0 0,0-1 0,1 0 0,-1 1 0,1-1 0,0 0 0,-2-3 0,2 5 0,1-1 0,0 0 0,0 0 0,-1 0 0,1 0 0,0 0 0,0 0 0,0 1 0,0-1 0,0 0 0,0 0 0,0 0 0,1 0 0,-1 0 0,0 0 0,0 1 0,1-1 0,-1 0 0,1 0 0,-1 0 0,0 1 0,2-3 0,1 1 0,-1-1 0,1 1 0,0-1 0,0 1 0,0 0 0,1 0 0,-1 1 0,0-1 0,1 1 0,-1-1 0,1 1 0,-1 0 0,8-1 0,7-1 0,0 2 0,0 0 0,0 0 0,0 2 0,0 0 0,0 2 0,0-1 0,0 2 0,-1 1 0,1 0 0,30 14 0,119 47-1365,-142-54-5461</inkml:trace>
</inkml:ink>
</file>

<file path=xl/ink/ink2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2:27.199"/>
    </inkml:context>
    <inkml:brush xml:id="br0">
      <inkml:brushProperty name="width" value="0.035" units="cm"/>
      <inkml:brushProperty name="height" value="0.035" units="cm"/>
      <inkml:brushProperty name="color" value="#E71224"/>
    </inkml:brush>
  </inkml:definitions>
  <inkml:trace contextRef="#ctx0" brushRef="#br0">0 1086 24575,'5'-5'0,"5"-1"0,6-9 0,5-1 0,-1-3 0,-5-3 0,1-2 0,-3-1 0,0 3 0,-1 1 0,2 5 0,-2-1 0,-3-1 0,2 3 0,3-2 0,4-6 0,3-3 0,-2 1-8191</inkml:trace>
  <inkml:trace contextRef="#ctx0" brushRef="#br0" timeOffset="1839.74">0 583 24575,'4'3'0,"0"0"0,0-1 0,0 1 0,0-1 0,0 0 0,0 0 0,1 0 0,-1-1 0,1 0 0,-1 1 0,1-1 0,7 0 0,62 2 0,-54-4 0,27 2 0,-3 1 0,-1-3 0,0-1 0,48-9 0,-88 10 0,-1 0 0,1 0 0,0 1 0,0 0 0,0-1 0,0 1 0,0 0 0,0 0 0,0 0 0,0 1 0,0-1 0,0 1 0,0 0 0,-1-1 0,1 1 0,0 0 0,0 1 0,3 1 0,-3 0 0,-1 0 0,0-1 0,0 1 0,0 0 0,0 0 0,-1 1 0,1-1 0,-1 0 0,0 0 0,0 1 0,0-1 0,0 1 0,0-1 0,-1 1 0,1 4 0,2 22-227,-1-1-1,-2 1 1,-1 0-1,-1-1 1,-7 38-1,3-44-6598</inkml:trace>
  <inkml:trace contextRef="#ctx0" brushRef="#br0" timeOffset="4241.19">741 1 24575,'-2'0'0,"0"1"0,1 0 0,-1-1 0,0 1 0,0 0 0,1 0 0,-1 0 0,0 0 0,1 0 0,-1 1 0,1-1 0,0 0 0,-1 1 0,1-1 0,0 1 0,0-1 0,0 1 0,0-1 0,0 1 0,0 0 0,0 0 0,1 0 0,-2 2 0,-11 45 0,5-3 0,-2 1 0,3 1 0,2 0 0,1 60 0,4-105 0,0 0 0,1 0 0,-1 0 0,1 0 0,-1 0 0,1 0 0,0 0 0,0 0 0,0 0 0,0 0 0,1 0 0,-1 0 0,1-1 0,0 1 0,0-1 0,0 1 0,0-1 0,0 0 0,1 1 0,-1-1 0,0 0 0,1-1 0,0 1 0,-1 0 0,1-1 0,0 0 0,0 1 0,0-1 0,0 0 0,0 0 0,0-1 0,0 1 0,0-1 0,4 1 0,-3-1 0,1 0 0,0-1 0,-1 1 0,1-1 0,-1 0 0,1 0 0,-1 0 0,1-1 0,-1 0 0,0 1 0,1-2 0,-1 1 0,0 0 0,0-1 0,-1 0 0,1 0 0,-1 0 0,1 0 0,-1 0 0,0-1 0,0 1 0,4-8 0,1-5 0,0-1 0,7-25 0,8-17 0,-23 58 0,1 0 0,-1 0 0,0 1 0,1-1 0,-1 0 0,1 1 0,-1-1 0,1 1 0,-1-1 0,1 1 0,-1-1 0,1 1 0,0-1 0,-1 1 0,1-1 0,0 1 0,-1 0 0,1-1 0,0 1 0,-1 0 0,1 0 0,0 0 0,0-1 0,0 1 0,-1 0 0,1 0 0,0 0 0,0 0 0,-1 0 0,1 0 0,0 1 0,0-1 0,-1 0 0,1 0 0,0 0 0,0 1 0,-1-1 0,1 0 0,0 1 0,-1-1 0,1 1 0,0-1 0,-1 1 0,1-1 0,-1 1 0,1 0 0,32 33 0,-24-22 0,-5-8 0,1 1 0,-1-1 0,0-1 0,1 1 0,0-1 0,0 1 0,0-1 0,0-1 0,0 1 0,1-1 0,-1 0 0,1 0 0,0-1 0,8 2 0,-10-3 0,0 0 0,-1 0 0,1 0 0,-1-1 0,1 0 0,-1 1 0,1-1 0,-1-1 0,1 1 0,-1 0 0,0-1 0,0 0 0,0 1 0,0-1 0,0-1 0,0 1 0,0 0 0,0-1 0,-1 1 0,0-1 0,1 0 0,-1 0 0,0 0 0,0 0 0,1-4 0,2-2 5,-1-1 0,0 0 0,0 0 1,-2 0-1,1 0 0,-1-1 0,0 1 0,0-16 0,-5-91-250,0 60-921,2 34-5660</inkml:trace>
  <inkml:trace contextRef="#ctx0" brushRef="#br0" timeOffset="9348.51">1429 160 24575,'18'0'0,"0"0"0,-1 0 0,0-1 0,0-1 0,19-4 0,-31 5 0,0 0 0,-1-1 0,1 0 0,-1 0 0,0 0 0,0 0 0,0 0 0,0-1 0,0 0 0,0 0 0,-1 0 0,1-1 0,-1 1 0,0-1 0,0 1 0,0-1 0,0 0 0,-1 0 0,4-8 0,-5 11 0,-1-1 0,1 1 0,0-1 0,-1 1 0,1-1 0,-1 1 0,0-1 0,1 1 0,-1-1 0,0 0 0,0 1 0,0-1 0,0 0 0,0 1 0,0-1 0,-1 1 0,1-1 0,0 0 0,-1 1 0,1-1 0,-1 1 0,0-1 0,1 1 0,-1 0 0,0-1 0,0 1 0,-1-2 0,-1 1 0,0 0 0,0 0 0,0 0 0,0 0 0,0 1 0,0-1 0,0 1 0,-1 0 0,1 0 0,0 0 0,-1 0 0,-3 0 0,-5 0 0,0 0 0,0 1 0,0 0 0,0 0 0,0 2 0,-21 4 0,26-4 0,1 1 0,0 0 0,1 0 0,-1 1 0,0-1 0,1 1 0,0 1 0,0-1 0,0 1 0,1 0 0,-1 0 0,1 0 0,0 0 0,1 1 0,-1-1 0,1 1 0,0 0 0,1 0 0,-1 1 0,1-1 0,0 0 0,-1 13 0,-1 1 0,2 1 0,0 0 0,1 0 0,1-1 0,1 1 0,4 23 0,-4-38 0,0 0 0,1 0 0,0 0 0,0 0 0,0 0 0,1-1 0,0 1 0,0-1 0,0 1 0,1-1 0,0 0 0,0-1 0,0 1 0,0 0 0,1-1 0,0 0 0,0 0 0,0-1 0,0 1 0,1-1 0,-1 0 0,8 2 0,-1 0 0,0-1 0,1-1 0,-1 0 0,1 0 0,0-1 0,0-1 0,0 0 0,0-1 0,22-2 0,-32 1-105,0 1 0,0-1 0,0 1 0,0-1 0,-1 0 0,1 0 0,0 0 0,0-1 0,-1 1 0,1 0 0,-1-1 0,3-2 0,7-8-6721</inkml:trace>
</inkml:ink>
</file>

<file path=xl/ink/ink2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2:39.423"/>
    </inkml:context>
    <inkml:brush xml:id="br0">
      <inkml:brushProperty name="width" value="0.035" units="cm"/>
      <inkml:brushProperty name="height" value="0.035" units="cm"/>
      <inkml:brushProperty name="color" value="#E71224"/>
    </inkml:brush>
  </inkml:definitions>
  <inkml:trace contextRef="#ctx0" brushRef="#br0">136 156 24575,'-2'1'0,"1"-1"0,-1 1 0,1-1 0,-1 1 0,1 0 0,0 0 0,-1 0 0,1 0 0,0 0 0,0 0 0,0 0 0,0 0 0,0 1 0,0-1 0,0 0 0,0 1 0,0-1 0,1 0 0,-1 1 0,0 2 0,-15 38 0,13-33 0,-26 65 0,-18 60 0,42-117 0,1 0 0,1 0 0,1 0 0,1 0 0,0 0 0,2 22 0,0-35 0,-1 0 0,1 0 0,0 0 0,1 0 0,-1 0 0,1-1 0,0 1 0,0 0 0,0-1 0,0 0 0,0 1 0,1-1 0,-1 0 0,1 0 0,0 0 0,0-1 0,0 1 0,1-1 0,-1 1 0,0-1 0,1 0 0,0 0 0,-1-1 0,1 1 0,5 0 0,-3 1 0,1-2 0,0 1 0,0-1 0,0 0 0,0 0 0,0-1 0,0 0 0,0 0 0,0-1 0,0 0 0,0 0 0,0-1 0,0 1 0,7-4 0,3-6-1365,-5-2-5461</inkml:trace>
  <inkml:trace contextRef="#ctx0" brushRef="#br0" timeOffset="2592.56">612 103 24575,'-7'0'0,"0"-1"0,0 2 0,0-1 0,0 1 0,0 0 0,0 0 0,0 1 0,1 0 0,-1 0 0,0 0 0,1 1 0,0 0 0,0 1 0,0-1 0,0 1 0,0 0 0,1 1 0,-1-1 0,1 1 0,1 0 0,-1 0 0,1 1 0,-1-1 0,-5 12 0,1-2 0,0 1 0,1 0 0,0 1 0,1 0 0,1 0 0,-4 19 0,8-27 0,0 1 0,1-1 0,0 1 0,0-1 0,1 1 0,0 0 0,1-1 0,0 1 0,0-1 0,1 0 0,0 1 0,1-1 0,5 12 0,-7-18 0,1 0 0,0-1 0,0 1 0,0 0 0,0-1 0,1 1 0,-1-1 0,1 0 0,-1 0 0,1 0 0,0 0 0,0 0 0,0 0 0,0-1 0,0 1 0,0-1 0,0 0 0,0 0 0,1 0 0,-1-1 0,0 1 0,1-1 0,-1 0 0,1 0 0,-1 0 0,0 0 0,1 0 0,4-2 0,-3 1 0,0 0 0,0 0 0,0 0 0,0-1 0,0 0 0,0 0 0,-1-1 0,1 1 0,-1-1 0,0 0 0,0 0 0,0 0 0,0 0 0,0-1 0,-1 0 0,1 0 0,-1 0 0,3-4 0,4-14 0,-1-1 0,-2 1 0,8-31 0,10-32 0,-9 30 0,-13 140 0,-4-76-76,1 0 1,0 0-1,0 0 0,1-1 0,0 1 0,1 0 0,0 0 0,0-1 1,1 1-1,0-1 0,0 1 0,1-1 0,0 0 0,0-1 1,1 1-1,0-1 0,7 8 0,8 0-6750</inkml:trace>
  <inkml:trace contextRef="#ctx0" brushRef="#br0" timeOffset="4377.71">876 209 24575,'0'-20'0,"-1"-3"0,2 1 0,4-37 0,-5 54 0,1 1 0,0 0 0,-1-1 0,2 1 0,-1 0 0,0 0 0,1 0 0,0 0 0,0 0 0,0 0 0,1 0 0,-1 1 0,1-1 0,0 1 0,0-1 0,0 1 0,0 0 0,0 1 0,1-1 0,5-3 0,-7 5 0,0 0 0,0 1 0,0 0 0,0-1 0,0 1 0,0 0 0,0 0 0,0 0 0,0 0 0,0 0 0,0 0 0,0 1 0,-1-1 0,1 1 0,0-1 0,0 1 0,0 0 0,0 0 0,-1 0 0,1 0 0,0 0 0,-1 0 0,1 0 0,-1 0 0,1 1 0,-1-1 0,0 1 0,1-1 0,-1 1 0,0-1 0,0 1 0,0 0 0,0-1 0,1 4 0,4 8 0,0 0 0,-1 0 0,6 22 0,-8-25 0,18 55-1365,-12-39-5461</inkml:trace>
</inkml:ink>
</file>

<file path=xl/ink/ink2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2:47.708"/>
    </inkml:context>
    <inkml:brush xml:id="br0">
      <inkml:brushProperty name="width" value="0.035" units="cm"/>
      <inkml:brushProperty name="height" value="0.035" units="cm"/>
      <inkml:brushProperty name="color" value="#E71224"/>
    </inkml:brush>
  </inkml:definitions>
  <inkml:trace contextRef="#ctx0" brushRef="#br0">288 0 24575,'-6'1'0,"1"-1"0,0 1 0,-1 0 0,1 1 0,0-1 0,0 1 0,0 0 0,0 0 0,0 0 0,1 1 0,-1 0 0,-6 5 0,-51 50 0,30-27 0,23-21 0,-1 0 0,2 1 0,0 0 0,0 0 0,1 1 0,0-1 0,1 2 0,-9 24 0,1 6 0,-11 61 0,24-102 0,0 1 0,0 0 0,1 0 0,-1 0 0,1 0 0,0 0 0,0 0 0,0-1 0,0 1 0,0 0 0,0 0 0,1 0 0,0 0 0,-1 0 0,1-1 0,0 1 0,0 0 0,1 0 0,-1-1 0,1 1 0,-1-1 0,1 1 0,0-1 0,0 0 0,0 0 0,0 0 0,0 0 0,0 0 0,0 0 0,1-1 0,-1 1 0,1-1 0,-1 1 0,1-1 0,0 0 0,-1 0 0,1 0 0,0 0 0,0-1 0,0 1 0,0-1 0,3 1 0,5 0 0,-1 1 0,0 0 0,0 1 0,0 0 0,0 0 0,-1 1 0,1 1 0,-1-1 0,0 2 0,0-1 0,-1 1 0,1 1 0,-1-1 0,-1 1 0,1 1 0,-1-1 0,0 1 0,-1 1 0,0-1 0,-1 1 0,8 13 0,-2 1 0,0 1 0,-2 0 0,0 0 0,6 31 0,-12-41 0,-1 0 0,0 0 0,-1 0 0,-1 1 0,0-1 0,0 0 0,-2 1 0,0-1 0,-4 16 0,5-26 0,-1-1 0,1 1 0,-1-1 0,0 0 0,0 0 0,0 0 0,0 0 0,-1-1 0,1 1 0,-1 0 0,1-1 0,-1 0 0,0 1 0,0-1 0,0 0 0,0-1 0,-1 1 0,1 0 0,0-1 0,-1 0 0,1 0 0,-1 0 0,1 0 0,-1-1 0,1 1 0,-1-1 0,0 0 0,1 0 0,-1 0 0,0 0 0,-6-2 0,7 1 0,0 1 0,1 0 0,-1-1 0,1 0 0,-1 0 0,0 0 0,1 0 0,0 0 0,-1 0 0,1-1 0,0 1 0,-1-1 0,1 1 0,0-1 0,0 0 0,0 0 0,0 0 0,1 0 0,-1 0 0,1 0 0,-1-1 0,1 1 0,0-1 0,0 1 0,0-1 0,0 1 0,0-1 0,0 1 0,1-1 0,-1 0 0,1 1 0,0-1 0,0 0 0,0 0 0,0 1 0,0-1 0,1 0 0,-1 1 0,1-1 0,-1 0 0,1 1 0,2-4 0,-2 3 0,1 0 0,0 0 0,0 0 0,0 0 0,0 0 0,0 1 0,1-1 0,-1 1 0,1-1 0,0 1 0,0 0 0,0 0 0,0 0 0,0 1 0,0-1 0,0 1 0,1-1 0,-1 1 0,0 0 0,1 0 0,-1 1 0,7-1 0,9-1 0,1 1 0,-1 0 0,20 3 0,-14 0 0,5-1-78,-17 1-179,1-2-1,-1 0 1,1 0-1,20-4 1,-16-2-6569</inkml:trace>
</inkml:ink>
</file>

<file path=xl/ink/ink3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2:50.780"/>
    </inkml:context>
    <inkml:brush xml:id="br0">
      <inkml:brushProperty name="width" value="0.035" units="cm"/>
      <inkml:brushProperty name="height" value="0.035" units="cm"/>
      <inkml:brushProperty name="color" value="#E71224"/>
    </inkml:brush>
  </inkml:definitions>
  <inkml:trace contextRef="#ctx0" brushRef="#br0">246 824 24575,'1'-4'0,"-2"1"0,1 0 0,0 0 0,-1 0 0,1 0 0,-1 0 0,0 0 0,0 0 0,0 0 0,0 0 0,0 1 0,-1-1 0,0 0 0,1 1 0,-1-1 0,0 1 0,0 0 0,0-1 0,0 1 0,-4-3 0,2 3 0,-1-1 0,1 1 0,-1 0 0,0 0 0,1 0 0,-1 0 0,0 1 0,0 0 0,0 0 0,0 0 0,-10 1 0,9 0 0,-1 0 0,0 0 0,1 0 0,-1 1 0,0 1 0,1-1 0,-1 1 0,1 0 0,0 0 0,-1 1 0,1 0 0,0 0 0,1 0 0,-1 1 0,0 0 0,1 0 0,0 0 0,0 1 0,-6 7 0,7-4 0,0 0 0,1 0 0,0 1 0,0-1 0,1 1 0,0 0 0,1 0 0,0 0 0,0 17 0,9 81 0,-8-99 0,2 0 0,-1 0 0,1 0 0,0 0 0,1 0 0,0-1 0,0 1 0,1-1 0,0 0 0,0 0 0,0 0 0,1 0 0,0-1 0,0 0 0,1 0 0,0 0 0,0-1 0,0 0 0,1 0 0,0-1 0,12 8 0,-2-6 0,0 1 0,0-2 0,0 0 0,1-1 0,0-1 0,0-1 0,-1 0 0,32-2 0,-40 0 0,0 0 0,0 0 0,0-1 0,0-1 0,-1 1 0,1-2 0,0 1 0,-1-1 0,1 0 0,-1-1 0,0 1 0,0-2 0,-1 1 0,1-1 0,-1-1 0,0 1 0,0-1 0,-1 0 0,1-1 0,-2 1 0,1-1 0,-1 0 0,9-15 0,1-8 0,-1 0 0,-1-2 0,-1 0 0,13-61 0,-15 38 0,-3 0 0,-2 0 0,-2 0 0,-8-91 0,-1 122 0,-2 37 0,-1 43 0,2 69 0,12 158 0,-5-278 0,1-1 0,0 1 0,0-1 0,1 1 0,-1-1 0,1 1 0,0-1 0,0 0 0,0 0 0,1 0 0,0 0 0,-1 0 0,1-1 0,1 1 0,-1-1 0,0 0 0,1 0 0,0 0 0,-1 0 0,1-1 0,0 1 0,1-1 0,-1 0 0,0 0 0,9 2 0,0 0 0,0-1 0,0 0 0,1-1 0,-1-1 0,1 0 0,-1 0 0,24-3 0,-34 1-105,0 1 0,0-1 0,0 1 0,-1-1 0,1 0 0,0 0 0,0 0 0,0-1 0,-1 1 0,1-1 0,-1 1 0,4-3 0,5-8-6721</inkml:trace>
  <inkml:trace contextRef="#ctx0" brushRef="#br0" timeOffset="1629.85">1199 718 24575,'0'-3'0,"0"0"0,0 0 0,-1 0 0,1 0 0,-1 1 0,0-1 0,0 0 0,0 0 0,0 1 0,0-1 0,0 1 0,-1-1 0,1 1 0,-1-1 0,0 1 0,0 0 0,0 0 0,0 0 0,-2-2 0,-1 1 0,1 0 0,-1 0 0,0 0 0,1 1 0,-1 0 0,0 0 0,-1 0 0,1 1 0,0-1 0,-6 1 0,5 0 0,-1 0 0,0 0 0,0 1 0,1 0 0,-1 0 0,0 1 0,0 0 0,1 0 0,-1 1 0,0-1 0,1 1 0,0 1 0,-1-1 0,1 1 0,0 0 0,-10 8 0,11-6 0,1 0 0,1 0 0,-1 0 0,1 1 0,-1-1 0,2 1 0,-1 0 0,1 0 0,0 0 0,0 0 0,0 0 0,1 1 0,0-1 0,0 9 0,0 14 0,5 56 0,-1-31 0,-3-41 0,0 0 0,1 0 0,1 0 0,0 0 0,1 0 0,7 22 0,-8-31 0,0 1 0,1-1 0,0 0 0,-1 0 0,2 0 0,-1 0 0,0 0 0,1-1 0,-1 1 0,1-1 0,0 0 0,0 0 0,1-1 0,-1 1 0,1-1 0,-1 0 0,1 0 0,0 0 0,-1-1 0,1 1 0,6 0 0,4 1 30,1-1 0,0 0 0,18-1 0,-29-1-144,1 0 0,0-1-1,-1 1 1,1-1 0,-1 0 0,0-1-1,1 1 1,-1-1 0,0 0 0,0-1-1,0 1 1,6-5 0,8-11-6712</inkml:trace>
  <inkml:trace contextRef="#ctx0" brushRef="#br0" timeOffset="4140.26">1913 506 24575,'0'-3'0,"0"-1"0,-1 1 0,1-1 0,-1 1 0,0-1 0,0 1 0,0 0 0,0 0 0,-1-1 0,1 1 0,-1 0 0,0 0 0,0 1 0,0-1 0,0 0 0,0 0 0,-1 1 0,1 0 0,-1-1 0,0 1 0,0 0 0,0 0 0,0 1 0,0-1 0,0 0 0,0 1 0,0 0 0,-1 0 0,1 0 0,0 0 0,-1 1 0,1-1 0,-1 1 0,-5 0 0,2-1 0,0 1 0,0 0 0,0 0 0,1 1 0,-1-1 0,0 2 0,0-1 0,1 1 0,-1 0 0,1 0 0,-1 1 0,1 0 0,0 0 0,0 0 0,0 1 0,1 0 0,-6 5 0,2 1 0,0 2 0,2-1 0,-1 1 0,1 0 0,1 1 0,0-1 0,1 1 0,-6 23 0,-18 117 0,20-98 0,-1 3 0,1-17 0,3 0 0,1 1 0,1 59 0,4-97 0,0 0 0,1 0 0,0 0 0,-1-1 0,2 1 0,-1 0 0,0-1 0,1 1 0,-1-1 0,1 0 0,0 1 0,0-1 0,1 0 0,-1 0 0,0 0 0,1-1 0,0 1 0,0 0 0,0-1 0,0 0 0,0 0 0,0 0 0,0 0 0,1 0 0,-1-1 0,1 1 0,0-1 0,-1 0 0,1 0 0,0 0 0,4 0 0,15 2 0,1-1 0,-1-2 0,0 0 0,27-3 0,-13 0 0,-29 3-62,0-1 0,0 0 0,0 0 0,0-1 0,0 1 0,0-2 0,-1 1 0,1-1 0,-1-1 0,0 1 0,0-1 0,0 0-1,0-1 1,-1 0 0,1 0 0,-1 0 0,0-1 0,-1 0 0,0 0 0,0 0 0,5-7 0,9-17-6764</inkml:trace>
  <inkml:trace contextRef="#ctx0" brushRef="#br0" timeOffset="5482.7">2337 3 24575,'0'0'0,"-1"0"0,1 0 0,0 0 0,0-1 0,0 1 0,-1 0 0,1 0 0,0 0 0,0 0 0,0 0 0,-1-1 0,1 1 0,0 0 0,0 0 0,-1 0 0,1 0 0,0 0 0,0 0 0,-1 0 0,1 0 0,0 0 0,0 0 0,-1 0 0,1 0 0,0 0 0,-1 0 0,1 0 0,0 0 0,0 0 0,-1 0 0,1 0 0,0 1 0,0-1 0,0 0 0,-1 0 0,1 0 0,0 0 0,0 0 0,0 1 0,-1-1 0,1 0 0,0 0 0,0 0 0,0 1 0,0-1 0,-1 0 0,-6 19 0,1 22 0,0 383 0,9-230 0,-3-158 0,-2-13 0,2 0 0,1 0 0,1 0 0,7 32 0,-8-50 0,0 0 0,0 0 0,1-1 0,0 1 0,0 0 0,0-1 0,1 0 0,-1 1 0,1-1 0,0 0 0,0 0 0,1-1 0,-1 1 0,1-1 0,0 0 0,0 1 0,0-2 0,0 1 0,0 0 0,0-1 0,1 0 0,0 0 0,-1 0 0,1-1 0,0 1 0,5 0 0,0 0-65,0-1 0,0 0 0,0 0 0,0-1 0,0 0 0,0 0 0,0-2 0,0 1 0,-1-1 0,1 0 0,0-1 0,-1 0 0,0-1 0,1 0 0,-2 0 0,1-1 0,0 0 0,-1-1 0,0 0 0,9-8 0,4-12-6761</inkml:trace>
  <inkml:trace contextRef="#ctx0" brushRef="#br0" timeOffset="6579.94">2284 506 24575,'0'-4'0,"4"-2"0,7 0 0,5 1 0,5 2 0,3-4 0,2 0 0,-3 1-8191</inkml:trace>
  <inkml:trace contextRef="#ctx0" brushRef="#br0" timeOffset="8717.63">1252 797 24575,'0'5'0,"0"5"0,-5 11 0,-5 1 0,-2 2 0,-3-4 0,-7 5 0,-6-3 0,-2-5 0,5-5-8191</inkml:trace>
  <inkml:trace contextRef="#ctx0" brushRef="#br0" timeOffset="11479.02">273 824 24575,'0'4'0,"0"7"0,0 5 0,0 0 0,-5 2 0,-1 2 0,1 3 0,-4-3 0,-5-1 0,-4-2 0,0-6-8191</inkml:trace>
</inkml:ink>
</file>

<file path=xl/ink/ink3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3:07.302"/>
    </inkml:context>
    <inkml:brush xml:id="br0">
      <inkml:brushProperty name="width" value="0.035" units="cm"/>
      <inkml:brushProperty name="height" value="0.035" units="cm"/>
      <inkml:brushProperty name="color" value="#E71224"/>
    </inkml:brush>
  </inkml:definitions>
  <inkml:trace contextRef="#ctx0" brushRef="#br0">1 306 24575,'103'-1'0,"115"3"0,-203-1 0,-1 1 0,1 0 0,-1 1 0,0 1 0,0 0 0,0 1 0,0 1 0,-1 0 0,0 0 0,20 15 0,-25-16 0,-1 0 0,0 1 0,-1 0 0,1 0 0,-1 1 0,0 0 0,-1 0 0,0 0 0,0 0 0,0 1 0,-1 0 0,-1 0 0,1 0 0,-1 0 0,0 1 0,-1 0 0,0-1 0,1 14 0,-2-10 0,0-1 0,-1 1 0,-1 0 0,0 0 0,-1-1 0,0 1 0,0 0 0,-1-1 0,-9 21 0,10-28 0,0 0 0,0-1 0,-1 1 0,1-1 0,-1 0 0,1 0 0,-1 0 0,0 0 0,0 0 0,0-1 0,-1 1 0,1-1 0,-1 0 0,1 0 0,-1 0 0,0-1 0,1 1 0,-1-1 0,0 0 0,0 0 0,0 0 0,0 0 0,0-1 0,0 0 0,-1 0 0,1 0 0,0 0 0,0-1 0,0 1 0,0-1 0,-7-2 0,7 2 0,0-1 0,0 1 0,1-1 0,-1 1 0,1-1 0,-1 0 0,1 0 0,0-1 0,0 1 0,0-1 0,0 1 0,0-1 0,1 0 0,-1 0 0,-2-5 0,0 1 0,2 0 0,-1 0 0,1-1 0,0 1 0,1-1 0,0 0 0,-2-9 0,2 0 0,0 0 0,1 1 0,1-1 0,1 0 0,0 0 0,6-29 0,-4 38 0,0 0 0,0 0 0,1 0 0,0 1 0,0-1 0,0 1 0,1 0 0,1 0 0,5-6 0,62-55 0,-33 32 0,-31 29-170,-1-1-1,2 1 0,-1 1 1,1-1-1,0 2 0,0-1 1,12-3-1,-5 4-6655</inkml:trace>
  <inkml:trace contextRef="#ctx0" brushRef="#br0" timeOffset="1506">927 254 24575,'3'0'0,"0"2"0,0-1 0,0 0 0,-1 1 0,1-1 0,0 1 0,0 0 0,-1 0 0,1 0 0,1 2 0,20 13 0,-21-16 0,0 0 0,1 0 0,-1 0 0,1-1 0,0 1 0,-1-1 0,1 0 0,-1 0 0,1-1 0,-1 1 0,6-2 0,-8 2 0,0 0 0,0 0 0,0 0 0,0-1 0,0 1 0,-1 0 0,1-1 0,0 1 0,0-1 0,0 1 0,-1-1 0,1 1 0,0-1 0,0 0 0,-1 1 0,1-1 0,-1 0 0,1 1 0,-1-1 0,1 0 0,-1 0 0,1 0 0,-1 1 0,1-1 0,-1 0 0,0 0 0,0 0 0,1 0 0,-1 0 0,0 0 0,0 0 0,0 0 0,0 0 0,0 1 0,0-1 0,0 0 0,-1 0 0,1 0 0,0 0 0,0 0 0,-1 0 0,1 0 0,0 1 0,-1-1 0,1 0 0,-1 0 0,1 0 0,-1 1 0,0-2 0,-1-1 0,0 1 0,0-1 0,-1 1 0,1 0 0,0 0 0,-1 0 0,0 0 0,1 0 0,-1 0 0,0 1 0,0-1 0,0 1 0,0 0 0,0 0 0,0 0 0,0 0 0,0 1 0,0-1 0,-1 1 0,1 0 0,0 0 0,0 0 0,-1 0 0,-4 1 0,0 0 0,0 1 0,1-1 0,-1 1 0,0 1 0,1-1 0,0 1 0,0 1 0,0-1 0,-7 6 0,4-2 0,1 2 0,0-1 0,0 1 0,1 1 0,0-1 0,1 1 0,0 1 0,1-1 0,0 1 0,0 0 0,-5 17 0,6-12 0,0 1 0,0 0 0,2 0 0,0 0 0,1 0 0,0 1 0,2 25 0,0-39 0,1 1 0,-1-1 0,1 0 0,0 1 0,0-1 0,0 0 0,1 1 0,0-1 0,-1 0 0,2 0 0,-1 0 0,0-1 0,1 1 0,-1-1 0,1 1 0,0-1 0,0 0 0,1 0 0,-1 0 0,1 0 0,-1 0 0,1-1 0,0 0 0,0 0 0,0 0 0,0 0 0,0-1 0,0 1 0,8 1 0,9 0 0,1 0 0,0-1 0,0-1 0,40-4 0,-27 2 0,1 0-120,-18 2 183,-1-2 1,1 0-1,30-6 0,-43 6-146,1-1-1,-1 1 1,-1-1 0,1 0 0,0-1 0,0 1-1,-1-1 1,0 0 0,1 0 0,-1-1-1,0 1 1,-1-1 0,1 0 0,-1 0 0,1 0-1,-1 0 1,3-5 0,7-17-6743</inkml:trace>
  <inkml:trace contextRef="#ctx0" brushRef="#br0" timeOffset="3071.75">1482 174 24575,'1'0'0,"0"1"0,0-1 0,0 0 0,0 1 0,0-1 0,0 1 0,0-1 0,0 1 0,0-1 0,-1 1 0,1 0 0,0-1 0,0 1 0,-1 0 0,1 0 0,0 0 0,-1-1 0,1 1 0,-1 0 0,1 0 0,-1 0 0,0 0 0,1 0 0,-1 0 0,0 0 0,1 0 0,-1 0 0,0 1 0,5 35 0,-5-31 0,5 65 0,-2-19 0,1 1 0,3-1 0,2 0 0,29 95 0,73 105 0,-107-245 0,-3-12 0,-4-26 0,-11-47 0,-75-255 0,83 312 0,1 0 0,0 0 0,2-1 0,0 0 0,2 0 0,0 0 0,3-28 0,-1 46 0,0 1 0,0-1 0,0 1 0,0 0 0,0-1 0,1 1 0,-1 0 0,1 0 0,0 0 0,0 0 0,0 0 0,1 1 0,-1-1 0,0 0 0,1 1 0,0 0 0,-1 0 0,1 0 0,0 0 0,6-3 0,-8 4 0,1 1 0,0-1 0,-1 1 0,1-1 0,0 1 0,-1-1 0,1 1 0,0 0 0,0 0 0,-1 0 0,1 0 0,0 0 0,0 1 0,-1-1 0,1 0 0,0 1 0,0-1 0,-1 1 0,1 0 0,-1-1 0,1 1 0,0 0 0,-1 0 0,0 0 0,1 0 0,-1 0 0,0 0 0,1 1 0,-1-1 0,0 0 0,0 1 0,0-1 0,0 1 0,0-1 0,0 1 0,-1-1 0,1 1 0,0 0 0,-1-1 0,1 1 0,-1 0 0,1 2 0,1 2-38,-1 0 0,1 0 0,-1 1 1,0-1-1,-1 0 0,0 0 0,0 1 0,0-1 0,0 0 0,-1 1 0,0-1 0,-1 0 0,1 0 0,-1 0 0,0 0 0,-1 0 1,1 0-1,-1-1 0,0 1 0,-1-1 0,1 0 0,-1 0 0,0 0 0,0 0 0,-1-1 0,1 1 0,-1-1 0,0 0 0,0-1 1,-1 1-1,1-1 0,-1 0 0,0-1 0,1 1 0,-13 3 0,-4-1-6788</inkml:trace>
  <inkml:trace contextRef="#ctx0" brushRef="#br0" timeOffset="4534.38">1932 201 24575,'41'-1'0,"-1"0"0,0 2 0,0 1 0,59 12 0,-88-12 0,-1 1 0,1 0 0,0 1 0,-1 0 0,0 0 0,0 2 0,0-1 0,-1 1 0,1 0 0,-1 1 0,-1 0 0,1 1 0,-1-1 0,-1 2 0,1-1 0,-2 1 0,9 13 0,-10-12 0,-1 0 0,0 0 0,-1 1 0,0-1 0,0 1 0,-1 0 0,-1-1 0,1 21 0,-2-13 0,-1 0 0,0 0 0,-1 1 0,-7 26 0,8-41 0,-1 0 0,0-1 0,0 1 0,0 0 0,0-1 0,-1 1 0,1-1 0,-1 0 0,0 0 0,0 0 0,0 0 0,0 0 0,0-1 0,-1 0 0,1 1 0,-1-1 0,0 0 0,1-1 0,-1 1 0,0-1 0,0 1 0,0-1 0,0 0 0,-1-1 0,1 1 0,0-1 0,0 0 0,0 0 0,0 0 0,-7-1 0,2 0 0,1 0 0,-1 0 0,1-1 0,-1 0 0,1 0 0,0-1 0,0 0 0,0 0 0,0-1 0,1 0 0,-1 0 0,1-1 0,0 0 0,-9-8 0,9 3 0,1 1 0,0-1 0,0-1 0,1 1 0,0-1 0,0 1 0,1-1 0,1-1 0,0 1 0,1 0 0,0-1 0,-1-13 0,1-9 0,2 0 0,6-66 0,-4 88 10,1 1 0,-1-1 0,2 1 0,0 0 0,0 0 0,1 0 0,1 1 0,-1 0 0,2 0 0,-1 0 0,9-9 0,1 2-307,0 0 0,0 1 0,2 1 0,31-21 0,-21 18-6529</inkml:trace>
  <inkml:trace contextRef="#ctx0" brushRef="#br0" timeOffset="5522.35">3043 95 24575,'38'1'0,"-27"0"0,0 0 0,1-1 0,-1 0 0,0-1 0,0 0 0,0-1 0,0 0 0,17-6 0,-28 8 0,-1 0 0,1 0 0,0 0 0,0 0 0,0 0 0,-1 0 0,1 0 0,0 0 0,0 0 0,0 0 0,-1 0 0,1 0 0,0-1 0,0 1 0,0 0 0,-1 0 0,1 0 0,0 0 0,0 0 0,0-1 0,0 1 0,0 0 0,0 0 0,-1 0 0,1-1 0,0 1 0,0 0 0,0 0 0,0 0 0,0-1 0,0 1 0,0 0 0,0 0 0,0 0 0,0-1 0,0 1 0,0 0 0,0 0 0,0-1 0,0 1 0,0 0 0,0 0 0,0 0 0,0-1 0,0 1 0,0 0 0,1 0 0,-1 0 0,0-1 0,0 1 0,0 0 0,0 0 0,0 0 0,0 0 0,1-1 0,-1 1 0,0 0 0,0 0 0,0 0 0,1 0 0,-1 0 0,-20-4 0,-57-1 0,-139 8 0,207-3 0,-1 1 0,1 0 0,0 0 0,0 1 0,-1 0 0,1 1 0,1 0 0,-1 0 0,0 1 0,1 0 0,0 1 0,0 0 0,0 0 0,0 0 0,1 1 0,0 0 0,0 1 0,1 0 0,-1 0 0,1 0 0,1 0 0,0 1 0,0 0 0,0 0 0,1 1 0,0-1 0,1 1 0,0 0 0,0 0 0,1 0 0,0 0 0,1 1 0,0-1 0,0 16 0,0-15 0,1 0 0,0 1 0,1-1 0,0 1 0,1-1 0,0 0 0,0 0 0,1 0 0,1 0 0,6 13 0,-7-17 0,1 0 0,0-1 0,0 0 0,0 1 0,1-2 0,0 1 0,0 0 0,0-1 0,1 0 0,-1 0 0,1-1 0,0 0 0,0 0 0,0 0 0,0 0 0,1-1 0,8 2 0,0 0-76,2-1 1,-1 0-1,0-2 0,0 1 0,1-2 0,-1 0 0,1-1 0,-1-1 1,0-1-1,0 0 0,0-1 0,0 0 0,0-1 0,-1-1 1,0-1-1,0 0 0,13-9 0,-1-6-6750</inkml:trace>
  <inkml:trace contextRef="#ctx0" brushRef="#br0" timeOffset="7023.07">3123 95 24575,'0'-1'0,"0"1"0,0-1 0,0 0 0,0 1 0,0-1 0,0 1 0,0-1 0,0 0 0,0 1 0,0-1 0,0 1 0,0-1 0,1 1 0,-1-1 0,0 1 0,0-1 0,1 1 0,-1-1 0,1 1 0,-1-1 0,0 1 0,1-1 0,-1 1 0,1 0 0,-1-1 0,1 1 0,-1 0 0,1-1 0,-1 1 0,1 0 0,-1-1 0,1 1 0,-1 0 0,1 0 0,-1 0 0,1 0 0,0 0 0,-1 0 0,1 0 0,-1 0 0,1 0 0,0 0 0,-1 0 0,1 0 0,-1 0 0,1 0 0,-1 0 0,1 0 0,1 1 0,-1 0 0,1-1 0,0 1 0,-1 0 0,1 0 0,-1 0 0,1 0 0,-1 0 0,1 0 0,-1 0 0,1 0 0,-1 1 0,0-1 0,0 1 0,0-1 0,0 1 0,1 1 0,-1 1 0,0-1 0,0 1 0,0 0 0,-1 0 0,1 0 0,-1 0 0,0 0 0,0 0 0,-1 0 0,1 0 0,-1 0 0,0 0 0,0 0 0,0-1 0,0 1 0,-1 0 0,1-1 0,-1 1 0,0-1 0,0 1 0,-1-1 0,1 0 0,-1 0 0,1 0 0,-1 0 0,0 0 0,0-1 0,-5 4 0,-10 7 0,0-1 0,-1 0 0,-36 16 0,47-24 0,-14 6-136,0 0-1,-1-2 1,0 0-1,0-2 1,-1 0-1,1-2 1,-1 0-1,0-2 0,-34-1 1,30-1-6690</inkml:trace>
</inkml:ink>
</file>

<file path=xl/ink/ink3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3:17.900"/>
    </inkml:context>
    <inkml:brush xml:id="br0">
      <inkml:brushProperty name="width" value="0.035" units="cm"/>
      <inkml:brushProperty name="height" value="0.035" units="cm"/>
      <inkml:brushProperty name="color" value="#E71224"/>
    </inkml:brush>
  </inkml:definitions>
  <inkml:trace contextRef="#ctx0" brushRef="#br0">605 530 24575,'-121'-1'0,"-132"3"0,244-1 0,0 0 0,-1 1 0,1 0 0,0 1 0,0-1 0,0 2 0,1-1 0,-1 2 0,1-1 0,0 1 0,0 0 0,0 0 0,1 1 0,0 0 0,-8 9 0,4-3 0,1 1 0,0-1 0,1 2 0,0 0 0,1 0 0,1 0 0,0 1 0,-4 15 0,10-27 0,0-1 0,0 0 0,0 1 0,0-1 0,1 1 0,-1-1 0,1 1 0,0-1 0,0 1 0,0-1 0,0 1 0,0 0 0,0-1 0,1 1 0,-1-1 0,1 1 0,0-1 0,0 0 0,0 1 0,0-1 0,0 0 0,0 1 0,0-1 0,1 0 0,-1 0 0,1 0 0,0 0 0,0-1 0,-1 1 0,1 0 0,0-1 0,0 1 0,1-1 0,-1 1 0,0-1 0,0 0 0,1 0 0,-1 0 0,1-1 0,-1 1 0,1 0 0,-1-1 0,5 1 0,14 2 0,1-1 0,0-1 0,-1-1 0,29-3 0,-22 2 0,35-3 0,-35 1 0,0 2 0,0 0 0,0 2 0,52 8 0,-74-7 0,-1-1 0,1 1 0,-1-1 0,0 2 0,0-1 0,0 0 0,0 1 0,0 0 0,-1 0 0,1 1 0,-1-1 0,0 1 0,0 0 0,0 0 0,-1 0 0,1 0 0,5 10 0,-5-5 0,-1-1 0,0 1 0,0 0 0,-1 0 0,0 0 0,-1 1 0,1-1 0,-2 0 0,0 19 0,0 2 0,0-15 0,0 0 0,-1 1 0,0-1 0,-1 0 0,-5 16 0,6-27 0,0-1 0,0 0 0,-1 0 0,1 0 0,-1 0 0,0 0 0,0 0 0,0 0 0,0-1 0,0 1 0,0-1 0,-1 1 0,1-1 0,-1 0 0,0 0 0,0 0 0,0 0 0,0-1 0,0 1 0,0-1 0,0 1 0,0-1 0,0 0 0,-1-1 0,1 1 0,-1 0 0,1-1 0,-4 0 0,-1 0 0,0 0 0,0 0 0,0-1 0,0-1 0,-15-3 0,20 4 0,-1-1 0,1 1 0,-1 0 0,1-1 0,-1 0 0,1 0 0,0 0 0,0 0 0,0 0 0,0-1 0,0 1 0,1-1 0,-1 0 0,-3-5 0,6 8 0,-1-1 0,1 0 0,0 0 0,0 1 0,0-1 0,0 0 0,0 0 0,0 1 0,0-1 0,0 0 0,0 0 0,0 1 0,0-1 0,1 0 0,-1 0 0,0 1 0,0-1 0,1 0 0,-1 1 0,1-1 0,-1 0 0,0 1 0,1-1 0,-1 1 0,1-1 0,-1 1 0,1-1 0,0 1 0,-1-1 0,1 1 0,-1-1 0,1 1 0,0 0 0,-1-1 0,1 1 0,0 0 0,0 0 0,-1 0 0,1-1 0,0 1 0,-1 0 0,2 0 0,37-8 0,-36 8 0,66-6-354,109 5-1,-152 1-301,-3 1-6170</inkml:trace>
  <inkml:trace contextRef="#ctx0" brushRef="#br0" timeOffset="1950.35">1002 504 24575,'0'11'0,"0"1"0,1 0 0,1-1 0,0 1 0,0-1 0,1 1 0,1-1 0,7 17 0,-9-25 0,-1-1 0,0 1 0,1 0 0,0-1 0,0 0 0,0 1 0,0-1 0,0 0 0,0 0 0,0 0 0,1 0 0,-1 0 0,1-1 0,-1 1 0,1-1 0,0 0 0,-1 0 0,1 0 0,0 0 0,0 0 0,0 0 0,0-1 0,0 1 0,0-1 0,0 0 0,0 0 0,0 0 0,0 0 0,0-1 0,0 1 0,0-1 0,-1 0 0,1 0 0,0 0 0,0 0 0,0 0 0,-1 0 0,5-4 0,-2 3 0,-1-1 0,0 0 0,0 0 0,0 0 0,0-1 0,-1 1 0,1-1 0,-1 0 0,0 0 0,0 0 0,0 0 0,-1-1 0,1 1 0,-1-1 0,0 0 0,0 1 0,-1-1 0,0 0 0,1 0 0,-2 0 0,1 0 0,0 0 0,-1-7 0,0 8 0,0-1 0,-1 1 0,1 0 0,-1 0 0,0 0 0,0 0 0,0 0 0,0 1 0,-1-1 0,1 0 0,-1 0 0,0 1 0,0-1 0,-1 1 0,1 0 0,-1 0 0,1 0 0,-1 0 0,0 0 0,0 0 0,0 1 0,-1-1 0,1 1 0,-1 0 0,1 0 0,-1 0 0,0 1 0,1-1 0,-5 0 0,2 0 0,1 1 0,0 0 0,-1 0 0,1 0 0,0 1 0,-1 0 0,1 0 0,-1 0 0,1 1 0,-1 0 0,1 0 0,0 0 0,-1 1 0,1 0 0,0 0 0,0 0 0,0 0 0,0 1 0,1 0 0,-9 6 0,5-1 0,-1 1 0,2 0 0,-1 0 0,1 1 0,1 0 0,-1 0 0,2 1 0,-8 18 0,-16 34 0,19-43 0,0 0 0,1 0 0,2 1 0,0 0 0,1 0 0,1 0 0,0 1 0,-1 30 0,6-33 0,-1 0 0,1 1 0,1-1 0,6 37 0,-5-50 0,0 1 0,0-1 0,0 0 0,1-1 0,0 1 0,0 0 0,0-1 0,1 0 0,0 1 0,0-2 0,0 1 0,0 0 0,1-1 0,0 0 0,10 7 0,-1-2 0,2-1 0,-1-1 0,1 0 0,0-1 0,1-1 0,-1 0 0,1-1 0,0-1 0,20 1 0,7-2 0,-1-1 0,65-8 0,-104 7-57,0 0 0,0-1 1,0 1-1,0-1 0,-1 0 0,1 0 0,0 0 0,0-1 0,-1 1 0,1-1 0,-1 0 1,1 0-1,-1 0 0,0-1 0,0 1 0,0-1 0,0 0 0,0 0 0,-1 0 1,1 0-1,-1 0 0,0 0 0,4-7 0,1-10-6769</inkml:trace>
  <inkml:trace contextRef="#ctx0" brushRef="#br0" timeOffset="3486.67">1769 662 24575,'1'1'0,"0"-1"0,0 1 0,0-1 0,1 1 0,-1-1 0,0 1 0,0 0 0,0 0 0,0-1 0,0 1 0,0 0 0,-1 0 0,1 0 0,0 0 0,0 0 0,-1 0 0,1 0 0,0 0 0,-1 1 0,1-1 0,-1 0 0,0 0 0,1 0 0,-1 1 0,0-1 0,0 0 0,1 2 0,3 41 0,-3-39 0,0 119 0,-3-210 0,-1 41 0,3 0 0,9-85 0,-8 126 0,0 0 0,0 0 0,0 1 0,0-1 0,1 0 0,-1 1 0,1-1 0,0 1 0,1-1 0,-1 1 0,0 0 0,1 0 0,0 0 0,-1 0 0,1 0 0,0 1 0,1-1 0,-1 1 0,0 0 0,1 0 0,-1 0 0,1 0 0,0 1 0,-1-1 0,1 1 0,0 0 0,0 0 0,0 1 0,7-1 0,-5 0 0,0 1 0,0 1 0,0-1 0,0 1 0,0 0 0,0 0 0,-1 1 0,1 0 0,0 0 0,-1 0 0,1 1 0,-1-1 0,0 1 0,0 1 0,0-1 0,0 1 0,-1 0 0,1 0 0,5 7 0,1 4 0,0 0 0,-2 1 0,0 0 0,0 0 0,-2 1 0,0 0 0,-1 1 0,-1-1 0,0 1 0,-1 0 0,-2 1 0,2 21 0,-4-36 8,1-1 0,-1 1 0,1-1 0,-1 1 0,1-1 0,0 1 0,1-1 0,-1 0 0,1 0 0,-1 1 0,1-1 0,0 0 0,0 0 0,4 3 0,-5-5-52,0 0 1,0 0-1,1 0 0,-1 0 1,1-1-1,-1 1 0,0-1 1,1 1-1,-1-1 0,1 1 1,-1-1-1,1 0 0,0 0 1,-1 0-1,1 0 0,-1 0 0,1 0 1,-1 0-1,1 0 0,-1-1 1,1 1-1,-1 0 0,1-1 1,-1 0-1,1 1 0,-1-1 1,0 0-1,1 0 0,-1 1 1,0-1-1,0 0 0,0 0 1,2-3-1,19-16-6782</inkml:trace>
  <inkml:trace contextRef="#ctx0" brushRef="#br0" timeOffset="4379.42">2457 1 24575,'-5'4'0,"-1"7"0,1 14 0,0 12 0,2 5 0,1 3 0,1 4 0,0 2 0,1-3 0,0-5 0,1-5 0,-1-5 0,4 1 0,3-1 0,-2-1 0,0-2 0,-2-6-8191</inkml:trace>
  <inkml:trace contextRef="#ctx0" brushRef="#br0" timeOffset="5000.02">2139 371 24575,'5'-4'0,"5"-7"0,15 0 0,13 0 0,3 3 0,5 3 0,-2 2 0,1-3 0,-3 0 0,-3-4 0,-10-1-8191</inkml:trace>
</inkml:ink>
</file>

<file path=xl/ink/ink3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3:25.551"/>
    </inkml:context>
    <inkml:brush xml:id="br0">
      <inkml:brushProperty name="width" value="0.035" units="cm"/>
      <inkml:brushProperty name="height" value="0.035" units="cm"/>
      <inkml:brushProperty name="color" value="#E71224"/>
    </inkml:brush>
  </inkml:definitions>
  <inkml:trace contextRef="#ctx0" brushRef="#br0">0 0 24488,'0'606'0,"606"-606"0,-606-606 0,-606 606 0</inkml:trace>
</inkml:ink>
</file>

<file path=xl/ink/ink3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3:27.367"/>
    </inkml:context>
    <inkml:brush xml:id="br0">
      <inkml:brushProperty name="width" value="0.035" units="cm"/>
      <inkml:brushProperty name="height" value="0.035" units="cm"/>
      <inkml:brushProperty name="color" value="#E71224"/>
    </inkml:brush>
  </inkml:definitions>
  <inkml:trace contextRef="#ctx0" brushRef="#br0">345 116 24575,'0'14'0,"0"17"0,0 9 0,0 6 0,0 13 0,0 1 0,4 5 0,2-6 0,0-7 0,-2-9 0,0-11 0,-2-6 0,-1 0 0,4-3 0,1-1 0,-1-5-8191</inkml:trace>
  <inkml:trace contextRef="#ctx0" brushRef="#br0" timeOffset="731.59">318 540 24575,'0'-5'0,"0"-10"0,9-2 0,7-4 0,11-2 0,9 3 0,-2 4-8191</inkml:trace>
  <inkml:trace contextRef="#ctx0" brushRef="#br0" timeOffset="1415.4">688 328 24575,'0'5'0,"0"5"0,0 11 0,0 6 0,0 2 0,0 2 0,0-1 0,0-4-8191</inkml:trace>
  <inkml:trace contextRef="#ctx0" brushRef="#br0" timeOffset="2021.03">662 196 24575</inkml:trace>
  <inkml:trace contextRef="#ctx0" brushRef="#br0" timeOffset="3440.95">847 169 24575,'0'17'0,"1"0"0,0 0 0,1 0 0,1-1 0,1 1 0,7 20 0,-8-29 0,1 0 0,0 0 0,0 0 0,1 0 0,0-1 0,0 1 0,1-1 0,-1-1 0,2 1 0,-1-1 0,1 0 0,0 0 0,12 7 0,-15-11 0,-1 1 0,1-1 0,-1 0 0,1-1 0,-1 1 0,1-1 0,0 1 0,0-1 0,0 0 0,0 0 0,0-1 0,0 1 0,0-1 0,0 0 0,0 0 0,0-1 0,0 1 0,0-1 0,0 1 0,0-1 0,0-1 0,0 1 0,-1 0 0,1-1 0,0 0 0,-1 0 0,1 0 0,-1 0 0,0-1 0,1 1 0,-1-1 0,-1 0 0,1 0 0,0 0 0,-1 0 0,1 0 0,-1-1 0,3-5 0,8-14 0,-2-1 0,-1 0 0,0-1 0,10-45 0,-14 48 0,2-4-273,-2 0 0,-1-1 0,-1 1 0,1-43 0,-6 53-6553</inkml:trace>
  <inkml:trace contextRef="#ctx0" brushRef="#br0" timeOffset="5614.55">1588 116 24575,'-9'0'0,"-11"0"0,0 0 0,0 1 0,1 1 0,-38 9 0,52-10 0,0 1 0,-1 0 0,1 0 0,1 1 0,-1 0 0,0-1 0,1 2 0,-1-1 0,1 0 0,0 1 0,0 0 0,0 0 0,1 0 0,-1 0 0,1 1 0,0-1 0,0 1 0,1 0 0,-1 0 0,1 0 0,0 0 0,-2 9 0,0 1 0,1 0 0,1 0 0,0 1 0,1-1 0,0 0 0,1 1 0,4 25 0,-3-35 0,0-1 0,0 1 0,1-1 0,-1 0 0,1 0 0,0 0 0,1 0 0,-1 0 0,1 0 0,0 0 0,0-1 0,1 0 0,-1 1 0,1-1 0,0 0 0,0-1 0,0 1 0,0-1 0,1 0 0,0 0 0,-1 0 0,1-1 0,0 1 0,8 1 0,13 2 0,0-1 0,0-1 0,0-2 0,1-1 0,0 0 0,-1-2 0,1-2 0,32-6 0,-51 7 0,-1-1 0,0 0 0,0 0 0,0-1 0,0 0 0,-1 0 0,1 0 0,-1-1 0,0 0 0,-1 0 0,1-1 0,-1 0 0,0 0 0,0 0 0,-1 0 0,0-1 0,0 1 0,-1-1 0,1 0 0,-1 0 0,-1-1 0,1 1 0,-1-1 0,1-11 0,-1 8 0,0 1 0,0-1 0,-2 1 0,1-1 0,-1 0 0,-1 1 0,0-1 0,0 0 0,-1 1 0,0 0 0,-1-1 0,0 1 0,-1 0 0,0 0 0,-1 1 0,0-1 0,-10-14 0,9 19 0,0-1 0,-1 1 0,0 0 0,0 1 0,0-1 0,0 2 0,-1-1 0,0 1 0,1 0 0,-1 0 0,0 1 0,-1 0 0,1 1 0,0-1 0,-1 2 0,-15-1 0,10 1 0,0 1 0,0 0 0,0 0 0,1 1 0,-1 1 0,0 1 0,1 0 0,0 0 0,-17 9 0,23-8 0,0 0 0,1 0 0,0 0 0,0 1 0,0 0 0,1 0 0,0 1 0,0 0 0,0-1 0,1 1 0,0 1 0,0-1 0,1 1 0,0-1 0,0 1 0,1 0 0,0 0 0,-1 11 0,-2 17 0,2-1 0,3 68 0,0-77 0,5 239 0,-4-252 0,1 0 0,0 0 0,1-1 0,0 1 0,1-1 0,1 0 0,0 0 0,1 0 0,0-1 0,0 0 0,1 0 0,1 0 0,0-1 0,0 0 0,1-1 0,14 13 0,-9-11 0,0-1 0,0 0 0,1-1 0,0-1 0,0 0 0,1-1 0,0 0 0,1-2 0,-1 0 0,1 0 0,30 3 0,-6-5 0,1-1 0,-1-2 0,46-5 0,-85 4 3,1 1 0,0-1-1,-1 1 1,0-1 0,1 0-1,-1 0 1,1 0 0,-1 0-1,0-1 1,0 1 0,0-1-1,0 1 1,0-1 0,0 0 0,0 0-1,0 0 1,-1 0 0,1 0-1,-1 0 1,1 0 0,-1 0-1,0-1 1,0 1 0,0 0-1,0-1 1,0 1 0,-1-1-1,1-4 1,1-6-120,0-1-1,-2 0 0,1 0 1,-3-17-1,0 9-737,1-11-5971</inkml:trace>
  <inkml:trace contextRef="#ctx0" brushRef="#br0" timeOffset="9403.15">1 434 24575,'1'11'0,"1"-1"0,0 1 0,1-1 0,0 1 0,1-1 0,0 0 0,9 15 0,1 5 0,26 76 0,-5 2 0,32 171 0,-64-265 0,3 11-273,1 0 0,1 0 0,1-1 0,13 24 0,-12-29-6553</inkml:trace>
</inkml:ink>
</file>

<file path=xl/ink/ink3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6:03.322"/>
    </inkml:context>
    <inkml:brush xml:id="br0">
      <inkml:brushProperty name="width" value="0.035" units="cm"/>
      <inkml:brushProperty name="height" value="0.035" units="cm"/>
      <inkml:brushProperty name="color" value="#E71224"/>
    </inkml:brush>
  </inkml:definitions>
  <inkml:trace contextRef="#ctx0" brushRef="#br0">1 318 24575,'4'68'0,"2"0"0,20 80 0,-10-59 0,-15-81 0,1 0 0,0 0 0,1 0 0,-1 0 0,1 0 0,1-1 0,0 0 0,0 1 0,0-1 0,1 0 0,0-1 0,0 1 0,1-1 0,-1 0 0,2-1 0,-1 1 0,0-1 0,1 0 0,0-1 0,0 0 0,1 0 0,-1 0 0,1-1 0,-1 0 0,1-1 0,0 1 0,0-1 0,1-1 0,-1 0 0,0 0 0,0-1 0,1 1 0,-1-2 0,0 1 0,0-1 0,1-1 0,12-3 0,-12 2 0,-1-1 0,1 0 0,-1 0 0,0 0 0,-1-1 0,1 0 0,-1-1 0,0 0 0,0 0 0,-1 0 0,1-1 0,-2 0 0,1 0 0,-1-1 0,0 1 0,6-13 0,5-13 0,-2-1 0,18-65 0,-10 28 0,-15 44 0,-1 0 0,-1-1 0,-1 1 0,-2-1 0,-1-29 0,0 43 0,-2 550 0,1-533-38,-1-1 0,1 0 0,0 1 1,0-1-1,0 1 0,0-1 0,1 0 0,-1 1 0,1-1 0,-1 0 0,1 1 0,0-1 0,0 0 0,0 0 0,0 0 0,0 0 1,1 1-1,-1-2 0,0 1 0,1 0 0,0 0 0,-1 0 0,1-1 0,0 1 0,0-1 0,0 1 0,0-1 0,0 0 0,0 0 1,0 0-1,1 0 0,-1 0 0,0 0 0,0-1 0,4 1 0,15-1-6788</inkml:trace>
  <inkml:trace contextRef="#ctx0" brushRef="#br0" timeOffset="1810.58">1192 238 24575,'-18'0'0,"1"0"0,0 1 0,0 1 0,-25 6 0,36-6 0,0 0 0,0 1 0,0-1 0,0 1 0,0 1 0,1-1 0,-1 1 0,1 0 0,0 0 0,0 0 0,1 1 0,-1 0 0,1 0 0,0 0 0,-3 6 0,-6 6 0,2 1 0,0 1 0,1 0 0,1 0 0,1 1 0,0 0 0,2 1 0,0-1 0,2 1 0,0 0 0,1 1 0,0 29 0,3-48 0,1 0 0,-1 0 0,1-1 0,0 1 0,0 0 0,0 0 0,0 0 0,0-1 0,1 1 0,-1-1 0,1 1 0,0-1 0,0 1 0,0-1 0,0 0 0,0 0 0,0 0 0,1 0 0,-1 0 0,1-1 0,-1 1 0,1-1 0,-1 0 0,1 1 0,0-1 0,0 0 0,0-1 0,0 1 0,-1 0 0,1-1 0,4 1 0,12 1 0,1 0 0,0-1 0,31-3 0,-34 1 0,23-2 0,-28 1 0,0 1 0,0 0 0,0 1 0,0 0 0,0 1 0,0 0 0,14 4 0,-23-3 0,-1-1 0,1 1 0,-1 0 0,0 0 0,0 0 0,0 0 0,0 0 0,0 0 0,0 0 0,-1 1 0,1-1 0,-1 1 0,1-1 0,-1 1 0,0 0 0,0-1 0,0 1 0,-1 0 0,1 0 0,0-1 0,-1 1 0,0 6 0,0 63 0,0-66 7,-1 0 0,0 0-1,0-1 1,0 1 0,0 0-1,-1-1 1,0 1-1,0-1 1,-1 0 0,0 0-1,1 0 1,-2 0 0,1 0-1,0 0 1,-1-1 0,0 0-1,-9 8 1,7-8-121,-1 0 0,0 0-1,0-1 1,0 0 0,-1 0 0,1-1-1,-1 1 1,1-2 0,-1 1 0,0-1-1,0 0 1,-10-1 0,-15 0-6712</inkml:trace>
  <inkml:trace contextRef="#ctx0" brushRef="#br0" timeOffset="2680.85">1747 318 24575,'-4'0'0,"-7"0"0,-1 9 0,2 7 0,2 10 0,3 6 0,2 5 0,1 7 0,2-1 0,0-3 0,1-3 0,-1-4 0,0-3 0,1-2 0,-1-2 0,0 0 0,0 0 0,0-5-8191</inkml:trace>
  <inkml:trace contextRef="#ctx0" brushRef="#br0" timeOffset="3203.49">1615 0 24575</inkml:trace>
  <inkml:trace contextRef="#ctx0" brushRef="#br0" timeOffset="5389.85">2091 820 24575,'0'-398'0,"0"390"0,0 0 0,1 0 0,0 0 0,0 0 0,1 0 0,0 1 0,0-1 0,1 1 0,0-1 0,1 1 0,-1 0 0,1 0 0,0 1 0,1-1 0,0 1 0,6-8 0,-7 11 0,-1 0 0,1 1 0,0-1 0,0 1 0,0-1 0,0 1 0,0 0 0,1 1 0,-1-1 0,1 1 0,-1 0 0,1 0 0,-1 0 0,1 1 0,-1-1 0,1 1 0,0 0 0,-1 0 0,1 1 0,0 0 0,-1 0 0,1 0 0,-1 0 0,1 0 0,-1 1 0,0 0 0,0 0 0,8 5 0,-2 0 8,0 0-1,0 1 1,-1 0-1,0 1 1,0 0-1,-1 0 1,0 1-1,-1 0 1,0 0-1,0 1 1,-1 0-1,-1 0 1,0 1-1,0-1 1,5 24-1,1 9-502,-2 2 0,5 87 0,-12-105-6331</inkml:trace>
  <inkml:trace contextRef="#ctx0" brushRef="#br0" timeOffset="7038.85">3255 318 24575,'0'-2'0,"-1"-1"0,1 1 0,-1 0 0,0 0 0,0 1 0,0-1 0,0 0 0,0 0 0,0 0 0,0 1 0,-1-1 0,1 0 0,-1 1 0,1-1 0,-1 1 0,0 0 0,1 0 0,-1-1 0,0 1 0,-3-1 0,-39-18 0,44 20 0,-22-7 0,0 0 0,-1 2 0,0 1 0,0 1 0,-35-1 0,-117 10 0,159-5 0,-1 1 0,1 0 0,0 1 0,0 1 0,1 1 0,-1 0 0,1 1 0,-22 12 0,30-15 0,1 1 0,0 0 0,1 1 0,-1-1 0,1 1 0,0 0 0,0 1 0,0-1 0,1 1 0,0 0 0,0 0 0,0 0 0,1 1 0,0-1 0,0 1 0,1 0 0,-1 0 0,2 0 0,-1 0 0,1 0 0,-1 11 0,2-6 0,0 0 0,0 0 0,2 0 0,-1 0 0,1-1 0,1 1 0,0-1 0,1 1 0,0-1 0,1 0 0,9 15 0,-10-19 0,0-1 0,0 1 0,1-1 0,0-1 0,1 1 0,-1-1 0,1 1 0,0-2 0,1 1 0,-1-1 0,1 0 0,0 0 0,0 0 0,0-1 0,0 0 0,0-1 0,1 0 0,13 3 0,-3-3 0,0 0 0,0-1 0,0-1 0,0 0 0,0-2 0,0 0 0,33-8 0,-41 6 0,0 1 0,-1-1 0,1-1 0,-1 1 0,0-2 0,0 1 0,-1-1 0,0 0 0,0-1 0,0 0 0,-1 0 0,0-1 0,0 0 0,-1 0 0,6-10 0,7-17 0,-2-1 0,-2 0 0,-1-2 0,11-45 0,-18 59 0,11-21 0,-18 44 0,1 0 0,-1 0 0,0-1 0,1 1 0,-1 0 0,1 0 0,-1 0 0,1 0 0,0 0 0,-1 0 0,1 0 0,0 0 0,0 0 0,0 0 0,0 0 0,0 0 0,0 1 0,0-1 0,0 0 0,0 1 0,0-1 0,0 1 0,0-1 0,0 1 0,1-1 0,-1 1 0,0 0 0,0 0 0,0-1 0,1 1 0,-1 0 0,0 0 0,2 1 0,-1 1 0,0 1 0,0 0 0,0 0 0,-1 0 0,1 0 0,-1 0 0,0 0 0,0 1 0,0-1 0,0 0 0,-1 1 0,1-1 0,-1 0 0,0 1 0,0-1 0,-1 7 0,1-1 0,2 484 0,-5-224 0,3-266 3,0 0-1,-1 0 0,1 0 0,-1 0 1,0 0-1,1 0 0,-1 0 1,-1 0-1,1 0 0,0 0 0,-1 0 1,1-1-1,-1 1 0,0-1 1,0 1-1,0-1 0,0 0 0,0 1 1,-1-1-1,1 0 0,0-1 1,-1 1-1,0 0 0,1-1 1,-1 1-1,0-1 0,0 0 0,0 0 1,0 0-1,-4 1 0,-12 1-122,1 0 1,-1 0-1,1-2 0,-21-1 0,9 1-717,-57 1-5989</inkml:trace>
</inkml:ink>
</file>

<file path=xl/ink/ink3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6:12.314"/>
    </inkml:context>
    <inkml:brush xml:id="br0">
      <inkml:brushProperty name="width" value="0.035" units="cm"/>
      <inkml:brushProperty name="height" value="0.035" units="cm"/>
      <inkml:brushProperty name="color" value="#E71224"/>
    </inkml:brush>
  </inkml:definitions>
  <inkml:trace contextRef="#ctx0" brushRef="#br0">503 604 24575,'0'1'0,"1"0"0,-1 0 0,0 0 0,1 0 0,-1 0 0,1 0 0,-1 0 0,1 0 0,0 0 0,-1-1 0,1 1 0,0 0 0,-1 0 0,1-1 0,0 1 0,0 0 0,0-1 0,0 1 0,0-1 0,0 1 0,0-1 0,0 0 0,0 1 0,0-1 0,0 0 0,0 0 0,0 0 0,0 1 0,0-1 0,0 0 0,0 0 0,0-1 0,0 1 0,0 0 0,0 0 0,0 0 0,0-1 0,1 1 0,41-11 0,-27 3 0,0 0 0,-1 0 0,0-2 0,0 0 0,-1 0 0,-1-1 0,0-1 0,0 0 0,-1-1 0,-1-1 0,0 1 0,0-2 0,-2 1 0,0-2 0,-1 1 0,0-1 0,-1 0 0,-1-1 0,0 1 0,-2-1 0,0 0 0,0-1 0,-2 1 0,1-26 0,-6-127 0,3 170 0,0 0 0,0 0 0,0 0 0,0 0 0,0 0 0,-1 0 0,1 0 0,0 0 0,0 0 0,0 0 0,0 1 0,0-1 0,0 0 0,0 0 0,0 0 0,-1 0 0,1 0 0,0 0 0,0 0 0,0 0 0,0 0 0,0 0 0,0-1 0,0 1 0,0 0 0,0 0 0,-1 0 0,1 0 0,0 0 0,0 0 0,0 0 0,0 0 0,0 0 0,0 0 0,-7 23 0,-4 34 0,2 454 0,12-292 0,-1-91 0,-5 147 0,-5-220 0,-1-1 0,-3 0 0,-32 89 0,38-127 0,0-1 0,-1 0 0,-1 0 0,-1-1 0,0 0 0,0 0 0,-2-1 0,1-1 0,-2 1 0,1-2 0,-2 0 0,0 0 0,0-1 0,-1 0 0,0-2 0,0 1 0,-1-2 0,0 0 0,0-1 0,-1 0 0,0-1 0,0-1 0,0 0 0,-25 1 0,12-1 24,0-1 0,0-2 0,0-1 0,-50-6 0,66 4-138,0-1 0,0 0-1,1-1 1,-1 0 0,1-1 0,0 0-1,0-1 1,1 0 0,0-1 0,0 0-1,0-1 1,-15-14 0,1-6-6712</inkml:trace>
  <inkml:trace contextRef="#ctx0" brushRef="#br0" timeOffset="964.44">1059 552 24575,'-5'0'0,"-1"8"0,0 9 0,2 9 0,1 6 0,1 10 0,0 7 0,7-5 0,0-5 0,-3-9 0,-3-10-8191</inkml:trace>
  <inkml:trace contextRef="#ctx0" brushRef="#br0" timeOffset="2137.54">1085 366 24575,'5'0'0</inkml:trace>
  <inkml:trace contextRef="#ctx0" brushRef="#br0" timeOffset="4114.32">1297 843 24575,'2'-1'0,"0"0"0,0 1 0,-1-1 0,1 0 0,0 0 0,0 0 0,0 0 0,-1 0 0,1-1 0,-1 1 0,1 0 0,-1-1 0,1 1 0,-1-1 0,0 1 0,2-4 0,18-30 0,-6-2 0,-1-1 0,-2 0 0,-2-1 0,-2 0 0,7-68 0,-1 5 0,27-69 0,-40 170 0,1 6 0,0 19 0,1 37 0,-6 102 0,5 153 0,-2-312-85,0-1 0,0 1-1,0-1 1,1 0 0,0 1-1,0-1 1,0 0 0,0 0-1,0 0 1,1 0 0,-1 0-1,1 0 1,0 0 0,0 0-1,2 2 1,13 8-6741</inkml:trace>
  <inkml:trace contextRef="#ctx0" brushRef="#br0" timeOffset="5295.59">1985 49 24575,'0'718'-1365,"0"-696"-5461</inkml:trace>
  <inkml:trace contextRef="#ctx0" brushRef="#br0" timeOffset="6233.15">1826 393 24575,'-5'0'0,"4"0"0,15 0 0,9 0 0,6 0 0,2 0 0,5 0 0,1 0 0,-1 0 0,-3 0 0,-2 0 0,-2 0 0,-6 0-8191</inkml:trace>
  <inkml:trace contextRef="#ctx0" brushRef="#br0" timeOffset="7427.36">2514 499 24575,'6'-1'0,"0"1"0,1-1 0,-1 0 0,0 0 0,0 0 0,0-1 0,0 0 0,0-1 0,-1 1 0,1-1 0,0 0 0,-1 0 0,0-1 0,7-5 0,-9 6 0,1 0 0,-1 0 0,-1-1 0,1 1 0,0-1 0,-1 1 0,0-1 0,0 0 0,0 0 0,0 0 0,-1 0 0,1 0 0,-1 0 0,0-1 0,0 1 0,-1 0 0,1 0 0,-1-1 0,0 1 0,0-1 0,-1-6 0,0 7 0,-1 1 0,1-1 0,-1 1 0,0-1 0,0 1 0,0-1 0,0 1 0,0 0 0,-1 0 0,1 0 0,-1 1 0,0-1 0,0 1 0,0-1 0,0 1 0,-1 0 0,1 0 0,0 0 0,-1 1 0,0-1 0,1 1 0,-1 0 0,0 0 0,1 0 0,-1 0 0,0 1 0,0-1 0,0 1 0,-5 0 0,4 0 0,-1 0 0,0-1 0,0 2 0,1-1 0,-1 1 0,0 0 0,1 0 0,-1 0 0,1 1 0,0 0 0,-1 0 0,1 0 0,0 1 0,0 0 0,0 0 0,0 0 0,1 0 0,0 1 0,-7 7 0,-2 11 0,1 1 0,1 0 0,1 0 0,1 2 0,1-1 0,1 1 0,2 0 0,0 0 0,2 1 0,0-1 0,2 1 0,4 47 0,-3-67 10,1 0 0,0-1 0,0 1 0,0 0 0,1-1 0,0 0 0,0 1 0,0-1 0,1 0 0,-1 0 0,7 8 0,-6-10-103,0 0 0,1 0 1,-1 0-1,0-1 0,1 1 0,0-1 0,0 0 0,0 0 1,0 0-1,0-1 0,0 1 0,0-1 0,0 0 1,1 0-1,6 0 0,22 2-6733</inkml:trace>
  <inkml:trace contextRef="#ctx0" brushRef="#br0" timeOffset="9023.43">2805 181 24575,'368'191'0,"-361"-187"0,0 0 0,0 0 0,0 0 0,0 1 0,-1 0 0,1 0 0,-1 1 0,-1 0 0,1 0 0,-1 0 0,0 0 0,-1 1 0,1 0 0,5 12 0,-6-6 0,0 0 0,0 0 0,-1 1 0,-1-1 0,0 1 0,-1-1 0,-1 27 0,0-31 0,0 0 0,0 0 0,-1 0 0,0 0 0,0 0 0,-4 13 0,4-20 0,0 1 0,0-1 0,-1 0 0,1 0 0,0 0 0,-1 1 0,0-1 0,1-1 0,-1 1 0,0 0 0,0 0 0,0-1 0,0 1 0,0-1 0,0 1 0,0-1 0,-1 0 0,1 0 0,0 0 0,-1 0 0,1 0 0,-1-1 0,1 1 0,-3-1 0,-9 3 0,1-2 0,-1 1 0,1-2 0,-1 0 0,1-1 0,-14-2 0,23 3 0,0-1 0,1 0 0,-1 0 0,0 0 0,1 0 0,-1-1 0,1 1 0,0-1 0,-1 0 0,1 0 0,0 0 0,0-1 0,0 1 0,0-1 0,1 0 0,-1 1 0,1-1 0,-1 0 0,1-1 0,0 1 0,0 0 0,1 0 0,-1-1 0,1 1 0,-2-6 0,-3-29 0,1-1 0,3 0 0,1 0 0,1 0 0,7-45 0,-5 60 0,-2 16 0,1 1 0,0 0 0,0 0 0,0 0 0,1 0 0,0 0 0,0 0 0,1 0 0,0 1 0,0-1 0,0 1 0,1 0 0,0 0 0,0 0 0,1 0 0,0 1 0,0 0 0,0 0 0,0 0 0,1 0 0,0 1 0,0 0 0,11-6 0,303-166-1365,-279 154-5461</inkml:trace>
</inkml:ink>
</file>

<file path=xl/ink/ink3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7:54.947"/>
    </inkml:context>
    <inkml:brush xml:id="br0">
      <inkml:brushProperty name="width" value="0.035" units="cm"/>
      <inkml:brushProperty name="height" value="0.035" units="cm"/>
      <inkml:brushProperty name="color" value="#E71224"/>
    </inkml:brush>
  </inkml:definitions>
  <inkml:trace contextRef="#ctx0" brushRef="#br0">80 133 24575,'0'0'0,"-1"0"0,0 1 0,0-1 0,0 0 0,0 1 0,0-1 0,1 0 0,-1 1 0,0-1 0,0 1 0,1-1 0,-1 1 0,0-1 0,1 1 0,-1 0 0,1-1 0,-1 1 0,0 0 0,1 0 0,0-1 0,-1 1 0,1 0 0,-1 0 0,1 0 0,0 0 0,0-1 0,-1 2 0,-5 29 0,5-22 0,-12 61 0,-2 4 0,3 0 0,4 0 0,1 113 0,7-182 0,0 0 0,1 0 0,0 0 0,0 0 0,0 0 0,1-1 0,0 1 0,0 0 0,0-1 0,0 1 0,1-1 0,-1 0 0,1 0 0,0 0 0,7 7 0,-4-6 0,0 0 0,1-1 0,-1 0 0,1 0 0,-1-1 0,1 0 0,0 0 0,0 0 0,12 2 0,7-1 0,-1 0 0,1-2 0,0-1 0,-1-1 0,32-4 0,-49 4 0,1-1 0,-1-1 0,0 1 0,1-1 0,-1-1 0,0 1 0,0-1 0,0-1 0,-1 0 0,1 0 0,-1 0 0,0-1 0,0 0 0,0 0 0,-1-1 0,0 0 0,0 0 0,0 0 0,-1-1 0,0 0 0,0 0 0,-1 0 0,0-1 0,0 1 0,0-1 0,-1 0 0,-1 0 0,4-14 0,7-34 0,7-83 0,-13 82 0,-6 52 0,0 0 0,-1 0 0,0 0 0,0 0 0,0 1 0,-1-1 0,1 0 0,-4-10 0,4 15 0,0-1 0,0 1 0,0 0 0,0-1 0,-1 1 0,1 0 0,0-1 0,0 1 0,0 0 0,-1-1 0,1 1 0,0 0 0,-1 0 0,1-1 0,0 1 0,-1 0 0,1 0 0,0 0 0,-1 0 0,1-1 0,0 1 0,-1 0 0,1 0 0,-1 0 0,1 0 0,0 0 0,-1 0 0,1 0 0,-1 0 0,1 0 0,0 0 0,-1 0 0,1 0 0,0 0 0,-1 0 0,1 0 0,-1 1 0,-22 22 0,14-8 0,1 0 0,0 0 0,1 1 0,1 0 0,1 0 0,0 0 0,1 1 0,-3 22 0,3-9 0,2-1 0,1 1 0,2 0 0,3 30 0,-4-58-57,1 0 0,-1 1 1,1-1-1,-1 0 0,1 0 0,0 1 0,0-1 0,-1 0 0,2 0 0,-1 0 0,0 0 1,0 0-1,1 0 0,-1 0 0,1-1 0,-1 1 0,1 0 0,0-1 0,0 1 1,0-1-1,0 0 0,0 1 0,2 0 0,13 4-6769</inkml:trace>
  <inkml:trace contextRef="#ctx0" brushRef="#br0" timeOffset="2323.73">1192 424 24575,'-1'-5'0,"1"1"0,-1-1 0,0 1 0,0-1 0,0 0 0,0 1 0,-1 0 0,0-1 0,0 1 0,0 0 0,-1 0 0,1 0 0,-1 0 0,0 1 0,0-1 0,-5-4 0,1 2 0,0 0 0,0 1 0,-1 0 0,1 0 0,-1 0 0,0 1 0,-1 1 0,-13-6 0,14 7 0,-1 0 0,1 0 0,0 1 0,0 0 0,0 0 0,-1 1 0,1 0 0,0 1 0,-12 1 0,15-1 0,1 0 0,0 0 0,0 1 0,0-1 0,0 1 0,1 0 0,-1 0 0,0 0 0,1 1 0,-1-1 0,1 1 0,0-1 0,0 1 0,0 0 0,0 1 0,1-1 0,-1 0 0,-2 6 0,-2 5 0,0 1 0,2 0 0,-8 31 0,11-39 0,0 1 0,1 0 0,0-1 0,1 1 0,-1 0 0,2 0 0,-1 0 0,1 0 0,3 14 0,-2-18 0,1 0 0,-1 0 0,1-1 0,0 1 0,0-1 0,1 0 0,-1 0 0,0 0 0,1-1 0,0 1 0,-1-1 0,1 1 0,7 1 0,24 20 0,-30-18 0,0 0 0,0 1 0,-1 0 0,0 0 0,0 0 0,0 0 0,-1 1 0,0-1 0,-1 1 0,1 0 0,-2 0 0,1 0 0,-1 0 0,0 10 0,0 12 0,-1-1 0,-6 46 0,4-68 0,1 0 0,-2-1 0,1 1 0,-1 0 0,0-1 0,0 0 0,0 0 0,-1 0 0,0 0 0,0 0 0,-1-1 0,1 0 0,-1 0 0,-1 0 0,1-1 0,-1 1 0,-10 6 0,3-4 0,1 0 0,-1 0 0,0-1 0,-1-1 0,1 0 0,-1-1 0,-24 4 0,35-7 0,0-1 0,0 1 0,0-1 0,0 0 0,-1 0 0,1 0 0,0 0 0,0 0 0,0-1 0,0 0 0,0 1 0,0-1 0,0 0 0,0 0 0,0-1 0,0 1 0,0-1 0,1 1 0,-1-1 0,1 0 0,-1 0 0,1 0 0,-4-4 0,4 2 0,-1 0 0,1-1 0,0 1 0,1-1 0,-1 1 0,1-1 0,0 0 0,0 0 0,0 0 0,1 1 0,0-1 0,0 0 0,0 0 0,1-9 0,0 11 0,-1 0 0,1 0 0,0 1 0,0-1 0,0 0 0,0 0 0,1 0 0,-1 1 0,1-1 0,-1 1 0,1-1 0,0 1 0,0 0 0,0 0 0,0 0 0,0 0 0,1 0 0,-1 0 0,1 0 0,-1 1 0,1-1 0,0 1 0,-1 0 0,1 0 0,0 0 0,0 0 0,0 0 0,0 0 0,0 1 0,0 0 0,0-1 0,0 1 0,0 0 0,0 1 0,5 0 0,1-1 0,-1 1 0,1 1 0,-1-1 0,0 1 0,1 1 0,-1-1 0,0 2 0,0-1 0,-1 1 0,1 0 0,12 10 0,2 5-101,-13-10-80,0-1 1,0 0-1,1-1 1,0 1-1,1-2 1,16 9-1,2-5-6645</inkml:trace>
  <inkml:trace contextRef="#ctx0" brushRef="#br0" timeOffset="3542.68">1509 451 24575,'0'4'0,"0"7"0,0 5 0,0 9 0,0 10 0,0 2 0,0 5 0,0 4 0,0-1 0,0-4 0,0-5 0,0-3 0,0-8-8191</inkml:trace>
  <inkml:trace contextRef="#ctx0" brushRef="#br0" timeOffset="4260.15">1589 1 24575</inkml:trace>
  <inkml:trace contextRef="#ctx0" brushRef="#br0" timeOffset="6741.05">1959 874 24575,'-1'-90'0,"3"-103"0,-2 183 0,1 0 0,1 0 0,0 1 0,0-1 0,1 0 0,0 1 0,1 0 0,0 0 0,0 0 0,1 0 0,0 1 0,1-1 0,0 1 0,10-11 0,-11 14 0,1 0 0,0 0 0,0 0 0,1 1 0,-1 0 0,1 0 0,0 1 0,0 0 0,0 0 0,0 0 0,0 1 0,1 0 0,-1 1 0,1-1 0,-1 2 0,1-1 0,0 1 0,-1 0 0,9 1 0,-12 0 0,0 0 0,-1 0 0,1 0 0,0 1 0,-1-1 0,1 1 0,-1 0 0,0 0 0,1 0 0,-1 0 0,0 1 0,0-1 0,0 1 0,-1 0 0,1 0 0,-1 0 0,1 0 0,-1 0 0,0 0 0,0 1 0,-1-1 0,1 1 0,-1-1 0,0 1 0,1 0 0,-2 0 0,2 4 0,2 13 0,-1 1 0,0 0 0,-2 34 0,-1-44 0,2 40-97,0-21-157,-2 0 1,-1 0-1,-1 0 0,-7 37 1,3-49-6573</inkml:trace>
  <inkml:trace contextRef="#ctx0" brushRef="#br0" timeOffset="9039.58">2991 345 24575,'-23'-1'0,"1"1"0,0 1 0,-1 1 0,1 1 0,0 0 0,0 2 0,0 1 0,1 1 0,0 0 0,0 2 0,0 0 0,-25 17 0,35-19 0,1 0 0,-1 0 0,2 1 0,-1 1 0,1-1 0,0 2 0,1-1 0,0 1 0,0 0 0,1 1 0,1-1 0,-9 20 0,-10 22 0,12-27 0,1 1 0,1 0 0,2 1 0,0 0 0,-4 28 0,12-52 0,1 0 0,0 0 0,0 0 0,0-1 0,0 1 0,1 0 0,-1 0 0,1 0 0,0-1 0,-1 1 0,1 0 0,1-1 0,-1 1 0,0-1 0,0 1 0,1-1 0,0 1 0,-1-1 0,1 0 0,0 0 0,0 0 0,0 0 0,0 0 0,1 0 0,-1-1 0,0 1 0,1-1 0,-1 0 0,1 1 0,-1-1 0,1 0 0,0 0 0,0-1 0,-1 1 0,6 0 0,11 2 0,0 0 0,0-1 0,0-2 0,22-1 0,-22 1 0,7 0 0,0 0 0,1 0 0,0-2 0,-1-1 0,27-6 0,-45 6 0,0 1 0,0-1 0,0 0 0,-1-1 0,1 0 0,-1 0 0,0-1 0,0 1 0,-1-1 0,1-1 0,-1 0 0,0 1 0,0-2 0,-1 1 0,0-1 0,0 0 0,4-8 0,81-190 0,-67 145 0,-18 52 0,-2 9 0,0 20 0,-6 34 0,-80 272 0,2-14 0,30-64 0,-10-2 0,-114 290 0,167-517 0,2-3 0,0-1 0,-2 1 0,0-2 0,-12 19 0,18-30 0,-2 0 0,1 0 0,0 0 0,-1-1 0,0 0 0,1 1 0,-1-1 0,-1 0 0,1-1 0,0 1 0,-1-1 0,1 0 0,-1 0 0,0 0 0,1-1 0,-1 0 0,0 1 0,0-2 0,-8 2 0,-45 1 0,1-3 0,0-2 0,-1-2 0,-103-22 0,140 20 0,1 0 0,0-1 0,0 0 0,0-2 0,1-1 0,0 0 0,1-1 0,0-1 0,1-1 0,1 0 0,0-2 0,0 0 0,1 0 0,1-1 0,1-1 0,-14-23 0,13 16 0,1-2 0,2 0 0,0 0 0,2-1 0,1 0 0,1-1 0,1 0 0,-3-47 0,8 53 0,0 1 0,2-1 0,0 1 0,1-1 0,1 1 0,1 0 0,1 0 0,1 0 0,1 1 0,1 0 0,1 0 0,12-21 0,0 11 0,1 1 0,2 1 0,1 1 0,1 1 0,1 2 0,1 0 0,1 2 0,36-21 0,32-13 0,139-59 0,-233 113-22,32-15-247,2 2 1,0 1-1,1 2 1,44-9-1,-54 18-6557</inkml:trace>
</inkml:ink>
</file>

<file path=xl/ink/ink3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8:07.841"/>
    </inkml:context>
    <inkml:brush xml:id="br0">
      <inkml:brushProperty name="width" value="0.035" units="cm"/>
      <inkml:brushProperty name="height" value="0.035" units="cm"/>
      <inkml:brushProperty name="color" value="#E71224"/>
    </inkml:brush>
  </inkml:definitions>
  <inkml:trace contextRef="#ctx0" brushRef="#br0">558 6 24575,'35'0'0,"-29"0"0,-22 0 0,-32-2 0,33 0 0,0 1 0,0 1 0,0 0 0,-1 1 0,1 1 0,-24 5 0,36-5 0,0 0 0,-1 0 0,1 1 0,0-1 0,1 1 0,-1-1 0,0 1 0,1 0 0,0 0 0,-1 0 0,1 1 0,0-1 0,1 0 0,-3 5 0,-20 57 0,19-52 0,0 6 0,0 0 0,-5 37 0,9-50 0,0 0 0,1 0 0,-1 0 0,1 1 0,1-1 0,-1 0 0,1 0 0,0 0 0,1 0 0,-1 0 0,1 0 0,1 0 0,2 5 0,-2-7 0,-1-1 0,1-1 0,0 1 0,1 0 0,-1-1 0,0 1 0,1-1 0,-1 0 0,1 0 0,0-1 0,0 1 0,0-1 0,0 1 0,0-1 0,0-1 0,0 1 0,4 0 0,13 1 0,1-2 0,24-1 0,-1 0 0,-40 1 0,1 0 0,0 0 0,0 1 0,-1 0 0,1 0 0,0 0 0,-1 1 0,1-1 0,-1 1 0,0 1 0,1-1 0,-1 1 0,0 0 0,-1 0 0,1 1 0,0-1 0,-1 1 0,0 0 0,0 0 0,0 0 0,0 1 0,-1-1 0,0 1 0,0 0 0,0 0 0,0 0 0,-1 1 0,0-1 0,0 1 0,0-1 0,-1 1 0,0-1 0,0 1 0,0 0 0,-1-1 0,0 12 0,2 5 0,-2 1 0,0-1 0,-1 1 0,-2-1 0,0 1 0,-1-1 0,-2 0 0,0 0 0,-1-1 0,-1 0 0,-1 0 0,-1-1 0,-18 28 0,16-31 0,-1 0 0,0-1 0,-2 0 0,0-1 0,0-1 0,-2-1 0,1 0 0,-2-1 0,0 0 0,0-2 0,-1 0 0,0-1 0,-1-1 0,0-1 0,0-1 0,0 0 0,-1-2 0,0 0 0,-24 1 0,43-5 0,-16 1 0,0-1 0,0 0 0,0-1 0,0-1 0,-20-5 0,34 6 0,0-1 0,-1 1 0,1-1 0,0 0 0,0 0 0,1 0 0,-1 0 0,0-1 0,1 1 0,-1-1 0,1 0 0,0 0 0,0-1 0,0 1 0,0 0 0,1-1 0,0 0 0,-1 0 0,1 1 0,0-1 0,1 0 0,-1-1 0,1 1 0,0 0 0,0 0 0,-1-8 0,0 2 0,1-1 0,0 1 0,1-1 0,0 0 0,1 1 0,0-1 0,1 1 0,0-1 0,3-11 0,-3 18 0,0-1 0,1 0 0,-1 1 0,1 0 0,-1 0 0,1 0 0,1 0 0,-1 0 0,1 0 0,-1 1 0,1-1 0,0 1 0,0 0 0,0 0 0,1 1 0,-1-1 0,1 1 0,-1 0 0,1 0 0,0 1 0,7-2 0,-8 1 0,1 1 0,-1 0 0,1 1 0,0-1 0,-1 1 0,1-1 0,0 1 0,-1 1 0,1-1 0,0 1 0,-1 0 0,1 0 0,-1 0 0,1 1 0,-1-1 0,1 1 0,-1 0 0,0 0 0,5 4 0,-2 0 0,0 1 0,-1-1 0,1 2 0,-1-1 0,-1 1 0,1 0 0,-2 0 0,8 14 0,1 5 0,-3-6 0,1 0 0,0-1 0,16 19 0,-23-34 0,0 0 0,1 0 0,0 0 0,0 0 0,0-1 0,0 0 0,1 0 0,0-1 0,-1 1 0,1-1 0,1 0 0,-1-1 0,0 0 0,13 3 0,32 1 0,1-2 0,0-3 0,90-9 0,-126 6 0,1-1 0,-1-1 0,0 0 0,0-1 0,-1-1 0,1 0 0,-1-2 0,-1 1 0,1-2 0,-1 0 0,-1 0 0,0-2 0,0 1 0,18-21 0,9-14 0,-2-2 0,51-84 0,-80 116 0,17-23 0,-14 23 0,-1-2 0,-1 1 0,-1-1 0,10-24 0,25-65 0,-24 59 0,21-66 0,-41 112 0,9-31 0,7-45 0,-29 97 0,-6 23 0,2 10 0,1 1 0,3 0 0,3 1 0,-8 106 0,18-131 0,-3 1 0,0-1 0,-2 0 0,-13 46 0,10-48 0,-7 54 0,13-70 0,1 1 0,1-1 0,0 0 0,1 0 0,0 0 0,1 0 0,3 14 0,-3-23 0,-1 0 0,1 1 0,0-1 0,0 0 0,0 0 0,1 0 0,-1 0 0,1-1 0,-1 1 0,1-1 0,0 1 0,0-1 0,0 0 0,0 0 0,1-1 0,-1 1 0,0 0 0,1-1 0,-1 0 0,1 0 0,-1 0 0,1 0 0,0-1 0,-1 1 0,1-1 0,0 0 0,0 0 0,4-1 0,3 1 0,0-1 0,-1 0 0,1-1 0,0 0 0,-1-1 0,1 0 0,-1-1 0,16-7 0,8-14-1365,-6-2-5461</inkml:trace>
  <inkml:trace contextRef="#ctx0" brushRef="#br0" timeOffset="845.62">1643 667 24575,'0'-4'0,"5"-2"0,1 9 0,-1 13 0,0 13 0,-2 11 0,-1 2 0,-1 0 0,0 0 0,-1-1 0,0 1 0,-1-16 0,10-26 0,3-26 0,-1-9-8191</inkml:trace>
  <inkml:trace contextRef="#ctx0" brushRef="#br0" timeOffset="2106.36">1961 112 24575,'-5'0'0,"-1"4"0,1 11 0,-5 3 0,-3 2 0,3-6 0,5-6-8191</inkml:trace>
  <inkml:trace contextRef="#ctx0" brushRef="#br0" timeOffset="3783.87">2199 535 24575,'335'16'0,"-297"-12"0,13 1 0,-40-3 0,-17-2 0,-60-1 0,-79 2 0,139 0 0,0 0 0,1 0 0,-1 0 0,1 1 0,-1 0 0,1 0 0,0 0 0,0 1 0,0 0 0,0 0 0,0 0 0,1 1 0,-1-1 0,1 1 0,0 0 0,0 0 0,0 1 0,1-1 0,-5 8 0,-4 9 0,1 0 0,0 0 0,-10 33 0,8-18 0,8-22 0,0 0 0,2 0 0,0 1 0,0-1 0,1 0 0,1 1 0,1 0 0,0-1 0,0 1 0,6 28 0,-5-36 0,1 1 0,0-1 0,0 1 0,1-1 0,0 0 0,0 0 0,0 0 0,1 0 0,0 0 0,1-1 0,-1 0 0,1 0 0,0 0 0,1 0 0,0-1 0,-1 0 0,2 0 0,-1-1 0,0 0 0,1 0 0,0 0 0,10 4 0,19 2 0,0-1 0,1-2 0,0-1 0,0-2 0,0-1 0,52-4 0,-85 1-91,0 0 0,0-1 0,-1 1 0,1-1 0,0 0 0,-1 0 0,1 0 0,-1 0 0,1-1 0,-1 1 0,0-1 0,0 0 0,1 0 0,2-3 0,10-13-6735</inkml:trace>
  <inkml:trace contextRef="#ctx0" brushRef="#br0" timeOffset="5369.15">3310 694 24575,'0'28'0,"-1"-13"0,0 0 0,2 1 0,0-1 0,1 0 0,5 24 0,-6-36 0,0 1 0,1-1 0,-1 0 0,0 0 0,1 0 0,0-1 0,0 1 0,0 0 0,0-1 0,0 1 0,0-1 0,1 0 0,-1 0 0,1 0 0,0 0 0,-1 0 0,1 0 0,0-1 0,0 1 0,0-1 0,0 0 0,0 0 0,1 0 0,-1 0 0,0 0 0,0-1 0,1 0 0,-1 0 0,0 0 0,1 0 0,4-1 0,-3 1 0,1-1 0,-1 0 0,1 0 0,-1 0 0,0-1 0,1 0 0,-1 0 0,0 0 0,0-1 0,-1 1 0,1-1 0,0-1 0,-1 1 0,0 0 0,0-1 0,0 0 0,0 0 0,0 0 0,-1-1 0,0 1 0,0-1 0,0 0 0,0 0 0,2-7 0,4-12 0,-1 0 0,-2 0 0,0-1 0,3-28 0,-1 6 0,-5 33 0,1-2 0,-1-1 0,-1 0 0,0 1 0,-1-21 0,-1 34 0,0 0 0,0 0 0,-1 0 0,1 1 0,0-1 0,-1 0 0,0 0 0,0 1 0,0-1 0,0 0 0,0 1 0,0-1 0,-1 1 0,1-1 0,-1 1 0,0 0 0,0 0 0,0 0 0,0 0 0,0 0 0,0 0 0,0 0 0,-1 1 0,1-1 0,0 1 0,-1 0 0,0-1 0,1 1 0,-1 0 0,0 1 0,-3-2 0,-3 0 0,-1 0 0,1 1 0,0 0 0,-1 0 0,1 1 0,-1 0 0,1 1 0,0 0 0,-1 1 0,1 0 0,0 0 0,0 1 0,0 0 0,0 0 0,1 1 0,-1 0 0,1 1 0,0 0 0,0 0 0,1 1 0,0 0 0,-1 0 0,2 1 0,-1-1 0,1 2 0,0-1 0,1 1 0,-7 11 0,-16 34 0,4 1 0,1 1 0,3 1 0,-19 84 0,31-111 0,2 1 0,1 0 0,1 0 0,2 0 0,1 0 0,1 0 0,6 42 0,-5-60 0,2 0 0,-1 0 0,2 0 0,-1-1 0,2 1 0,-1-1 0,1 0 0,1 0 0,0-1 0,1 0 0,0 0 0,0 0 0,1-1 0,0 0 0,1-1 0,0 1 0,0-2 0,1 1 0,0-1 0,21 10 0,4 0 0,0-2 0,56 15 0,-78-26 0,0-1 0,0-1 0,1 0 0,-1-1 0,0-1 0,1 0 0,-1 0 0,1-1 0,-1-1 0,24-6 0,-30 5 8,0-1-1,0 1 1,0-1-1,-1-1 0,1 1 1,-1-1-1,0 0 1,0 0-1,-1-1 1,0 0-1,0 0 0,0 0 1,7-13-1,4-10-525,24-57 0,-35 73 85,8-20-6393</inkml:trace>
  <inkml:trace contextRef="#ctx0" brushRef="#br0" timeOffset="6634.38">3998 694 24575,'0'-1'0,"1"0"0,-1 0 0,0 0 0,1 0 0,-1 0 0,1 0 0,-1 0 0,1 0 0,-1 0 0,1 1 0,0-1 0,-1 0 0,1 0 0,0 1 0,0-1 0,-1 0 0,1 1 0,0-1 0,0 1 0,0-1 0,0 1 0,0 0 0,0-1 0,0 1 0,0 0 0,0-1 0,0 1 0,1 0 0,35-5 0,-32 5 0,77-5 0,94 7 0,-166-1 0,0 0 0,-1 1 0,1 1 0,-1-1 0,1 1 0,-1 1 0,0 0 0,0 0 0,0 0 0,-1 1 0,0 1 0,0-1 0,0 1 0,0 1 0,-1 0 0,0 0 0,-1 0 0,0 1 0,0-1 0,0 1 0,5 12 0,-2-3 0,-1 0 0,0 1 0,-2 0 0,0 0 0,-1 1 0,0-1 0,-2 1 0,0 0 0,0 39 0,-4-38 0,2 0 0,-2 0 0,0 0 0,-1 0 0,-6 22 0,7-38 0,0 0 0,0 0 0,0 0 0,0 0 0,-1-1 0,0 1 0,0 0 0,0-1 0,0 0 0,-1 1 0,1-1 0,-1 0 0,0 0 0,0 0 0,0-1 0,0 1 0,0-1 0,-1 1 0,1-1 0,-1 0 0,1-1 0,-1 1 0,0 0 0,0-1 0,0 0 0,-6 1 0,-3 0 0,-1-1 0,1 0 0,-1-1 0,0-1 0,1 0 0,-1-1 0,1 0 0,-1-1 0,1 0 0,0-1 0,0-1 0,-23-12 0,26 11 0,0 0 0,1-1 0,0 0 0,0-1 0,0 0 0,1 0 0,1-1 0,-1 0 0,1 0 0,1 0 0,0-1 0,0-1 0,1 1 0,0-1 0,-5-17 0,2-1 0,2 0 0,0-1 0,3 0 0,-1-37 0,9-122 0,-4 171 0,1 0 0,0 0 0,1 0 0,1 0 0,1 1 0,1 0 0,0 0 0,1 0 0,1 1 0,0 0 0,1 0 0,1 1 0,0 0 0,1 1 0,1 0 0,0 0 0,25-19 0,12-7-341,1 3 0,3 2-1,99-50 1,-114 70-6485</inkml:trace>
</inkml:ink>
</file>

<file path=xl/ink/ink3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38:17.799"/>
    </inkml:context>
    <inkml:brush xml:id="br0">
      <inkml:brushProperty name="width" value="0.035" units="cm"/>
      <inkml:brushProperty name="height" value="0.035" units="cm"/>
      <inkml:brushProperty name="color" value="#E71224"/>
    </inkml:brush>
  </inkml:definitions>
  <inkml:trace contextRef="#ctx0" brushRef="#br0">400 319 24575,'3'1'0,"0"0"0,-1 0 0,1 0 0,0 0 0,0 1 0,-1-1 0,1 1 0,-1-1 0,0 1 0,3 3 0,17 9 0,-8-9 0,1 0 0,-1-1 0,1-1 0,29 3 0,-36-5 0,0-1 0,0 0 0,1 0 0,-1 0 0,0-1 0,0-1 0,0 1 0,0-1 0,0-1 0,12-5 0,-17 6 0,1 0 0,-1-1 0,0 0 0,0 0 0,-1 0 0,1 0 0,-1 0 0,1 0 0,-1-1 0,0 1 0,0-1 0,0 0 0,-1 1 0,0-1 0,1 0 0,-1 0 0,0 0 0,-1 0 0,1-5 0,1-11 0,-1 0 0,-3-33 0,1 31 0,1 12 0,-1 1 0,1 0 0,-2-1 0,1 1 0,-1 0 0,-1 0 0,0 0 0,-4-10 0,5 15 0,-1 0 0,0 0 0,0 0 0,0 0 0,-1 0 0,1 1 0,-1-1 0,0 1 0,1 0 0,-2 0 0,1 0 0,0 1 0,-1 0 0,1 0 0,-1 0 0,1 0 0,-6-1 0,-7-2 0,0 0 0,-1 1 0,1 1 0,-1 1 0,0 0 0,0 2 0,0 0 0,-32 4 0,38-2 0,0 1 0,0 1 0,0 0 0,1 0 0,0 1 0,0 0 0,0 1 0,0 1 0,1-1 0,0 2 0,1-1 0,-1 1 0,-13 16 0,-19 25 0,-68 70 0,99-107 0,1 1 0,1 0 0,0 1 0,0 0 0,2 0 0,0 0 0,0 1 0,1 0 0,1 0 0,1 1 0,0 0 0,1 0 0,1 0 0,0 0 0,1 28 0,2-39 0,-1-1 0,1 1 0,1 0 0,-1-1 0,1 1 0,0-1 0,0 0 0,0 0 0,1 1 0,-1-1 0,1-1 0,0 1 0,0 0 0,0-1 0,1 1 0,-1-1 0,1 0 0,0 0 0,0-1 0,0 1 0,0-1 0,0 0 0,0 0 0,1 0 0,-1 0 0,1-1 0,7 2 0,11 2 0,-1-1 0,1 0 0,0-2 0,28-1 0,-22-1 0,-10 0 0,0 0 0,-1 1 0,1 0 0,30 8 0,-44-7 0,0-1 0,0 1 0,0 0 0,0 1 0,0-1 0,-1 1 0,0 0 0,1 0 0,-1 0 0,0 1 0,0-1 0,-1 1 0,1 0 0,-1 0 0,0 0 0,0 1 0,0-1 0,0 1 0,-1-1 0,0 1 0,2 7 0,1 10 0,-1-1 0,-1 1 0,-1 0 0,-1 0 0,-1-1 0,-4 36 0,1 3 0,3-48 0,-1 0 0,-1 0 0,0 0 0,0-1 0,-2 1 0,1-1 0,-1 1 0,-1-1 0,0 0 0,0-1 0,-1 1 0,-9 11 0,9-15 0,1 0 0,-1-1 0,-1 1 0,1-1 0,-1 0 0,-1-1 0,1 0 0,-1 0 0,1 0 0,-1-1 0,0 0 0,-1-1 0,1 0 0,-1 0 0,0-1 0,-15 3 0,13-4 0,0 1 0,0-2 0,0 0 0,-1 0 0,1-1 0,0-1 0,0 1 0,-17-6 0,20 3 0,0 1 0,0-2 0,0 1 0,1-1 0,-1 0 0,1 0 0,0-1 0,1 0 0,-1 0 0,1-1 0,-6-8 0,6 7 0,0 0 0,1 0 0,1 0 0,-1-1 0,1 0 0,0 0 0,1 0 0,0 0 0,1 0 0,0-1 0,-1-10 0,3 18 0,-1-1 0,1 0 0,0 0 0,1 0 0,-1 0 0,0 0 0,1 0 0,0 1 0,0-1 0,0 0 0,0 0 0,0 1 0,0-1 0,0 0 0,1 1 0,0 0 0,-1-1 0,1 1 0,0 0 0,0 0 0,0 0 0,0 0 0,1 0 0,-1 0 0,1 1 0,-1-1 0,1 1 0,-1 0 0,1-1 0,0 1 0,-1 0 0,1 1 0,0-1 0,0 0 0,0 1 0,0 0 0,-1-1 0,1 1 0,4 1 0,2-1 0,0 1 0,0 0 0,0 0 0,0 1 0,-1 0 0,1 1 0,0 0 0,-1 0 0,0 1 0,0 0 0,0 1 0,0-1 0,-1 2 0,1-1 0,-1 1 0,-1 0 0,1 0 0,-1 1 0,10 13 0,7 11 0,-1 1 0,-2 1 0,20 45 0,28 80 0,-42-92 0,65 116 0,-79-164 0,0 0 0,0-1 0,2 0 0,0-1 0,1-1 0,0 0 0,1-1 0,1-1 0,0 0 0,30 16 0,-42-26-47,0 0 0,0-1 0,1 0 0,-1 1 0,1-2 0,-1 1 0,1-1 0,-1 0 0,1 0-1,0 0 1,0-1 0,-1 0 0,1 0 0,0 0 0,0-1 0,-1 0 0,1 0 0,0 0 0,-1-1 0,1 0 0,-1 0 0,0 0-1,1-1 1,-1 1 0,0-1 0,-1-1 0,1 1 0,5-5 0,21-27-6779</inkml:trace>
</inkml:ink>
</file>

<file path=xl/ink/ink4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09:40:08.589"/>
    </inkml:context>
    <inkml:brush xml:id="br0">
      <inkml:brushProperty name="width" value="0.1" units="cm"/>
      <inkml:brushProperty name="height" value="0.1" units="cm"/>
      <inkml:brushProperty name="color" value="#008C3A"/>
    </inkml:brush>
  </inkml:definitions>
  <inkml:trace contextRef="#ctx0" brushRef="#br0">292 0 9830,'1'1'55,"1"-1"0,0 1 0,-1-1 0,1 1 0,-1 0 1,1 0-1,-1 0 0,1 0 0,-1 0 0,0 0 0,1 0 0,-1 0 0,0 0 0,0 1 0,0-1 0,0 0 0,0 1 0,0-1 1,0 1-1,1 2 0,17 38 417,-15-32-255,3 8 85,-1 1-1,-1 0 1,0 1 0,-2-1-1,3 37 1,-7 104 1337,-2-76-746,3 424 4022,0-485-4869</inkml:trace>
  <inkml:trace contextRef="#ctx0" brushRef="#br0" timeOffset="2302.35">1 582 9830,'4'1'88,"0"-1"0,0 1 0,0 0 0,1 0 0,-1 0 0,0 1 1,0-1-1,0 1 0,0 0 0,-1 0 0,1 0 0,-1 1 0,1-1 0,-1 1 0,0 0 0,1 0 0,-2 0 0,1 0 0,0 1 0,-1-1 0,4 6 0,5 10 197,-1 0 0,-1 1 0,8 23 0,-1-1 413,26 57 332,-25-53 157,46 82 1,38 76 974,-98-197-2105,-1-1 37,1-1 0,0 1 0,0-1-1,0 0 1,1 1 0,-1-1 0,1-1 0,0 1 0,9 7 0,-11-11-78,0 0 0,0 0 1,0 0-1,-1 0 0,1-1 0,0 1 0,0-1 1,0 1-1,0-1 0,0 1 0,0-1 1,0 0-1,0 0 0,0 0 0,0 0 0,0-1 1,0 1-1,0-1 0,0 1 0,0-1 1,0 1-1,0-1 0,-1 0 0,1 0 0,0 0 1,0 0-1,-1 0 0,1 0 0,0-1 1,-1 1-1,0 0 0,1-1 0,-1 1 0,2-3 1,7-10-200,0 0 0,-1-1 1,0-1-1,-1 1 0,-1-1 0,0 0 1,-1-1-1,6-29 0,16-40-307,91-166-1053,-73 150 1115,-35 82 403</inkml:trace>
</inkml:ink>
</file>

<file path=xl/ink/ink4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18:06.900"/>
    </inkml:context>
    <inkml:brush xml:id="br0">
      <inkml:brushProperty name="width" value="0.035" units="cm"/>
      <inkml:brushProperty name="height" value="0.035" units="cm"/>
      <inkml:brushProperty name="color" value="#E71224"/>
    </inkml:brush>
  </inkml:definitions>
  <inkml:trace contextRef="#ctx0" brushRef="#br0">0 379 24575,'2'29'0,"0"-1"0,2 1 0,1-2 0,1 1 0,14 38 0,-20-66 0,0 0 0,0 1 0,0-1 0,0 0 0,0 0 0,0 0 0,0 1 0,0-1 0,0 0 0,0 0 0,0 0 0,0 0 0,0 1 0,0-1 0,0 0 0,0 0 0,0 0 0,0 1 0,0-1 0,0 0 0,0 0 0,0 0 0,0 1 0,0-1 0,1 0 0,-1 0 0,0 0 0,0 0 0,0 0 0,0 1 0,0-1 0,1 0 0,-1 0 0,0 0 0,0 0 0,0 0 0,0 0 0,1 0 0,-1 0 0,0 0 0,0 1 0,0-1 0,1 0 0,-1 0 0,0 0 0,0 0 0,0 0 0,1 0 0,-1 0 0,0 0 0,0 0 0,0 0 0,1-1 0,-1 1 0,0 0 0,0 0 0,0 0 0,1 0 0,2-16 0,-1-25 0,-2 2 0,-1 3 0,7-65 0,-4 88 0,1 1 0,0-2 0,1 2 0,0 0 0,0-1 0,2 2 0,-1 0 0,13-20 0,-6 15 0,0 0 0,0 0 0,1 2 0,1-1 0,1 2 0,30-22 0,-34 28 0,0 1 0,1-1 0,0 1 0,0 1 0,0 1 0,1 0 0,0 1 0,0 0 0,0 0 0,0 2 0,16-1 0,-23 2 0,0 0 0,0 0 0,0 0 0,-2 1 0,2 0 0,0 0 0,0 1 0,-1 0 0,1-1 0,-1 2 0,9 4 0,-10-5 0,-1 1 0,1 0 0,-1 1 0,0 0 0,0-1 0,0 1 0,-1 0 0,1 0 0,-1 0 0,0 0 0,0 0 0,0 0 0,-1 1 0,0 0 0,2 6 0,2 11 0,-2-1 0,0 1 0,-2 0 0,0-1 0,-1 1 0,-1 0 0,-1-1 0,-8 34 0,9-52 0,-1 0 0,0 0 0,0-1 0,0 1 0,0 0 0,-1-1 0,1 1 0,0 0 0,-1-1 0,0 0 0,0 0 0,1 0 0,-1 0 0,-1 0 0,1-1 0,0 0 0,0 1 0,0-1 0,-1 0 0,1-1 0,0 1 0,-1 0 0,1-1 0,-1 0 0,1 0 0,-1 0 0,-3-1 0,-7 1 0,0-1 0,-1-1 0,1-1 0,0 1 0,-15-7 0,25 8 0,1 0 0,-1 0 0,0-1 0,0 1 0,0 1 0,1-1 0,-9 1 0,3 9 0,14 11 0,5-5 0,1 0 0,0 0 0,1-2 0,1 0 0,0 0 0,0-1 0,30 19 0,0 4 0,-35-27-114,1 1 1,0-2-1,1 0 0,0-1 0,0 0 1,0 0-1,1 0 0,0-1 0,0-1 1,0 0-1,15 3 0,-7-5-6712</inkml:trace>
  <inkml:trace contextRef="#ctx0" brushRef="#br0" timeOffset="1527.77">708 604 24575,'-1'16'0,"2"1"0,0-1 0,0 2 0,2-2 0,0 1 0,6 17 0,-8-30 0,1 0 0,0 0 0,0 0 0,0 0 0,0-1 0,1 2 0,-1-2 0,1 1 0,0-1 0,0 0 0,0 0 0,0 0 0,1-1 0,-1 1 0,1-1 0,0 0 0,0 0 0,0 1 0,0-1 0,0-1 0,0 0 0,0 1 0,0-2 0,1 1 0,-1 0 0,0-1 0,1 0 0,6 0 0,-7 0 0,0 0 0,0 0 0,0-1 0,0 1 0,0-1 0,0 0 0,0 0 0,0-1 0,0 1 0,0-2 0,-1 1 0,1 0 0,0 0 0,-1 0 0,0 0 0,1-1 0,-1 0 0,0 1 0,-1-1 0,1 0 0,0-1 0,-1 1 0,0-1 0,1 0 0,-1 1 0,-1-1 0,1 0 0,0 0 0,-1 1 0,0-1 0,1-6 0,1-10 0,0-1 0,-1 0 0,-1 0 0,-4-40 0,2 43 0,1 31-118,0-4 160,0 1 0,1-2 0,0 1 0,0 0 0,3 9 0,-3-15-121,1 1 0,-1-1 0,0 0 0,1 1 0,0-1 1,0 1-1,0-1 0,0 0 0,1-1 0,-1 1 0,1 0 0,-1-1 0,1 1 0,0-1 1,0 0-1,0 0 0,0 0 0,5 2 0,16 5-6747</inkml:trace>
  <inkml:trace contextRef="#ctx0" brushRef="#br0" timeOffset="2791.26">1148 529 24575,'0'1'0,"0"-1"0,0 1 0,1 0 0,-1-1 0,0 1 0,0-1 0,0 1 0,0 0 0,0-1 0,0 1 0,0-1 0,-1 1 0,1 0 0,0-1 0,0 1 0,0-1 0,0 1 0,-1-1 0,1 1 0,0-1 0,-1 1 0,1-1 0,0 1 0,-1-1 0,1 1 0,-1-1 0,1 1 0,-1-1 0,1 0 0,-1 1 0,1-1 0,-1 0 0,1 1 0,-1-1 0,1 0 0,-1 0 0,1 0 0,-1 1 0,0-1 0,1 0 0,-1 0 0,1 0 0,-1 0 0,0 0 0,1 0 0,-2 0 0,1-1 0,-1 1 0,1-1 0,-1 0 0,1 0 0,-1 0 0,1 0 0,0 0 0,0 0 0,-1 0 0,1 0 0,0 0 0,0 0 0,0-1 0,0 1 0,0 0 0,0-1 0,0-2 0,-2-1 0,1-1 0,0 1 0,0-1 0,1 1 0,-1-2 0,1 1 0,1 1 0,-1-1 0,1 0 0,0 0 0,0 0 0,1 0 0,-1 0 0,1 0 0,1 1 0,2-11 0,-2 13 0,-1 0 0,1 0 0,0 1 0,0-1 0,1 0 0,-1 1 0,1-1 0,-1 1 0,1 0 0,0-1 0,0 1 0,-1 0 0,2 0 0,-1 1 0,0-1 0,0 1 0,0 0 0,1 0 0,-1 0 0,1 0 0,-1 0 0,0 1 0,1 0 0,-1 0 0,1 0 0,-1 0 0,1 0 0,4 1 0,-4 0 6,0 0 0,1 0 0,-1 0 0,0 0 0,0 1 0,0 0 0,0-1 0,0 2 0,0-1 0,0 1 0,-1 0 0,1-1 0,-1 1 0,1 0 0,-1 0 0,-1 1 0,0-1 0,1 1 0,4 7 0,0 2-303,0 1 0,-1 1 0,0-1 0,4 20 0,-3-9-6529</inkml:trace>
  <inkml:trace contextRef="#ctx0" brushRef="#br0" timeOffset="4096.96">1538 553 24575,'0'-9'0,"0"-1"0,0-1 0,2 1 0,-1 0 0,1 1 0,0-2 0,1 2 0,0-1 0,1 0 0,0 1 0,6-10 0,-7 14 0,0 1 0,1 0 0,-1 0 0,1 1 0,0 0 0,0-1 0,0 1 0,0 0 0,0 0 0,1 0 0,-1 1 0,1 0 0,0 0 0,0 0 0,0 1 0,0-1 0,0 1 0,0 0 0,0 1 0,0-1 0,0 1 0,0 0 0,8 1 0,-8 0 0,-1 0 0,0 1 0,1-1 0,-1 1 0,0-1 0,0 1 0,0 0 0,0 1 0,0 0 0,-1 0 0,1 0 0,-1 0 0,1 0 0,-1 0 0,0 0 0,0 1 0,-1-1 0,1 1 0,-1 1 0,1-1 0,-1 0 0,-1 0 0,3 6 0,5 14 0,-1 1 0,9 48 0,-16-68 0,3 30 0,6 20 0,-10-54-32,0-1-1,0 1 1,0 0-1,0-1 1,1 1-1,-1 0 1,0-1-1,1 1 1,-1-1-1,1 1 1,-1-1-1,1 1 1,-1-1-1,1 1 1,-1-1-1,1 0 1,-1 1-1,1-1 1,0 0-1,-1 1 1,1-1-1,0 0 1,-1 0-1,1 1 1,0-1-1,-1 0 1,1 0-1,0 0 1,-1 0-1,1 0 1,0 0-1,-1 0 1,1 0-1,0 0 1,-1 0-1,1-1 1,0 1-1,-1 0 0,1 0 1,0-1-1,0 1 1,14-9-6794</inkml:trace>
  <inkml:trace contextRef="#ctx0" brushRef="#br0" timeOffset="4808.34">2027 354 24575,'-9'0'0,"-6"0"0,-1 5 0,2 5 0,4 5 0,3 5 0,3 3 0,3 0 0,0-1-8191</inkml:trace>
  <inkml:trace contextRef="#ctx0" brushRef="#br0" timeOffset="6241.92">1978 379 24575,'0'4'0,"0"7"0,0 8 0,0 10 0,0 9 0,0 2 0,0 3 0,4-2 0,2 0 0,3-2 0,1-4 0,-2-11 0,-2-15 0,-2-13 0,-1-5-8191</inkml:trace>
  <inkml:trace contextRef="#ctx0" brushRef="#br0" timeOffset="7960.51">1880 106 24575,'4'0'0,"6"0"0,5 0 0,4 0 0,3 0 0,7-4 0,1-2 0,-7 1 0,-13 1 0</inkml:trace>
  <inkml:trace contextRef="#ctx0" brushRef="#br0" timeOffset="9855.22">2246 628 24575,'-2'-73'0,"0"47"0,1-1 0,1-1 0,2 1 0,0 0 0,10-40 0,-11 63 0,0 0 0,0 0 0,1 0 0,0 1 0,0-1 0,0 1 0,0-2 0,0 2 0,1 0 0,-1 0 0,1 0 0,0 0 0,0 0 0,0 0 0,0 1 0,1 0 0,-1-1 0,1 1 0,-1 1 0,1-2 0,0 1 0,0 1 0,0 0 0,0 0 0,7-1 0,-6 1 0,0 1 0,-1 1 0,1-1 0,0 1 0,-1-1 0,1 1 0,-1 1 0,0-1 0,1 0 0,-1 2 0,0-1 0,0 0 0,1 1 0,-1-1 0,-1 1 0,1 0 0,0 0 0,-1 0 0,1 0 0,-1 0 0,0 1 0,4 6 0,1 3 0,0 2 0,-1-1 0,0 0 0,-1 2 0,-1-1 0,0 1 0,-1-1 0,-1 1 0,0 0 0,-1 0 0,-1 0 0,-1 24 0,0-36-151,0 2-1,0-2 0,0 1 0,1-1 1,-1 1-1,1-1 0,1 0 1,2 9-1,5 3-6674</inkml:trace>
  <inkml:trace contextRef="#ctx0" brushRef="#br0" timeOffset="11466.05">2930 305 24575,'-50'-7'0,"44"6"0,-1-1 0,1 1 0,0 0 0,0 1 0,-1-1 0,1 1 0,0 0 0,-1 1 0,1 0 0,0 0 0,-7 2 0,6-1 0,0 0 0,1 1 0,-1 0 0,1 0 0,0 1 0,0-1 0,0 1 0,0 2 0,1-2 0,-1 1 0,1 0 0,1 0 0,-8 10 0,7-7 0,1 0 0,1 0 0,-1 1 0,1-1 0,1 1 0,0-1 0,0 2 0,0-1 0,1-1 0,0 16 0,0-13 0,1 1 0,0-1 0,1 0 0,0 1 0,0-1 0,5 15 0,-5-23 0,0 0 0,0-1 0,0 1 0,1-1 0,-1 0 0,1 1 0,0-1 0,0 0 0,0 0 0,0 0 0,0 0 0,0 1 0,0-1 0,1-1 0,-1 1 0,1-1 0,-1 1 0,1-1 0,-1 0 0,1 0 0,0 0 0,0-1 0,-1 1 0,1-1 0,0 1 0,0-1 0,0 0 0,0 0 0,5-1 0,-3 1 0,0 0 0,-1 0 0,1-1 0,0 1 0,-1-1 0,1-1 0,0 1 0,-1 0 0,0-1 0,1 0 0,-1 0 0,0-1 0,0 0 0,0 0 0,0 1 0,-1-1 0,1 0 0,-1-1 0,1 1 0,-1-1 0,0 1 0,-1-1 0,1-1 0,-1 1 0,1 0 0,1-6 0,1-6 0,0 0 0,-1-1 0,-1 1 0,-1-2 0,0 2 0,-1-19 0,-1 33 0,0 0 0,0 0 0,0 0 0,1 0 0,-1 0 0,0-1 0,1 1 0,-1 0 0,1 0 0,0 0 0,0 0 0,0 1 0,1-3 0,-2 3 0,1 1 0,-1 0 0,0 0 0,1 0 0,-1-1 0,1 1 0,-1 0 0,1 0 0,-1 0 0,0 0 0,1-1 0,-1 1 0,1 0 0,-1 0 0,1 0 0,-1 0 0,1 0 0,-1 0 0,1 0 0,-1 1 0,0-1 0,1 0 0,-1 0 0,1 0 0,-1 0 0,1 0 0,-1 1 0,0-1 0,1 0 0,-1 0 0,0 1 0,1-1 0,-1 0 0,1 1 0,2 2 0,0 1 0,0-1 0,-1 0 0,1 2 0,-1-1 0,0 0 0,0 0 0,-1 0 0,1 0 0,1 9 0,28 106 0,31 146 0,-52-207 0,-2-1 0,0 101 0,-7-132 0,-1-14 0,0-1 0,0 1 0,-1 0 0,-1-1 0,-3 17 0,4-25 0,0 0 0,-1 1 0,1-1 0,-1 0 0,1 0 0,-1-1 0,0 1 0,0-1 0,0 1 0,-1-1 0,1 0 0,-1 1 0,1-1 0,-1 0 0,1-1 0,-1 2 0,0-1 0,0-1 0,0 0 0,0 1 0,0-1 0,0-1 0,-6 2 0,-12 1-114,1-1 1,0-1-1,-1-1 0,0-1 0,1 0 1,-1-2-1,0 0 0,1-2 0,0-1 1,0 0-1,-31-14 0,25 6-6712</inkml:trace>
  <inkml:trace contextRef="#ctx0" brushRef="#br0" timeOffset="12777.18">3687 131 24575,'0'4'0,"0"6"0,0 5 0,0 8 0,0 6 0,0 5 0,0 6 0,0 0 0,0-2 0,0-4 0,0-3 0,0-8-8191</inkml:trace>
  <inkml:trace contextRef="#ctx0" brushRef="#br0" timeOffset="13645.72">3296 205 24575,'3'-2'0,"1"-1"0,-1 1 0,1 0 0,0 0 0,0 0 0,0 0 0,0 1 0,0-2 0,0 2 0,0 0 0,1 1 0,5-1 0,58-2 0,-47 3 0,88 2-57,37-1 214,-126-2-401,-1-1 0,1-1-1,-2 0 1,2-2 0,20-7 0,-19 3-6582</inkml:trace>
  <inkml:trace contextRef="#ctx0" brushRef="#br0" timeOffset="14972.21">3955 305 24575,'-1'13'0,"-1"2"0,0-2 0,-1 1 0,-1-1 0,-9 25 0,9-29 0,0 1 0,0-1 0,1 0 0,1 1 0,-1 0 0,2 0 0,-1-1 0,1 2 0,1-1 0,0 0 0,0 0 0,3 17 0,-2-24 0,0 1 0,1-1 0,-1-1 0,0 1 0,1 0 0,0 0 0,0-1 0,0 1 0,0-1 0,0 1 0,0-1 0,1 0 0,-1 0 0,1 0 0,-1 1 0,1-2 0,0 1 0,0-1 0,0 1 0,0-1 0,0 0 0,0 0 0,0 0 0,0 0 0,0-1 0,0 1 0,1-1 0,-1 0 0,0 0 0,0 0 0,4-1 0,-3 1 0,0-1 0,0 1 0,0-1 0,-1 0 0,1 0 0,0-1 0,0 1 0,-1-1 0,1 1 0,-1-1 0,1-1 0,-1 1 0,0-1 0,0 1 0,-1-1 0,1 0 0,0 1 0,-1-1 0,1 0 0,-1-1 0,0 1 0,0 0 0,0-2 0,0 2 0,1-5 0,2-15 0,-2 1 0,0-1 0,-1 0 0,-1 1 0,-1-2 0,-1 1 0,-2 1 0,-6-34 0,7 50 0,0 1 0,-1 0 0,0-2 0,0 2 0,0 0 0,0 1 0,-1-1 0,0 0 0,1 1 0,-1-1 0,0 1 0,-1 0 0,0 1 0,1-1 0,-2 1 0,-7-4 0,6 4 0,1-1 0,-1 1 0,0 0 0,0 1 0,0 0 0,0 1 0,-1-1 0,1 1 0,0 1 0,-1-1 0,1 1 0,0 1 0,-9 0 0,14 0-76,0-1 1,0 1-1,0 0 0,0-1 0,0 1 0,0 0 0,0 0 0,0 1 1,1-1-1,-1 0 0,0 0 0,1 1 0,-1 0 0,1 0 1,-1-1-1,1 1 0,-1 2 0,-6 12-6750</inkml:trace>
  <inkml:trace contextRef="#ctx0" brushRef="#br0" timeOffset="16426.82">4419 81 24575,'4'0'0,"1"4"0,1 15 0,-2 7 0,-1 13 0,-1 3 0,-1 4 0,-1-2 0,0-1 0,0-2 0,0-5 0,-5-8 0,0-9-8191</inkml:trace>
  <inkml:trace contextRef="#ctx0" brushRef="#br0" timeOffset="17249.23">4248 354 24575,'4'-4'0,"10"-1"0,7-1 0,7 2 0,-1-3 0,0-1 0,-1 2 0,4 1 0,0 2 0,0-3 0,-1 0 0,-2 0 0,-1 2 0,-1 1 0,-5 1-8191</inkml:trace>
  <inkml:trace contextRef="#ctx0" brushRef="#br0" timeOffset="28810.04">4956 231 24575,'-1'-1'0,"1"0"0,0 0 0,-1 0 0,1 0 0,0 0 0,-1 0 0,0 0 0,1 0 0,-1 1 0,1-2 0,-1 1 0,0 0 0,1 1 0,-1-1 0,0 0 0,0 1 0,0-1 0,0 1 0,1-1 0,-1 1 0,0 0 0,0-1 0,0 1 0,0 0 0,0-1 0,0 1 0,0 0 0,0 0 0,0 0 0,0 0 0,-2 0 0,-33 0 0,35 0 0,-18 1 0,-2 2 0,1 0 0,0 2 0,0 0 0,-26 9 0,41-12 0,0 0 0,-1 1 0,1-1 0,0 2 0,0-1 0,1 1 0,-1-1 0,1 1 0,0 0 0,-1 0 0,2 0 0,-1 0 0,0 2 0,1-1 0,0-1 0,0 1 0,0 0 0,1 1 0,0-1 0,0 1 0,0 0 0,1-1 0,-2 10 0,1 2 0,1-1 0,0 1 0,1-1 0,1 1 0,1-1 0,5 26 0,-6-38 0,0 1 0,1-1 0,-1 0 0,1 1 0,0-1 0,0 0 0,1 1 0,-1-1 0,1-1 0,0 1 0,0-1 0,0 1 0,0-1 0,1 0 0,0 0 0,-1 0 0,1 0 0,0 0 0,0-1 0,0 0 0,1 0 0,-1 0 0,0-1 0,1 1 0,-1-1 0,10 1 0,-2 0 0,0-1 0,1-1 0,0 0 0,-1 0 0,1-1 0,-1 0 0,13-4 0,-19 3 0,0 0 0,0-1 0,0 1 0,0-1 0,0-1 0,-1 0 0,1 1 0,-1-1 0,0 0 0,0 0 0,0-1 0,-1 0 0,1-1 0,6-8 0,-1-5 0,0 0 0,-1-1 0,-1 1 0,-1-1 0,-1 0 0,0-1 0,-2 0 0,0 1 0,-1-2 0,-1-34 0,-2 54 0,0 0 0,0 0 0,0 1 0,0-1 0,-1 0 0,1 0 0,0 1 0,-1-1 0,0 0 0,1 1 0,-1-1 0,0 1 0,0-1 0,0 0 0,0 1 0,0 0 0,0-1 0,0 1 0,-1 0 0,1-1 0,0 0 0,-1 1 0,1 0 0,-1 0 0,0 1 0,1-1 0,-1 0 0,1 0 0,-1 1 0,0-1 0,0 1 0,-2-1 0,1 1 0,0-1 0,0 1 0,0 0 0,0 1 0,0-1 0,0 0 0,0 1 0,0 0 0,0-1 0,1 1 0,-1 0 0,0 1 0,0-1 0,1 0 0,-1 1 0,1 0 0,-1 0 0,1 0 0,-4 4 0,0 1 0,0 1 0,1 1 0,0-1 0,0 1 0,1-1 0,0 2 0,1-1 0,-1 0 0,2 1 0,-1 0 0,2-1 0,-1 14 0,-1 16 0,5 71 0,-1-63 0,-1-42 0,0 0 0,1 0 0,-1-1 0,0 1 0,1 0 0,0-1 0,1 2 0,-1-2 0,1 0 0,0 0 0,0 1 0,1-1 0,-1 0 0,1-1 0,0 1 0,0 1 0,0-2 0,0 1 0,7 4 0,-4-4 0,0-1 0,-1 0 0,1-1 0,0 1 0,0 0 0,0-2 0,0 1 0,1-1 0,-1 0 0,0 0 0,1 0 0,-1-1 0,0 0 0,11-2 0,1-1-151,-2 0-1,1-3 0,0 1 0,-1-1 1,0-1-1,0 0 0,-1-2 1,24-16-1,9-8-6674</inkml:trace>
  <inkml:trace contextRef="#ctx0" brushRef="#br0" timeOffset="30991.41">5322 504 24575,'9'0'0,"0"0"0,0-1 0,0 0 0,0 0 0,-1-1 0,1-1 0,0 1 0,-1-2 0,0 1 0,1-1 0,-1 0 0,-1 0 0,1-1 0,-2 0 0,2-2 0,-2 2 0,1-1 0,0 0 0,10-15 0,-10 10 0,0 0 0,-1-1 0,0 0 0,0 0 0,-2-1 0,1 1 0,-2-1 0,1 0 0,-2 0 0,0-1 0,0 1 0,-1-27 0,-1 7 0,1 15 0,-1 1 0,0-1 0,-2 1 0,0-1 0,0 2 0,-2-2 0,0 1 0,-9-22 0,13 38 0,0-1 0,0 1 0,-1 0 0,1 0 0,0 1 0,-1-1 0,1 0 0,-1 0 0,1 0 0,-1 0 0,0 1 0,1-1 0,-1 0 0,0 0 0,1 1 0,-1-1 0,0 1 0,0-1 0,0 1 0,0-1 0,1 1 0,-1-1 0,0 1 0,0 0 0,0-1 0,0 1 0,0 0 0,0 0 0,-2 0 0,2 1 0,0-1 0,0 1 0,-1 0 0,1 1 0,0-1 0,0 0 0,0 0 0,0 0 0,1 1 0,-1-1 0,0 0 0,0 1 0,1-1 0,-1 1 0,1 0 0,-1 1 0,-13 66 0,9-17 0,2 0 0,2-1 0,2 2 0,9 53 0,-9-101 0,0 0 0,0 0 0,1 1 0,-1-1 0,1 0 0,0-1 0,1 1 0,-1-1 0,1 1 0,0 0 0,0-1 0,0 0 0,0 0 0,1 0 0,7 6 0,-5-6 0,0 0 0,0-1 0,0-1 0,0 1 0,1-1 0,-1 0 0,1-1 0,-1 1 0,1-1 0,0-1 0,0 1 0,6-1 0,77-6-1365,-52-1-5461</inkml:trace>
  <inkml:trace contextRef="#ctx0" brushRef="#br0" timeOffset="32522.68">6128 231 24575,'0'0'0,"0"0"0,0 0 0,0 0 0,1 0 0,-1 0 0,0 0 0,0 0 0,1 0 0,-1 1 0,0-1 0,0 0 0,1 0 0,-1 0 0,0 0 0,0 0 0,1 0 0,-1 0 0,0 0 0,0-1 0,1 1 0,-1 0 0,0 0 0,0 0 0,1 0 0,-1 0 0,0 0 0,0 0 0,1-1 0,-1 1 0,0 0 0,0 0 0,0 0 0,0 0 0,1-1 0,-1 1 0,0 0 0,0 0 0,0 0 0,0-1 0,0 1 0,1 0 0,-1 0 0,0-1 0,0 1 0,0 0 0,0 0 0,0-1 0,0 1 0,0 0 0,0 0 0,0-1 0,0 1 0,0 0 0,0 0 0,0-1 0,0 1 0,0 0 0,-1 0 0,1-1 0,0 1 0,0 0 0,0 0 0,0-1 0,-16-10 0,-1 7 0,0 1 0,-1 1 0,1 1 0,-1 0 0,1 1 0,0 1 0,0 0 0,-29 7 0,40-5 0,0 0 0,0 1 0,0 1 0,0-1 0,1 0 0,-1 1 0,1 0 0,0 0 0,1 0 0,-1 2 0,1-2 0,0 1 0,0 0 0,1 0 0,0 1 0,-5 13 0,0 1 0,1 1 0,2 0 0,0 1 0,-2 22 0,6-43 0,0 0 0,1 0 0,0 0 0,0 0 0,-1 0 0,1 1 0,0 0 0,1-1 0,-1 0 0,0 0 0,0 0 0,1 0 0,0 0 0,-1 0 0,1 0 0,0 0 0,0-1 0,0 1 0,0 0 0,0 0 0,0-1 0,1 1 0,-1 0 0,0-1 0,1 2 0,-1-2 0,1 0 0,0 0 0,3 3 0,2-2 0,0-1 0,-1 1 0,1-1 0,1 0 0,-1-1 0,0 0 0,10 0 0,41 3 0,-56-2 0,0-1 0,0 1 0,0-1 0,0 1 0,0 0 0,-1 0 0,1 0 0,0 0 0,0 0 0,-1 0 0,1 1 0,-1-1 0,1 0 0,-1 2 0,1-2 0,-1 1 0,0 0 0,0-1 0,0 1 0,0 0 0,0 0 0,0 3 0,0-3 0,0 1 0,-1-1 0,0 1 0,0 0 0,0-1 0,0 2 0,0-2 0,0 1 0,-1 4 0,1 15 0,1-21 0,0-1 0,0 1 0,1 0 0,-1 0 0,0 0 0,0-1 0,1 1 0,-1 0 0,0-1 0,1 1 0,-1-1 0,1 0 0,-1 1 0,0-1 0,1 0 0,-1 0 0,1 0 0,2 0 0,40-4-1365,-22-2-5461</inkml:trace>
</inkml:ink>
</file>

<file path=xl/ink/ink4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17:33.507"/>
    </inkml:context>
    <inkml:brush xml:id="br0">
      <inkml:brushProperty name="width" value="0.035" units="cm"/>
      <inkml:brushProperty name="height" value="0.035" units="cm"/>
      <inkml:brushProperty name="color" value="#E71224"/>
    </inkml:brush>
  </inkml:definitions>
  <inkml:trace contextRef="#ctx0" brushRef="#br0">422 1197 24575,'-3'-3'0,"-1"0"0,0 0 0,-1 1 0,1 0 0,0-1 0,-1 2 0,1-1 0,-1 0 0,1 1 0,-1 0 0,0 0 0,-9 0 0,-65 0 0,54 1 0,-1 0 0,6-1 0,0 1 0,0 1 0,0 1 0,0 0 0,-26 8 0,42-8 0,-1-1 0,1 1 0,0 0 0,-1 0 0,1 0 0,0 1 0,0 0 0,1-1 0,-1 1 0,1 1 0,-1-1 0,1 0 0,0 1 0,0 0 0,1-1 0,-1 1 0,1 0 0,-1 0 0,1 1 0,1-1 0,-1 0 0,1 1 0,-1-1 0,1 1 0,1 0 0,-1-1 0,1 1 0,-1 6 0,1 1 0,-1 2 0,0 0 0,1-1 0,1 1 0,3 15 0,-4-26 0,1 0 0,0-1 0,-1 1 0,1 0 0,0-1 0,0 1 0,1 0 0,-1-1 0,0 1 0,1-1 0,0 0 0,-1 0 0,1 0 0,0 0 0,0 0 0,0 0 0,0 0 0,0-1 0,1 1 0,-1-1 0,1 1 0,-1-1 0,1 0 0,-1 0 0,1 0 0,4 1 0,13 0 0,-2-1 0,2 0 0,33-4 0,32 0 0,-82 3 0,-2 0 0,1 1 0,0-1 0,1 0 0,-1 1 0,0-1 0,0 1 0,0-1 0,0 1 0,1 0 0,-1 0 0,0 0 0,0 0 0,-1 1 0,1-1 0,0 0 0,0 1 0,-1-1 0,1 1 0,-1 0 0,1-1 0,-1 1 0,1 0 0,-1 0 0,0 0 0,0 0 0,0 0 0,0 0 0,-1 0 0,1 0 0,-1 1 0,1-1 0,-1 0 0,1 0 0,-1 0 0,0 1 0,0-1 0,0 0 0,-1 0 0,1 1 0,0-1 0,-1 0 0,-1 4 0,0 2 0,0 0 0,-1-1 0,0 1 0,-1-1 0,1 1 0,-1-1 0,-1 0 0,1-1 0,-1 1 0,0-1 0,-7 7 0,-32 19-1365,23-20-5461</inkml:trace>
  <inkml:trace contextRef="#ctx0" brushRef="#br0" timeOffset="2559.21">617 1221 24575,'2'159'0,"-5"170"0,-6-282 0,9-45 0,0 0 0,-1 1 0,1-1 0,-1 0 0,0 0 0,0 0 0,0 0 0,0-1 0,0 1 0,0 0 0,0 0 0,0 0 0,0-1 0,0 1 0,-1-1 0,0 1 0,1-1 0,-3 2 0,3-3 0,1 0 0,-1 0 0,1-1 0,-1 1 0,0 0 0,1 0 0,-1 0 0,1-1 0,-1 1 0,1 0 0,-1-1 0,1 1 0,-1 0 0,1-1 0,0 1 0,-1 0 0,1-1 0,0 1 0,-1-1 0,1 1 0,0-1 0,-1 1 0,1-1 0,0 1 0,0-1 0,-1 1 0,1-1 0,0 0 0,0 1 0,0-1 0,0 1 0,0-2 0,-4-22 0,4 22 0,-3-28 0,2 1 0,0-2 0,7-47 0,-5 68 0,0 0 0,1 0 0,1 1 0,0-1 0,0 1 0,0-1 0,1 1 0,1 0 0,-1 0 0,1 1 0,0-1 0,1 1 0,1 1 0,10-12 0,-15 17 0,1 0 0,-1 0 0,0 0 0,1 0 0,-1 1 0,1-1 0,-1 1 0,1 0 0,0 0 0,0 0 0,-1 0 0,1 0 0,0 0 0,0 1 0,0-1 0,0 1 0,0 0 0,0 0 0,0 0 0,0 0 0,0 1 0,4 0 0,-4 1 0,0-1 0,0 1 0,0 0 0,0 0 0,-1 0 0,1 0 0,-1 1 0,0-1 0,1 1 0,-1-1 0,0 1 0,0 0 0,-1 0 0,1 0 0,-1 0 0,1 0 0,-1 0 0,0 0 0,1 5 0,17 102-1365,-13-77-5461</inkml:trace>
  <inkml:trace contextRef="#ctx0" brushRef="#br0" timeOffset="3998.81">1031 1391 24575,'-13'-1'0,"0"2"0,0-1 0,0 1 0,-1 1 0,-21 6 0,31-6 0,0 0 0,0 0 0,0 1 0,0-1 0,0 1 0,1-1 0,-1 1 0,1 0 0,0 0 0,0 0 0,0 1 0,0-1 0,0 1 0,1-1 0,0 1 0,-1 0 0,2 0 0,-1 0 0,0 0 0,-1 9 0,-2 11 0,1 0 0,2 1 0,0 0 0,2-1 0,1 1 0,5 35 0,-6-56 0,0-1 0,1 0 0,-1 0 0,1 0 0,0 0 0,-1 0 0,1 0 0,1 0 0,-1 0 0,0 0 0,1 0 0,-1 0 0,1-1 0,0 1 0,0-1 0,0 1 0,0-1 0,1 0 0,-1 0 0,1 0 0,-1 0 0,1 0 0,0-1 0,-1 1 0,1-1 0,0 1 0,0-1 0,0 0 0,0 0 0,5 0 0,-3 0 0,-1-1 0,0 0 0,0-1 0,0 1 0,0-1 0,1 0 0,-1 0 0,0 0 0,0-1 0,0 1 0,0-1 0,0 0 0,0 0 0,-1-1 0,1 1 0,-1-1 0,1 1 0,-1-1 0,0 0 0,0 0 0,0-1 0,3-3 0,1-5 0,0 0 0,-1-1 0,-1 0 0,0 0 0,0-1 0,-1 1 0,-1 0 0,0-1 0,-1 0 0,-1 1 0,0-1 0,0 0 0,-2 0 0,-3-25 0,4 37-105,0-1 0,-1 0 0,0 1 0,1-1 0,-1 1 0,0-1 0,0 1 0,-1-1 0,1 1 0,0-1 0,-1 1 0,-1-2 0,-8-7-6721</inkml:trace>
  <inkml:trace contextRef="#ctx0" brushRef="#br0" timeOffset="6841.87">1251 1489 24575,'-1'-1'0,"1"0"0,-1 0 0,0 0 0,0 1 0,1-1 0,-1 0 0,0 0 0,0 1 0,0-1 0,0 0 0,0 1 0,0-1 0,-1 1 0,1-1 0,0 1 0,0-1 0,0 1 0,0 0 0,-1 0 0,1 0 0,0 0 0,0 0 0,0 0 0,-1 0 0,1 0 0,-1 0 0,1 1 0,-1 0 0,1 0 0,0 0 0,0 0 0,0 0 0,0 0 0,0 1 0,0-1 0,0 0 0,1 1 0,-1-1 0,0 0 0,1 1 0,-1-1 0,1 1 0,-1-1 0,1 2 0,-2 9 0,0-1 0,1 1 0,0 0 0,1 13 0,0-18 0,1-1 0,0 1 0,0 0 0,0 0 0,1 0 0,0-1 0,0 1 0,1-1 0,-1 1 0,1-1 0,1 0 0,7 12 0,-7-14 0,0 0 0,0 0 0,1-1 0,-1 0 0,1 1 0,-1-1 0,1-1 0,0 1 0,0-1 0,-1 0 0,1 0 0,1-1 0,-1 1 0,1-1 0,-1 0 0,11 0 0,-9 0 0,1-1 0,0 0 0,-1 0 0,1-1 0,0 0 0,-1 0 0,1 0 0,-1-1 0,0-1 0,1 1 0,-1-1 0,0 0 0,0-1 0,9-5 0,-12 5 0,0-1 0,1 1 0,-1-2 0,0 1 0,0 1 0,0-2 0,-1 1 0,0 0 0,0-1 0,0 0 0,0 1 0,-1-1 0,0 0 0,-1 0 0,1 0 0,-1-1 0,1-10 0,-2 19 0,0 1 0,0-1 0,0 0 0,0 0 0,1 0 0,-1 0 0,1 0 0,-1 0 0,1 0 0,0 0 0,0 0 0,0 0 0,0 0 0,0 0 0,1-1 0,-1 1 0,0 0 0,1-1 0,-1 1 0,4 2 0,1 0 0,0 0 0,1 0 0,-1-1 0,1 0 0,-1 0 0,12 3 0,-1-1 0,-1-1 0,0-1 0,1 0 0,1-1 0,25-1 0,-37-2 0,1 1 0,-1-2 0,0 1 0,0-1 0,0 0 0,0 0 0,0 0 0,0-1 0,-1 0 0,1 0 0,-1 0 0,0-1 0,0 0 0,0 0 0,-1 0 0,0-1 0,0 1 0,0-1 0,0 0 0,5-9 0,-5 7 0,-1 1 0,0-1 0,0 1 0,0-1 0,-1 0 0,0 0 0,-1 0 0,1 0 0,-1-1 0,-1 1 0,1 0 0,-1-1 0,-1 1 0,1 0 0,-1 0 0,0 0 0,-4-12 0,-5 0-1365,-2 7-5461</inkml:trace>
  <inkml:trace contextRef="#ctx0" brushRef="#br0" timeOffset="8788.61">2202 1318 24575,'0'4'0,"4"6"0,5 5 0,2 4 0,3 7 0,3 5 0,7-1 0,-1-1 0,-4 0 0,-1-6 0,0-3 0,2-4 0,1 3 0,2-2 0,-4-3-8191</inkml:trace>
  <inkml:trace contextRef="#ctx0" brushRef="#br0" timeOffset="9594.14">2543 1318 24575,'0'-4'0,"-4"-2"0,-6 5 0,-1 11 0,-3 11 0,-3 7 0,3 3 0,1 1 0,5-2 0,2-2 0,3-1 0,-6 3 0,-2 0 0,1 0 0,2-6-8191</inkml:trace>
  <inkml:trace contextRef="#ctx0" brushRef="#br0" timeOffset="11619.66">2738 1294 24575,'-5'0'0,"0"-1"0,0 2 0,0-1 0,0 1 0,0-1 0,0 2 0,0-1 0,0 0 0,0 1 0,1 0 0,-1 0 0,1 0 0,-1 1 0,1-1 0,0 1 0,0 0 0,0 0 0,0 1 0,-4 6 0,4-4 0,0 0 0,0 1 0,1-1 0,0 1 0,1 0 0,0 0 0,0 0 0,0 0 0,1 0 0,0 1 0,0-1 0,1 1 0,0 6 0,0 14 0,4 117 0,-3-143 0,-1 1 0,1 0 0,-1-1 0,1 1 0,0-1 0,0 1 0,1-1 0,-1 1 0,0-1 0,1 0 0,-1 0 0,1 1 0,0-1 0,0 0 0,0-1 0,0 1 0,0 0 0,0 0 0,0-1 0,0 1 0,0-1 0,1 0 0,-1 0 0,1 0 0,-1 0 0,1 0 0,0-1 0,-1 2 0,1-2 0,0 1 0,0-1 0,-1 0 0,1 0 0,0 0 0,-1 0 0,5-3 0,1 3 0,0-1 0,0 0 0,0-1 0,0 0 0,0 0 0,0-1 0,-1 0 0,1 0 0,-1-1 0,0 0 0,10-7 0,-11 5 0,0 0 0,0 0 0,-1 0 0,0-1 0,0 0 0,0 0 0,-1 0 0,0-1 0,0 1 0,-1-1 0,0 0 0,0 0 0,1-9 0,-1 0 0,-1 0 0,-1 0 0,0 1 0,-1-1 0,-4-29 0,4 44 0,0 0 0,0 0 0,0 0 0,-1 0 0,1 0 0,-1 1 0,1-1 0,-1 0 0,0 0 0,1 1 0,-1-1 0,0 0 0,0 1 0,0-1 0,0 1 0,0-1 0,-1 1 0,1-1 0,0 1 0,-1 0 0,1 0 0,-1 0 0,-1-1 0,2 2 0,0-1 0,1 1 0,-1 0 0,1 0 0,-1 0 0,0 0 0,1 0 0,-1 1 0,1-1 0,-1 0 0,0 0 0,1 0 0,-1 0 0,1 1 0,-1-1 0,1 0 0,-1 1 0,0-1 0,1 0 0,0 1 0,-1-1 0,1 1 0,-1-1 0,1 0 0,-1 2 0,-9 25 0,7-5 0,0 2 0,1-2 0,1 1 0,1 0 0,2-1 0,0 1 0,1-1 0,6 25 0,-8-44 5,0 0-1,0-1 1,0 1-1,1 0 0,-1 0 1,1-1-1,0 1 1,0-1-1,0 0 1,0 0-1,0 1 0,0-1 1,1 0-1,-1-1 1,1 1-1,-1 0 1,1-1-1,0 1 1,-1-1-1,1 0 0,0 0 1,0 0-1,0 0 1,0-1-1,0 1 1,5 0-1,-3-1-97,0 0 0,0-1 1,0 1-1,0-1 0,0 0 0,-1 0 0,1-1 0,0 1 1,0-1-1,-1 0 0,1 0 0,-1-1 0,0 1 1,1-1-1,4-4 0,8-9-6733</inkml:trace>
  <inkml:trace contextRef="#ctx0" brushRef="#br0" timeOffset="15805.54">3176 1586 24575,'8'0'0,"-1"-1"0,0 0 0,1 0 0,-1-1 0,0 0 0,0 0 0,0 0 0,-1-1 0,1 0 0,0-1 0,-1 1 0,0-1 0,0-1 0,0 1 0,-1-1 0,1 0 0,-1 0 0,0 0 0,-1-1 0,1 0 0,-1 0 0,0 0 0,4-9 0,-4-1 0,1 0 0,-1 0 0,-1-1 0,0 0 0,-1 0 0,-1 1 0,-1-1 0,0 1 0,-1-1 0,-1 0 0,0 1 0,-6-18 0,-3-24 0,-11-30 0,21 149 0,27 184 0,-25-229 15,1 1 0,2-1 0,0 0 0,1 0 0,0 0 0,1 0 0,13 22 0,-15-31-93,0 0 0,0-1 0,0 0-1,1 0 1,0 0 0,0 0 0,1-1 0,-1 0 0,1 0-1,0-1 1,1 1 0,-1-1 0,1-1 0,0 1 0,-1-1-1,2 0 1,-1-1 0,13 4 0,0-4-6748</inkml:trace>
  <inkml:trace contextRef="#ctx0" brushRef="#br0" timeOffset="17845.72">3470 1269 24575,'0'4'0,"-1"23"0,2-1 0,1 1 0,1-1 0,7 30 0,-9-50 0,0-1 0,1 1 0,0-1 0,0 0 0,0 0 0,-1 0 0,2 0 0,0 0 0,0 0 0,1-1 0,-1 0 0,1 1 0,0-1 0,0 0 0,0-1 0,1 1 0,-1-1 0,1 0 0,0 0 0,0 0 0,0-1 0,0 0 0,0 0 0,1 0 0,10 2 0,-9-2 0,1-1 0,-1 0 0,1-1 0,-1 0 0,1 0 0,-1 0 0,0-1 0,1 0 0,11-4 0,-16 4 0,0-1 0,-1 1 0,1-1 0,-1 0 0,1 1 0,-1-1 0,0 0 0,1 0 0,-1-1 0,0 1 0,0 0 0,-1-1 0,1 1 0,0-1 0,-1 0 0,0 1 0,0-1 0,1 0 0,-2 0 0,1 0 0,0 0 0,0 0 0,-1 0 0,0 0 0,0 0 0,0-3 0,2-17 0,-1-1 0,-1 0 0,-1 1 0,-1 0 0,-6-30 0,8 53 0,0 0 0,0-1 0,0 1 0,0 0 0,0-1 0,0 1 0,0 0 0,0 0 0,0-1 0,0 1 0,0 0 0,0-1 0,0 1 0,0 0 0,0 0 0,-1-1 0,1 1 0,0 0 0,0 0 0,0-1 0,0 1 0,0 0 0,-1 0 0,1-1 0,0 1 0,0 0 0,0 0 0,-1 0 0,1-1 0,0 1 0,0 0 0,-1 0 0,1 0 0,0 0 0,-1 0 0,1 0 0,0 0 0,0-1 0,-1 1 0,1 0 0,0 0 0,-1 0 0,1 0 0,0 0 0,0 0 0,-1 0 0,1 1 0,-7 15 0,2 27 0,3-13 0,0-16 0,1 1 0,0 0 0,1 0 0,1 0 0,0-1 0,7 29 0,-7-40 0,1-1 0,-1 0 0,1 0 0,0 0 0,0 0 0,0 0 0,0 0 0,0 0 0,0 0 0,0-1 0,1 1 0,-1-1 0,0 0 0,1 1 0,0-1 0,-1 0 0,1-1 0,-1 1 0,1 0 0,0-1 0,0 1 0,-1-1 0,1 0 0,0 0 0,0 0 0,-1 0 0,1-1 0,5 0 0,6-1 0,0-1 0,0-1 0,0 1 0,14-8 0,-8 2-105,-1-1 0,0-1 0,-1-1 0,0-1 0,-1 0 0,0-1 0,-1-1 0,-2-1 0,1 0 0,-1-1 0,-1 0 0,17-29 0,-13 15-6721</inkml:trace>
  <inkml:trace contextRef="#ctx0" brushRef="#br0" timeOffset="19242.8">4103 1172 24575,'-40'-1'0,"16"-1"0,-1 1 0,1 2 0,0 0 0,-30 6 0,50-6 0,1 1 0,-1-1 0,1 1 0,0 0 0,0 0 0,0 0 0,0 0 0,0 0 0,0 0 0,0 1 0,1 0 0,0-1 0,-1 1 0,1 0 0,0 0 0,0 0 0,0 0 0,1 1 0,-1-1 0,1 0 0,0 1 0,0-1 0,0 1 0,0-1 0,1 1 0,-1 4 0,-1 13 0,1 1 0,2-1 0,3 32 0,-1-6 0,-3-39 0,1 1 0,-1-1 0,1 1 0,1-1 0,-1 1 0,2-1 0,-1 0 0,6 13 0,-5-17 0,-1 0 0,1 0 0,0 0 0,0-1 0,1 1 0,-1-1 0,0 0 0,1 0 0,0 0 0,0 0 0,0-1 0,0 0 0,0 0 0,1 0 0,-1 0 0,1 0 0,6 1 0,-2-1 0,-1 0 0,1-1 0,0 0 0,0 0 0,0-1 0,-1 0 0,1 0 0,0-1 0,0 0 0,0-1 0,-1 0 0,1 0 0,0-1 0,-1 0 0,0-1 0,0 1 0,0-2 0,0 1 0,0-1 0,-1 0 0,0 0 0,0-1 0,0 0 0,-1-1 0,0 1 0,0-1 0,-1 0 0,0-1 0,-1 1 0,0-1 0,0 0 0,0 0 0,5-17 0,-2 4-1365,0 4-5461</inkml:trace>
  <inkml:trace contextRef="#ctx0" brushRef="#br0" timeOffset="22981.67">4518 1172 24575,'-10'0'0,"-1"0"0,1 0 0,0 1 0,0 0 0,-1 1 0,-17 5 0,25-6 0,-1 1 0,1 0 0,0 1 0,0-1 0,0 0 0,0 1 0,0 0 0,0 0 0,0 0 0,1 0 0,0 0 0,0 0 0,0 1 0,0-1 0,0 0 0,0 1 0,1 0 0,0-1 0,0 1 0,-1 7 0,-1-2 0,1-1 0,0 1 0,1 0 0,0 0 0,1 0 0,0 0 0,0 0 0,3 15 0,-3-22 0,1 1 0,0 0 0,0-1 0,1 1 0,-1 0 0,0-1 0,1 0 0,0 1 0,0-1 0,-1 0 0,1 0 0,0 0 0,1 0 0,-1 0 0,0 0 0,0-1 0,1 1 0,-1-1 0,1 1 0,0-1 0,-1 0 0,1 0 0,0 0 0,0 0 0,-1-1 0,1 1 0,0-1 0,0 0 0,0 0 0,3 0 0,75-4 0,14-1 0,-88 6 0,0-1 0,0 1 0,0 0 0,0 0 0,-1 1 0,1 0 0,0 0 0,-1 1 0,1 0 0,6 6 0,-10-8 0,0 1 0,-1-1 0,0 1 0,1 0 0,-1 0 0,0 0 0,0 0 0,0 0 0,0 1 0,0-1 0,-1 0 0,1 1 0,-1 0 0,0-1 0,1 1 0,-1 0 0,0-1 0,-1 1 0,1 0 0,0 6 0,-1-5 0,0 0 0,-1 0 0,0-1 0,0 1 0,0 0 0,0 0 0,-1-1 0,1 1 0,-1-1 0,0 1 0,0-1 0,0 0 0,-6 6 0,0 0 0,-1 0 0,1-1 0,-2 0 0,0 0 0,0-1 0,-1 0 0,0-1 0,0 0 0,-12 4 0,10-6-227,-1-1-1,0 0 1,1-1-1,-1-1 1,-24 1-1,16-3-6598</inkml:trace>
  <inkml:trace contextRef="#ctx0" brushRef="#br0" timeOffset="25170.72">5444 1197 24575,'-63'-1'0,"-69"2"0,129 0 0,-1-1 0,1 1 0,0-1 0,-1 1 0,1 0 0,0 0 0,-1 1 0,1-1 0,0 1 0,0 0 0,0-1 0,1 1 0,-1 0 0,0 1 0,2-1 0,-2 0 0,1 1 0,0 0 0,-4 5 0,3-3 0,0 0 0,1 0 0,0 1 0,0-1 0,0 1 0,1-1 0,0 1 0,0 0 0,0 0 0,1-1 0,0 9 0,0-8 0,0 0 0,0 0 0,1 0 0,0 0 0,0-1 0,1 1 0,-1 0 0,1-1 0,0 1 0,1-1 0,-1 0 0,1 0 0,0 0 0,1 0 0,-1 0 0,0 0 0,1-1 0,0 1 0,0-1 0,1 0 0,-1 0 0,1-1 0,0 1 0,9 3 0,-7-5 0,0 1 0,0-2 0,0 1 0,1-1 0,-1 0 0,0-1 0,1 1 0,-1-2 0,0 1 0,1-1 0,-1 0 0,0 0 0,1-1 0,6-3 0,-10 4 0,0-1 0,-1-1 0,1 1 0,-1-1 0,1 1 0,-1-1 0,1 0 0,-1 0 0,0-1 0,0 0 0,-1 0 0,1 1 0,-1-1 0,1 0 0,-1 0 0,-1 0 0,1 0 0,0 0 0,-1 0 0,0-1 0,0 1 0,0 0 0,0-9 0,0-38 0,-3 42 0,1 34 0,-1 12 0,-1 44 0,3-75 0,1-1 0,-1 1 0,1-1 0,0 1 0,0-1 0,1 1 0,0-1 0,-1 0 0,2 0 0,4 9 0,-5-12-45,0 0-1,1 0 1,-1 0-1,0-1 1,1 1-1,-1-1 1,1 1-1,0-1 1,-1 0-1,1 0 1,0 0-1,0-1 1,0 1-1,-1 0 1,1-1-1,0 0 1,0 0-1,0 0 1,0 0-1,0 0 1,0-1-1,0 1 1,0-1-1,0 0 0,-1 1 1,1-1-1,0-1 1,-1 1-1,5-2 1,14-9-6781</inkml:trace>
  <inkml:trace contextRef="#ctx0" brushRef="#br0" timeOffset="27120.97">6078 1123 24575,'-14'-1'0,"2"-1"0,-1 0 0,-17-5 0,-27-3 0,43 8 0,0 1 0,0 1 0,0 0 0,1 1 0,-1 1 0,-25 5 0,34-5 0,0 0 0,-1 1 0,1-1 0,0 1 0,0 0 0,1 0 0,-1 1 0,1-1 0,-1 1 0,1 0 0,0 0 0,1 0 0,-1 2 0,1-2 0,0 1 0,0 0 0,0 0 0,1 0 0,-4 9 0,2-3 0,1 0 0,0 0 0,1 0 0,0 0 0,1 0 0,0 0 0,1 15 0,0-23 0,0 0 0,0 0 0,0 0 0,0 0 0,1 0 0,0 0 0,-1 0 0,1 0 0,0 0 0,0-1 0,1 1 0,-1 0 0,1 0 0,-1-1 0,1 1 0,0-1 0,0 0 0,0 1 0,0-1 0,0 0 0,1 0 0,-1 0 0,1-1 0,-1 1 0,1 0 0,0-1 0,-1 0 0,1 1 0,0-1 0,4 1 0,49 1 0,-47-4 0,-1 1 0,1 0 0,-1 1 0,1 0 0,-1 1 0,12 2 0,-17-2 0,-1-1 0,1 1 0,0-1 0,0 1 0,-1 0 0,1 0 0,-1 0 0,0 0 0,0 0 0,0 1 0,0-1 0,0 1 0,0-1 0,0 2 0,-1-1 0,1-1 0,-1 1 0,0 0 0,0 0 0,0 0 0,0 0 0,0 4 0,1 2 0,-1 0 0,0 0 0,-1 0 0,0 18 0,0-24 0,0-1 0,0 0 0,-1 1 0,1-1 0,-1 0 0,1 1 0,-1-1 0,0 0 0,1 0 0,-1 0 0,-1 0 0,1 0 0,0 0 0,0 0 0,-1 0 0,1 0 0,-1 0 0,1-1 0,-1 1 0,0-1 0,0 1 0,1-1 0,-1 0 0,-4 2 0,34-11-1365,-11 5-5461</inkml:trace>
  <inkml:trace contextRef="#ctx0" brushRef="#br0" timeOffset="30021.9">5956 1562 24575,'-55'65'0,"42"-47"0,-1-1 0,-29 29 0,41-44 0,-62 46 0,60-45 0,1-1 0,-1 0 0,0 1 0,0-2 0,0 1 0,0 0 0,0-1 0,0 0 0,-1 0 0,1 0 0,0 0 0,0-1 0,0 0 0,-1 0 0,-6 0 0,10 0 0,0-1 0,0 1 0,-1 0 0,1-1 0,0 1 0,0 0 0,0-1 0,0 0 0,0 1 0,0-1 0,0 1 0,0-1 0,0 0 0,0 0 0,0 0 0,1 0 0,-1 1 0,0-1 0,0 0 0,1 0 0,-1 0 0,1 0 0,-1-1 0,1 1 0,-1 0 0,1 0 0,0-1 0,-1-1 0,1 0 0,1 0 0,-1 1 0,0-1 0,1 0 0,0 0 0,-1 1 0,1-1 0,0 1 0,0-1 0,2-3 0,3-4 0,0 1 0,1-1 0,0 1 0,13-14 0,-10 14 0,0 0 0,1 2 0,0-1 0,1 1 0,0 1 0,0 0 0,0 1 0,1 0 0,0 1 0,0 0 0,0 1 0,22-3 0,-17 4 0,-1 2 0,1-1 0,0 2 0,-1 0 0,1 1 0,-1 1 0,1 1 0,-2 0 0,25 10 0,13 13-1365,-32-15-5461</inkml:trace>
  <inkml:trace contextRef="#ctx0" brushRef="#br0" timeOffset="73014.95">178 147 24575,'0'378'0,"0"-408"0,-1-9 0,2 0 0,11-70 0,-11 100 0,1 0 0,0 0 0,1 0 0,0 0 0,0 1 0,1-1 0,0 1 0,1 0 0,0 0 0,0 0 0,0 1 0,1-1 0,0 2 0,1-1 0,-2 0 0,3 1 0,11-8 0,-16 12 0,0 0 0,0 0 0,1 1 0,-1-1 0,1 1 0,-1 0 0,1 0 0,0 0 0,-1 0 0,1 0 0,0 1 0,0 0 0,-1 0 0,1 0 0,0 0 0,0 0 0,-1 1 0,1 0 0,0 0 0,4 1 0,-5 0 0,-1-1 0,1 1 0,0 0 0,-1 0 0,1 1 0,-1-1 0,0 0 0,0 1 0,0-1 0,0 1 0,0 0 0,-1 0 0,1-1 0,-1 1 0,1 0 0,-1 0 0,0 0 0,0 1 0,-1-1 0,1 0 0,-1 0 0,0 0 0,1 4 0,0 19 0,0 0 0,-5 47 0,3-64 0,-1 0 0,0-1 0,0 0 0,-1 2 0,0-2 0,0 0 0,-1 0 0,0-1 0,0 1 0,-1-1 0,-11 14 0,15-21 0,0 1 0,0 0 0,1 0 0,-1 0 0,0 0 0,0 1 0,1-1 0,-1 0 0,1 0 0,-1 0 0,1 0 0,-1 1 0,1-1 0,0 0 0,0 0 0,0 1 0,0-1 0,-1 0 0,1 1 0,1-1 0,-1 0 0,0 0 0,0 1 0,0-1 0,1 0 0,0 2 0,1 1 0,0-1 0,0 0 0,0 0 0,1 0 0,-1 0 0,1-1 0,0 1 0,-1-1 0,6 4 0,8 4 0,0-1 0,30 14 0,-43-21 0,24 10-83,-20-7-59,2-1-1,-1 0 1,0-1-1,1 0 1,-1 0-1,1 0 1,0-1-1,12 1 1,-7-5-6684</inkml:trace>
  <inkml:trace contextRef="#ctx0" brushRef="#br0" timeOffset="73727.28">787 269 24575,'-4'0'0,"-1"4"0,-1 6 0,2 4 0,2 6 0,0 2 0,1 2 0,1 2 0,0-1 0,0 0 0,0-4-8191</inkml:trace>
  <inkml:trace contextRef="#ctx0" brushRef="#br0" timeOffset="74328.31">787 220 24575,'-4'0'0</inkml:trace>
  <inkml:trace contextRef="#ctx0" brushRef="#br0" timeOffset="77066.69">1129 366 24575,'-12'0'0,"1"0"0,-1 0 0,0 1 0,0 1 0,1 0 0,-1 1 0,-13 4 0,20-5 0,1 2 0,0-2 0,0 0 0,1 1 0,-1 0 0,0 0 0,1 0 0,0 1 0,0-1 0,0 1 0,0-1 0,0 1 0,1 0 0,-1 0 0,1 0 0,0 0 0,1 1 0,-1-1 0,1 1 0,-1-1 0,1 6 0,-3 5 0,1 0 0,1 1 0,1 0 0,0-1 0,1 1 0,0 0 0,2 0 0,0-1 0,7 32 0,-6-41 0,-1 1 0,1-1 0,0 0 0,0 0 0,0 0 0,1-1 0,0 1 0,0-1 0,1 0 0,-1 0 0,1 0 0,0-1 0,1 0 0,-1 0 0,1 0 0,0 0 0,0-1 0,0 0 0,0 0 0,0-1 0,1 0 0,-1 0 0,1 0 0,-1-1 0,10 1 0,1 1 0,2-2 0,-1 0 0,26-2 0,-39 1 0,0-1 0,0 0 0,0 0 0,0 0 0,0 0 0,0-1 0,0 0 0,-1 0 0,1 0 0,0 0 0,-1-1 0,0 0 0,0 0 0,0 0 0,0 0 0,5-8 0,1-4 0,0 0 0,-2-1 0,0 0 0,-1-1 0,0 0 0,-1 0 0,-1-1 0,-1 1 0,-1-1 0,0 0 0,-1 0 0,-1 0 0,-1 0 0,-4-32 0,27 224 0,-12-110 0,-3-1 0,-3 1 0,-4 78 0,-2-137 4,1 0 1,-1 0-1,-1 0 0,1 0 0,-1 0 0,1 0 0,-2-1 0,1 1 0,0-1 1,-1 1-1,0-1 0,0 0 0,0 0 0,0 0 0,-1 0 0,0 0 0,0-1 1,0 0-1,0 0 0,0 0 0,0 0 0,-1 0 0,0-1 0,1 0 0,-1 0 1,0 0-1,0-1 0,-6 1 0,1 1-110,0-2 0,1 1 0,-1-1 0,0-1 0,0 0 0,0 0-1,-1-1 1,1 0 0,0-1 0,0 0 0,1-1 0,-1 0 0,-13-6 0,-8-8-6720</inkml:trace>
  <inkml:trace contextRef="#ctx0" brushRef="#br0" timeOffset="78907.28">1470 73 24575,'2'30'0,"1"1"0,1-1 0,2-1 0,19 56 0,-2-3 0,-18-57 0,-2-2 0,0 1 0,-2 27 0,0-26 0,0 1 0,7 29 0,-5-44 0,0-12 0,1-24 0,0-38 0,-4 53 0,0-1 0,0 1 0,1-1 0,1 1 0,0 0 0,0 0 0,1 0 0,6-13 0,-6 17 0,1 0 0,-1 0 0,2 0 0,-1 1 0,1-1 0,-1 2 0,0-1 0,2 0 0,-1 1 0,1 0 0,0 0 0,0 1 0,10-5 0,-12 5 0,1 1 0,0 0 0,-1 1 0,1-1 0,0 1 0,0 0 0,0 0 0,0 0 0,0 1 0,-1 0 0,1 0 0,0 0 0,0 1 0,0-1 0,0 1 0,0 0 0,7 3 0,-4-1 0,-2 1 0,1 0 0,0 0 0,-2 0 0,2 1 0,-1 0 0,-1 0 0,1 0 0,-1 1 0,7 9 0,1 4 0,-1 0 0,-1 1 0,0 0 0,-2 1 0,0 0 0,10 39 0,-2 41-1365,-14-60-5461</inkml:trace>
  <inkml:trace contextRef="#ctx0" brushRef="#br0" timeOffset="79763.48">2152 0 24575,'-3'1'0,"1"-1"0,-1 1 0,0-1 0,0 1 0,0 0 0,0 0 0,1 0 0,0 1 0,-1-1 0,0 1 0,1-1 0,-1 1 0,1 0 0,0 0 0,0 0 0,0 0 0,0 0 0,0 1 0,0-1 0,0 0 0,1 1 0,-1 0 0,1-1 0,0 1 0,-1 0 0,1-1 0,1 1 0,-1 0 0,0 5 0,-3 10 0,0 1 0,2-1 0,0 29 0,1-38 0,1 3 0,1 166 0,0-159 0,1 2 0,2-2 0,0 1 0,1-1 0,0-1 0,17 37 0,-19-51 7,-1 0 0,1 0-1,0 0 1,0 0 0,0-1-1,1 1 1,0-1-1,0 0 1,0 0 0,0 0-1,0 0 1,1-1 0,-1 0-1,1 0 1,0 0 0,-1 0-1,7 1 1,-3-2-142,0 1 0,0-1 0,-1 0 0,1-1 0,0 1 0,0-2 0,0 1 0,0-1 0,-1 0 0,12-3 0,-3-3-6691</inkml:trace>
  <inkml:trace contextRef="#ctx0" brushRef="#br0" timeOffset="81076.15">2031 245 24575,'4'0'0,"6"0"0,5 0 0,4 0 0,3 0 0,2 0 0,1 0 0,0 0 0,-3 0-8191</inkml:trace>
  <inkml:trace contextRef="#ctx0" brushRef="#br0" timeOffset="82674.7">3347 269 24575,'-23'0'0,"-1"0"0,-45 8 0,59-5 0,0 0 0,0 0 0,0 1 0,1 0 0,0 0 0,0 1 0,0 0 0,1 1 0,-11 9 0,1 0 0,0-2 0,0 1 0,1 2 0,1 0 0,0 0 0,2 1 0,0 1 0,-11 19 0,21-30 0,1 1 0,0-1 0,0 1 0,1-1 0,0 1 0,1 0 0,-1 0 0,2 0 0,-1 0 0,1 0 0,0 0 0,1 0 0,0 0 0,0 0 0,1 0 0,0 0 0,0-1 0,0 1 0,1 1 0,1-2 0,-1 0 0,1 0 0,1 0 0,-2 0 0,2-1 0,0 0 0,0 0 0,1 0 0,0 0 0,0-1 0,0 0 0,1 0 0,0-1 0,7 4 0,10 1 0,-1 0 0,1-2 0,0-1 0,0-1 0,1-1 0,0-1 0,0-1 0,0-2 0,0 0 0,0-2 0,-2 0 0,43-10 0,-55 8-114,1-2 1,-1 1-1,0-1 0,0-1 0,-1 0 1,0-1-1,0 1 0,-1-2 0,0 0 1,-1 0-1,14-18 0,13-20-6712</inkml:trace>
  <inkml:trace contextRef="#ctx0" brushRef="#br0" timeOffset="83577.25">3616 0 24575,'0'5'0,"0"13"0,0 11 0,0 11 0,0 6 0,0 3 0,0-2 0,0-5 0,0-6 0,0-5 0,0-3 0,0-1 0,0-3 0,4-1 0,2 0 0,7-3 0,2-7-8191</inkml:trace>
  <inkml:trace contextRef="#ctx0" brushRef="#br0" timeOffset="84257.67">4006 196 24575,'-4'0'0,"-6"0"0,-1 4 0,-2 2 0,0 3 0,3 5 0,3 4 0,2 7 0,3 3 0,1 2 0,1-1 0,0 4 0,1 0 0,0-2 0,-1-1 0,0-7-8191</inkml:trace>
  <inkml:trace contextRef="#ctx0" brushRef="#br0" timeOffset="84985.92">3908 25 24575,'0'-4'0</inkml:trace>
  <inkml:trace contextRef="#ctx0" brushRef="#br0" timeOffset="86632.78">4542 269 24575,'-7'0'0,"-14"-1"0,-1 2 0,0 0 0,1 1 0,-43 10 0,59-11 0,0 1 0,0 0 0,0 0 0,0 0 0,1 1 0,-1-1 0,2 1 0,-2 0 0,1 1 0,0-1 0,0 1 0,1-1 0,-1 1 0,1 0 0,0 0 0,0 1 0,0-1 0,0 1 0,1-1 0,0 1 0,0 0 0,0 0 0,1 0 0,-1 0 0,1 0 0,0 9 0,0-7 0,0 0 0,0 0 0,1 0 0,0 0 0,0 0 0,1-1 0,0 1 0,0 0 0,1 0 0,0 0 0,0-1 0,1 1 0,-1-1 0,1 0 0,1 0 0,-1 0 0,1 0 0,0 0 0,1-1 0,-1 0 0,1 1 0,0-2 0,-1 1 0,2-1 0,-1 1 0,1-2 0,0 1 0,0 0 0,0-1 0,1-1 0,-1 1 0,12 3 0,11 0-47,0-2 0,0 0 0,-1-2 0,1-1 0,48-4 0,-28 1-1036,-16 1-5743</inkml:trace>
  <inkml:trace contextRef="#ctx0" brushRef="#br0" timeOffset="87504.77">4835 49 24575,'0'8'0,"0"12"0,0 13 0,0 12 0,0 0 0,0 2 0,0 1 0,0-4 0,4-5 0,2-4 0,-1-5 0,-1-3 0,-1-2 0,-1-2 0,2 1 0,2-5-8191</inkml:trace>
  <inkml:trace contextRef="#ctx0" brushRef="#br0" timeOffset="88866.9">5103 220 24575,'0'0'0,"0"0"0,0 0 0,0-1 0,0 1 0,0 0 0,0 0 0,0-1 0,0 1 0,0 0 0,1 0 0,-1-1 0,0 1 0,-1 0 0,1 0 0,0-1 0,0 1 0,0 0 0,0 0 0,0-1 0,0 1 0,0 0 0,0 0 0,0-1 0,0 1 0,-1 0 0,1 0 0,0-1 0,0 1 0,0 0 0,0 0 0,-1 0 0,1 0 0,0-1 0,0 1 0,0 0 0,-1 0 0,1 0 0,0 0 0,0 0 0,-1 0 0,1 0 0,0-1 0,0 1 0,-1 0 0,1 0 0,0 0 0,0 0 0,-1 0 0,1 0 0,-14 12 0,-8 19 0,12-11 0,4-9 0,0 0 0,0 0 0,-11 14 0,14-21 0,0-1 0,0 0 0,-1 0 0,1 0 0,-1-1 0,1 1 0,-1-1 0,0 0 0,0 0 0,0 0 0,-1 0 0,1-1 0,-7 2 0,-19 7 0,28 0 0,18 3 0,17 3 43,1 0-1,37 11 1,-33-13-790,52 26 1,-70-28-6080</inkml:trace>
  <inkml:trace contextRef="#ctx0" brushRef="#br0" timeOffset="91480.75">6102 220 24575,'-87'-1'0,"-100"3"0,178-1 0,1 1 0,0 0 0,0 0 0,1 1 0,-1-1 0,1 2 0,-1-1 0,1 1 0,0 0 0,0 1 0,0 0 0,1 0 0,0 0 0,0 1 0,0 0 0,2 0 0,-1 0 0,0 1 0,-7 11 0,5-6 0,0 1 0,0 0 0,2 0 0,-1 1 0,2 0 0,0 0 0,1 0 0,0 0 0,1 0 0,-1 23 0,3-34 0,0 0 0,0 0 0,1 0 0,-1 1 0,1-1 0,0 0 0,0 0 0,0 0 0,0 0 0,0-1 0,1 1 0,-1 0 0,1 0 0,0-1 0,0 1 0,0-1 0,0 1 0,0-1 0,0 0 0,1 0 0,-1 0 0,1 0 0,-1 0 0,1-1 0,0 1 0,0-1 0,0 0 0,0 0 0,0 0 0,0 0 0,5 1 0,8 1 0,2-1 0,0-1 0,-1 0 0,30-4 0,-16 2 0,-7 1 0,0-1 0,1-1 0,0-1 0,-1-1 0,40-13 0,-56 14 0,-1 0 0,0 0 0,-1-1 0,1 1 0,-1-2 0,1 1 0,-1-1 0,0 0 0,0 0 0,-1-1 0,1 1 0,-1-1 0,-1-1 0,1 1 0,-1 0 0,0-1 0,0 0 0,-1 0 0,0 0 0,0-1 0,-1 1 0,2-8 0,0-8 0,0 1 0,0-27 0,-4 40 0,0 0 0,0 0 0,-1-1 0,0 1 0,-1 0 0,1 0 0,-7-17 0,7 25 0,1 0 0,0 0 0,-1 0 0,1 0 0,-1 0 0,1 0 0,-1 0 0,0 0 0,0 0 0,1 0 0,-1 0 0,0 1 0,0-1 0,0 0 0,0 0 0,0 1 0,0-1 0,0 1 0,-1-2 0,1 2 0,0 0 0,1 0 0,-1 1 0,0-1 0,1 0 0,-1 0 0,0 0 0,1 1 0,-1-1 0,1 0 0,-1 1 0,1-1 0,-1 1 0,0-1 0,1 0 0,-1 1 0,1-1 0,0 1 0,-1-1 0,1 1 0,-1 0 0,1-1 0,-1 2 0,-1 3 0,-1 0 0,1 1 0,0-1 0,0 1 0,1-1 0,-1 9 0,-7 106 0,9-106 0,0-2 0,1 1 0,0 0 0,1-1 0,1 1 0,0-1 0,7 17 0,-9-26 0,0 0 0,1 0 0,-1 0 0,1 0 0,0-1 0,0 1 0,0-1 0,0 1 0,1-1 0,-1 0 0,1 1 0,-1-1 0,1-1 0,0 1 0,-1 0 0,1-1 0,0 1 0,0-1 0,1 0 0,-1 0 0,0 0 0,0 0 0,0 0 0,1-1 0,-1 0 0,0 0 0,0 0 0,1 0 0,-1 0 0,0 0 0,1-1 0,-1 0 0,0 1 0,5-3 0,-1 0 0,0 0 0,0 0 0,1-1 0,-1 0 0,0 0 0,0-1 0,-1 0 0,0 0 0,1 0 0,-2-1 0,1 0 0,8-12 0,-5 2 0,-8 11 0,1 1 0,0 0 0,0 0 0,0 0 0,0 0 0,1 0 0,0 1 0,0-1 0,5-5 0,-7 12 0,0 0 0,0 0 0,0 0 0,0 0 0,-1 1 0,1-1 0,-1 0 0,0 0 0,0 0 0,0 0 0,-1 5 0,1-6 0,-3 91 0,2-70 0,0-64 0,0-23 0,3-80 0,-2 142 0,0 1 0,0-1 0,0 1 0,0-1 0,0 1 0,0-1 0,1 1 0,-1-1 0,1 1 0,-1 0 0,1-1 0,-1 1 0,1-1 0,0 1 0,0 0 0,-1 0 0,1 0 0,0-1 0,0 1 0,0 0 0,1 0 0,-1 0 0,0 0 0,0 1 0,3-3 0,-2 3 0,0 0 0,1 0 0,-1-1 0,0 2 0,0-1 0,0 0 0,1 0 0,-1 1 0,0-1 0,0 1 0,0-1 0,0 1 0,-1 0 0,1 0 0,3 2 0,4 2 0,-1 0 0,1 1 0,-1 1 0,-1-1 0,1 1 0,10 13 0,-14-13 0,0 0 0,-1 0 0,1 1 0,-2 0 0,1 0 0,-1-1 0,0 1 0,-1 0 0,0 0 0,0 14 0,0-14 0,-1 1 0,2 0 0,-1-1 0,1 1 0,0-1 0,1 1 0,5 12 0,-7-20-37,-1 0 0,1 0 1,0 0-1,-1 0 0,1 0 0,0 0 0,0 0 0,0 0 0,0 0 0,0-1 0,0 1 0,0 0 1,0-1-1,0 1 0,0 0 0,0-1 0,0 1 0,0-1 0,1 0 0,-1 1 0,0-1 0,0 0 1,0 0-1,1 0 0,-1 0 0,0 0 0,0 0 0,1 0 0,-1 0 0,0 0 0,0-1 0,1 1 1,-1 0-1,0-1 0,0 1 0,1-1 0,11-6-6789</inkml:trace>
  <inkml:trace contextRef="#ctx0" brushRef="#br0" timeOffset="93097.14">6834 342 24575,'-20'0'0,"6"-1"0,0 1 0,-1 1 0,1 0 0,-24 6 0,35-7 0,-1 1 0,1 0 0,0 1 0,0-1 0,0 1 0,0-1 0,1 1 0,-1 0 0,0 0 0,1 0 0,-1 0 0,1 0 0,0 1 0,-1-1 0,1 1 0,0 0 0,1-1 0,-1 2 0,0-1 0,1 0 0,0 0 0,-1 0 0,1 0 0,1 0 0,-2 7 0,-1 6 0,1 1 0,1 0 0,1 0 0,0-1 0,1 1 0,1 0 0,0 0 0,6 16 0,-8-31 0,1 0 0,-1-1 0,1 1 0,0 0 0,0-1 0,0 1 0,0 0 0,0-1 0,0 1 0,0-1 0,1 0 0,-1 1 0,1-1 0,-1 0 0,1 0 0,-1 0 0,1 0 0,-1 0 0,1 0 0,0 0 0,0 0 0,-1-1 0,1 1 0,0-1 0,0 1 0,0-1 0,0 0 0,0 0 0,0 0 0,-1 0 0,1 0 0,0 0 0,0 0 0,0-1 0,0 1 0,0 0 0,0-1 0,-1 0 0,1 1 0,0-1 0,-1 0 0,1 0 0,1-2 0,2 0 0,0 0 0,0-1 0,-1 1 0,1-1 0,-1-1 0,0 1 0,0 0 0,0-1 0,0 0 0,-1 0 0,0 0 0,4-8 0,3-19 0,-1 1 0,-2-1 0,-1-1 0,2-45 0,-6-134 0,-3 159 0,1 47 0,1 3 0,-1-1 0,0 1 0,0 0 0,0-1 0,0 1 0,-1 0 0,1-1 0,-1 1 0,0 0 0,0 0 0,0 0 0,0-1 0,-1 1 0,1 0 0,-1 1 0,-2-5 0,3 7 0,1 0 0,0 0 0,0 0 0,-1-1 0,1 1 0,0 0 0,0 0 0,-1 0 0,1 0 0,0 0 0,-1 0 0,1 0 0,0 0 0,-1 0 0,1 0 0,0 0 0,-1 0 0,1 0 0,0 0 0,-1 0 0,1 0 0,0 0 0,0 0 0,-1 0 0,1 0 0,0 0 0,-1 0 0,1 0 0,0 1 0,0-1 0,-1 0 0,1 0 0,0 0 0,0 1 0,-1-1 0,1 0 0,0 1 0,-9 15 0,2 19 0,7-35 0,-4 27 0,1 1 0,2 0 0,1 0 0,1-1 0,1 1 0,11 48 0,-9-56 0,2 0 0,0-1 0,2 0 0,0 0 0,1-1 0,1 0 0,0-1 0,1 0 0,1 0 0,15 16 0,-18-25 14,-1 0-1,1 0 0,1-1 0,-1-1 1,1 1-1,1-1 0,-1-1 1,22 8-1,-27-11-84,1 0 1,-1-1-1,0 1 0,1-1 0,0-1 1,-1 1-1,1-1 0,-1 0 1,1 0-1,-1 0 0,0-1 0,1 0 1,-1 0-1,1-1 0,-1 1 1,0-1-1,1 0 0,-1-1 0,0 1 1,6-5-1,11-12-6755</inkml:trace>
</inkml:ink>
</file>

<file path=xl/ink/ink4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17:27.813"/>
    </inkml:context>
    <inkml:brush xml:id="br0">
      <inkml:brushProperty name="width" value="0.035" units="cm"/>
      <inkml:brushProperty name="height" value="0.035" units="cm"/>
      <inkml:brushProperty name="color" value="#E71224"/>
    </inkml:brush>
  </inkml:definitions>
  <inkml:trace contextRef="#ctx0" brushRef="#br0">7213 5746 24575,'-1'-1'0,"0"1"0,1 0 0,-1-1 0,0 1 0,0 0 0,1-1 0,-1 1 0,0-1 0,1 0 0,-1 1 0,0-1 0,1 1 0,-1-1 0,1 0 0,-1 1 0,1-1 0,-1 0 0,1 0 0,0 1 0,-1-1 0,1 0 0,0 0 0,0 0 0,0 1 0,-1-4 0,-4-23 0,5 24 0,-3-31 0,2 1 0,2 0 0,0 0 0,3 0 0,0 0 0,2 1 0,17-52 0,94-212 0,-109 277 0,41-80 0,2 4 0,67-94 0,-85 145 19,63-64-1,-37 44-1420,-42 45-5424</inkml:trace>
  <inkml:trace contextRef="#ctx0" brushRef="#br0" timeOffset="1139.07">7678 4423 24575,'8'0'0,"16"0"0,7 0 0,3-5 0,-1 0 0,-1 0 0,-2 0 0,-5 7 0,-9 10 0,-6 7 0,-4 9 0,-9 4 0,-2 1 0,-2-5-8191</inkml:trace>
  <inkml:trace contextRef="#ctx0" brushRef="#br0" timeOffset="213716.74">9181 1050 24575,'-21'-23'0,"-4"-5"0,-2 1 0,-1 1 0,-1 1 0,-41-26 0,-72-31 0,-196-81 0,230 119 0,-2 6 0,-180-37 0,-72 0 0,-318-51 0,-81 16 0,244 32 0,0 40 0,-3 40 0,186 2 0,-1534-4 0,1775 3 0,0 5 0,-101 20 0,-177 63 0,-331 172 0,515-185 0,57-21 0,-157 92 0,219-108 0,2 4 0,2 3 0,-108 104 0,165-144 0</inkml:trace>
  <inkml:trace contextRef="#ctx0" brushRef="#br0" timeOffset="213716.74">0 9404 24575,'115'424'0,"-39"-61"0,-20-80 0,18 67 0,55 219 0,-84-377 0,31 275 0,-6 55 0,25 219 0,-17-225 0,-48-350 0,145 585 0,-158-691 0,-6-18 0,2 0 0,2-1 0,36 72 0,36 43 0,147 235 0,-176-311 0,129 131 0,-142-169 0,1-2 0,1-2 0,2-2 0,63 34 0,412 200 0,-461-239 0,2-3 0,87 23 0,-58-21 0,160 75 0,45 15 0,926 256 0,-1087-333 0,588 155 0,-336-116 0,374 68 0,378 19-666,-388-60-648,385 47 1047,-276-41 281,842 38-14,153-152 0,-934-8 0,-310 9 0,1188-29 0,-853-81 0,-10-62 0,-19-50-415,-11-44-75,-420 119 625,518-174-135,-34-87 0,-447 103 1647,-506 290-1406,54-34 88,200-114 457,217-86-786,-475 238 0,0 1 0,-1-1 0,22-17 0,-31 21 0,-1 0 0,0 0 0,0 0 0,0-2 0,0 1 0,-1 0 0,0-1 0,0 1 0,-1-1 0,5-13 0,3-19 0,-1 1 0,6-41 0,0-9 0,147-575 0,-67 298 0,97-738 0,-133 676 0,16-139 0,-39-6 0,-37-1038 0,-3 694 0,5 465 0,-5-489 0,-3 814 0,-4 0 0,-6 0 0,-42-163 0,-263-727 0,-110 1 0,-82 41 0,8 263 0,415 594 0,-57-68 0,-9 8 0,-299-267 0,379 382 0,-150-91 0,-97-25 0,-6-4 0,-214-99 0,340 189 0,-627-254 0,-124 67 0,863 256 0,-532-156 0,558 158 0,-16-5 0,-124-24 0,3 12 0,-330-111 0,-297-62 0,734 190 0,-1214-204 0,454 173 0,-1 54 0,360 2 0,-1387-4 0,1759 6 0,1 7 0,-199 46 0,183-30 0,51-16 0,-106 2 0,-30 3 0,95 4 0,41-7 0,-91 5 0,128-17 0,0 3 0,0 2 0,-54 17 0,-141 57 0,21-6 0,179-65 0,2 4 0,1 0 0,0 4 0,1 0 0,1 3 0,-1 1 0,3 3 0,-39 33 0,76-57 1,-58 51-684,-121 83 0,156-122-6143</inkml:trace>
</inkml:ink>
</file>

<file path=xl/ink/ink4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1:06.896"/>
    </inkml:context>
    <inkml:brush xml:id="br0">
      <inkml:brushProperty name="width" value="0.035" units="cm"/>
      <inkml:brushProperty name="height" value="0.035" units="cm"/>
      <inkml:brushProperty name="color" value="#E71224"/>
    </inkml:brush>
  </inkml:definitions>
  <inkml:trace contextRef="#ctx0" brushRef="#br0">16117 9629 24575,'7'1'0,"1"0"0,-1 0 0,0 0 0,0 1 0,0 0 0,-1 1 0,1-1 0,0 2 0,-1 0 0,0-1 0,8 7 0,64 55 0,-56-44 0,93 76 0,3-6 0,3-5 0,4-6 0,205 96 0,-230-133 0,3-4 0,0-6 0,2-4 0,1-5 0,205 18 0,549-28 0,-704-22 0,0-8 0,-1-6 0,232-65 0,13-29 0,-4-19 0,548-271 0,-671 263 0,-6-12 0,-7-13 0,377-317 0,-457 324 0,304-350 0,-278 250 0,-11-7 0,311-576 0,-268 326 0,-207 439 0,-4-3 0,-4-1 0,-2-1 0,14-135 0,-29-424 0,-11 339 0,1 155 0,-6 0 0,-53-275 0,39 328 0,-3 2 0,-5 1 0,-84-173 0,-183-238 0,253 437 0,-145-210 0,142 213 0,-3 3 0,-71-66 0,-10 8 0,-292-196 0,326 254 0,-2 4 0,-2 6 0,-3 4 0,-120-36 0,-1310-356 0,915 320 0,376 81 0,-29 1 0,-60-10 0,216 27 0,-128-2 0,-124 13 0,-62-5 0,-1123-13 0,1041 31 0,295-3 0,-538-18 0,337-9 0,80 8 0,-42-3 0,-310-32 0,184-24 0,-160-19 0,174 35 0,109 11 0,206 28 0,-324-31 0,246 36 0,-711-80 0,125 4 0,18 84 0,468 13 0,-2628-5 0,2694-19 0,68 3 0,-184 10 0,138-28 0,-10 16 0,-264-9 0,-1928 30-1365,2430-2-5461</inkml:trace>
</inkml:ink>
</file>

<file path=xl/ink/ink4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1:18.107"/>
    </inkml:context>
    <inkml:brush xml:id="br0">
      <inkml:brushProperty name="width" value="0.035" units="cm"/>
      <inkml:brushProperty name="height" value="0.035" units="cm"/>
      <inkml:brushProperty name="color" value="#E71224"/>
    </inkml:brush>
  </inkml:definitions>
  <inkml:trace contextRef="#ctx0" brushRef="#br0">1756 905 24575,'-127'2'0,"-146"-5"0,149-15 0,-18 0 0,-275-34 24,240 25-1413,131 21-5437</inkml:trace>
  <inkml:trace contextRef="#ctx0" brushRef="#br0" timeOffset="1617.87">1083 0 24575,'-3'1'0,"1"0"0,-1 0 0,0 0 0,1 0 0,-1 1 0,0-1 0,1 1 0,0-1 0,-1 1 0,1 0 0,0 0 0,-2 3 0,-11 7 0,-361 223 0,269-171 0,-22 11 0,-87 55 0,163-99 0,36-22 0,0 0 0,1 1 0,0 1 0,1 0 0,-27 27 0,38-34 0,1 0 0,0 0 0,1 0 0,-1 1 0,1-1 0,0 1 0,0 0 0,0 0 0,0 0 0,1 0 0,0 0 0,0 0 0,0 0 0,1 0 0,-1 0 0,1 1 0,0-1 0,1 0 0,-1 0 0,1 0 0,0 0 0,0 0 0,1 0 0,0 0 0,-1 0 0,1 0 0,4 6 0,4 6 0,0-1 0,0 0 0,2-1 0,0 0 0,0-1 0,1 0 0,1-1 0,0-1 0,1 0 0,18 11 0,31 16 0,83 38 0,-76-42 0,54 27 0,82 43 0,-140-66 0,93 72 0,-129-83-1365,-7-2-5461</inkml:trace>
</inkml:ink>
</file>

<file path=xl/ink/ink4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1:40.341"/>
    </inkml:context>
    <inkml:brush xml:id="br0">
      <inkml:brushProperty name="width" value="0.035" units="cm"/>
      <inkml:brushProperty name="height" value="0.035" units="cm"/>
      <inkml:brushProperty name="color" value="#E71224"/>
    </inkml:brush>
  </inkml:definitions>
  <inkml:trace contextRef="#ctx0" brushRef="#br0">109 360 24575,'-3'2'0,"1"0"0,-1 0 0,0 0 0,0 0 0,0-1 0,0 1 0,0-1 0,-5 2 0,5-3 0,1 1 0,-1 0 0,1 0 0,-1 0 0,1 0 0,0 1 0,-1-1 0,1 0 0,0 1 0,0 0 0,0-1 0,0 1 0,0 0 0,0 0 0,1 0 0,-3 4 0,-2 4 0,1 0 0,0 0 0,0 0 0,1 1 0,1 0 0,0-1 0,0 1 0,1 0 0,1 1 0,0-1 0,0 20 0,2-29 0,0-1 0,-1 1 0,1 0 0,0-1 0,0 1 0,1 0 0,-1-1 0,0 0 0,0 1 0,1-1 0,-1 0 0,1 0 0,-1 1 0,1-1 0,-1 0 0,1-1 0,0 1 0,0 0 0,-1 0 0,1-1 0,0 1 0,0-1 0,0 1 0,0-1 0,-1 0 0,1 0 0,0 0 0,0 0 0,2 0 0,58-3 0,-38-1 0,-1-2 0,1 0 0,43-20 0,-56 22 0,-8 2 0,1 1 0,-1-1 0,1 1 0,0 0 0,-1 0 0,1 0 0,0 1 0,-1 0 0,1-1 0,0 1 0,0 0 0,-1 1 0,7 0 0,-9 0 0,1 0 0,0 0 0,-1 0 0,1 0 0,-1 0 0,1 0 0,-1 0 0,0 1 0,1-1 0,-1 1 0,0-1 0,0 1 0,0-1 0,0 1 0,0 0 0,-1-1 0,1 1 0,0 0 0,-1-1 0,1 1 0,-1 0 0,0 0 0,1 0 0,-1 0 0,0-1 0,0 1 0,0 3 0,0 10 0,1 0 0,-2-1 0,0 1 0,0-1 0,-5 17 0,5-25 0,-2-1 0,1 0 0,0 0 0,-1 1 0,0-2 0,0 1 0,-1 0 0,1 0 0,-1-1 0,0 0 0,0 0 0,-1 0 0,1 0 0,-1-1 0,-9 6 0,-10 4-195,-1-1 0,0-1 0,-1-2 0,0 0 0,0-1 0,-38 5 0,48-11-6631</inkml:trace>
  <inkml:trace contextRef="#ctx0" brushRef="#br0" timeOffset="1220.9">544 229 24575,'3'5'0,"-1"0"0,0 0 0,-1 0 0,1 0 0,-1 0 0,0 0 0,0 0 0,-1 1 0,1-1 0,-1 0 0,-1 0 0,0 10 0,1 1 0,-2 68-1,0-42-681,7 79 0,-2-107-6144</inkml:trace>
  <inkml:trace contextRef="#ctx0" brushRef="#br0" timeOffset="1997.96">338 436 24575,'7'0'0,"8"0"0,10 0 0,8-2 0,7 0 0,3-2 0,0-3 0,-3 1 0,-6 1 0,-8 2 0,-3 0 0,-3 0 0,-1 0 0,-4 1-8191</inkml:trace>
  <inkml:trace contextRef="#ctx0" brushRef="#br0" timeOffset="2713.91">828 371 24575,'1'0'0,"2"2"0,-1 2 0,0 5 0,-1 3 0,4 5 0,0 2 0,0 0 0,-1 1 0,-1-2 0,-2-1 0,0-3 0,-1-1 0,0-1 0,0-3-8191</inkml:trace>
  <inkml:trace contextRef="#ctx0" brushRef="#br0" timeOffset="3711.48">817 218 24575,'0'-1'0</inkml:trace>
  <inkml:trace contextRef="#ctx0" brushRef="#br0" timeOffset="5041.78">1002 88 24575,'18'361'0,"-14"-311"0,2-31-1365</inkml:trace>
  <inkml:trace contextRef="#ctx0" brushRef="#br0" timeOffset="6319.83">1230 12 24575,'0'0'0,"-1"1"0,0-1 0,0 1 0,1-1 0,-1 1 0,0 0 0,1 0 0,-1-1 0,1 1 0,-1 0 0,1 0 0,-1 0 0,1-1 0,0 1 0,-1 0 0,1 0 0,0 0 0,0 0 0,0 0 0,0 0 0,0 0 0,0 0 0,0 0 0,0 1 0,-2 29 0,2-27 0,0 386-1365,0-380-5461</inkml:trace>
  <inkml:trace contextRef="#ctx0" brushRef="#br0" timeOffset="7335.53">1677 262 24575,'2'4'0,"0"4"0,0 7 0,2 7 0,0 1 0,-1 0 0,1-2 0,0-4-8191</inkml:trace>
  <inkml:trace contextRef="#ctx0" brushRef="#br0" timeOffset="7968.62">1688 99 24575,'0'0'-8191</inkml:trace>
  <inkml:trace contextRef="#ctx0" brushRef="#br0" timeOffset="9282.5">1818 1 24575,'-2'147'0,"-1"-34"0,13 122 0,-4-199-1365,-2-23-5461</inkml:trace>
  <inkml:trace contextRef="#ctx0" brushRef="#br0" timeOffset="10346.79">1764 164 24575,'4'0'0,"4"0"0,6 0 0,1 0 0,0 0 0,0 0 0,-1 0 0,-1 0 0,-1 0 0,-1 0 0,0 0 0,0 0 0,-2 0-8191</inkml:trace>
</inkml:ink>
</file>

<file path=xl/ink/ink4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1:51.720"/>
    </inkml:context>
    <inkml:brush xml:id="br0">
      <inkml:brushProperty name="width" value="0.035" units="cm"/>
      <inkml:brushProperty name="height" value="0.035" units="cm"/>
      <inkml:brushProperty name="color" value="#E71224"/>
    </inkml:brush>
  </inkml:definitions>
  <inkml:trace contextRef="#ctx0" brushRef="#br0">76 164 24575,'0'4'0,"0"5"0,0 2 0,0 4 0,0 2 0,0 3 0,0-1 0,-1 0 0,-2-1 0,1 0 0,-2-1 0,0 0 0,1-3-8191</inkml:trace>
  <inkml:trace contextRef="#ctx0" brushRef="#br0" timeOffset="556.23">0 1 24575</inkml:trace>
  <inkml:trace contextRef="#ctx0" brushRef="#br0" timeOffset="2404.6">262 132 24575,'-20'40'0,"18"-15"0,0-1 0,1 0 0,4 38 0,-3-60 0,1-1 0,0 1 0,-1-1 0,1 0 0,0 0 0,-1 1 0,1-1 0,0 0 0,0 0 0,0 0 0,0 0 0,0 0 0,0 0 0,1 0 0,-1 0 0,0-1 0,0 1 0,1 0 0,-1-1 0,0 1 0,1-1 0,-1 1 0,1-1 0,-1 0 0,1 1 0,-1-1 0,0 0 0,1 0 0,2 0 0,55-1 0,-43-1 0,54-8 0,-32 2 0,-37 8 0,0 0 0,0 0 0,0 0 0,0 0 0,0 0 0,0 0 0,0 0 0,0 0 0,0 1 0,-1-1 0,1 0 0,0 1 0,0-1 0,0 0 0,0 1 0,0-1 0,0 1 0,-1-1 0,1 1 0,0-1 0,0 1 0,-1 0 0,1-1 0,-1 1 0,1 0 0,0 1 0,9 30 0,-12 34 0,1-57 0,0-1 0,0 1 0,-1-1 0,-1 1 0,1-1 0,-1 0 0,0 0 0,-1 0 0,0-1 0,0 1 0,-1-1 0,0 0 0,0 0 0,-1-1 0,0 1 0,0-1 0,0 0 0,-1-1 0,0 0 0,0 0 0,0 0 0,-1-1 0,1 0 0,-1 0 0,0-1 0,0 0 0,0-1 0,-1 1 0,1-2 0,-1 1 0,1-1 0,-1 0 0,-13-1 0,-31-5-1365,45 3-5461</inkml:trace>
</inkml:ink>
</file>

<file path=xl/ink/ink4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1:55.170"/>
    </inkml:context>
    <inkml:brush xml:id="br0">
      <inkml:brushProperty name="width" value="0.035" units="cm"/>
      <inkml:brushProperty name="height" value="0.035" units="cm"/>
      <inkml:brushProperty name="color" value="#E71224"/>
    </inkml:brush>
  </inkml:definitions>
  <inkml:trace contextRef="#ctx0" brushRef="#br0">345 327 24575,'-13'0'0,"-1"0"0,1 1 0,0 2 0,-2-1 0,2 1 0,0 0 0,0 1 0,1 0 0,-1 1 0,1 1 0,-1 0 0,2 0 0,-1 1 0,-17 16 0,16-14 0,0 1 0,1 0 0,0 2 0,1-1 0,0 1 0,1 0 0,-12 19 0,17-21 0,0-1 0,1 2 0,0-1 0,1 0 0,0 0 0,1 0 0,-1 2 0,2-2 0,0 1 0,0-1 0,2 23 0,-1-30 0,0 1 0,0-1 0,0 1 0,1 0 0,0-1 0,0 1 0,0-1 0,0 2 0,0-2 0,0 0 0,1 0 0,0 1 0,0-1 0,0 0 0,0 0 0,0-1 0,0 1 0,1 0 0,-1-1 0,1 1 0,0-1 0,0 0 0,0 0 0,1 0 0,-1 0 0,0-1 0,0 1 0,1 0 0,-1-1 0,1 0 0,-1 0 0,1 0 0,-1 0 0,1-1 0,-1 0 0,1 0 0,0 0 0,-1 0 0,1 0 0,6-2 0,1-1-151,1 0-1,-1 0 0,-1-1 0,0 0 1,1-1-1,-1 0 0,-1 0 1,13-9-1,-1-2-6674</inkml:trace>
  <inkml:trace contextRef="#ctx0" brushRef="#br0" timeOffset="807.2">510 427 24575,'-3'0'0,"1"0"0,-1 0 0,0 1 0,0-1 0,0 1 0,1 0 0,-1-1 0,0 2 0,1 0 0,-1-1 0,0 0 0,1 0 0,0 1 0,-1 0 0,1-1 0,0 1 0,0 0 0,-3 3 0,1 0 0,1 0 0,0 0 0,0 0 0,0 0 0,0 2 0,0-2 0,1 1 0,-1 9 0,-2 9 0,2 0 0,1 0 0,1 36 0,1-52 0,0 2 0,1 0 0,0 1 0,0 0 0,1-1 0,5 17 0,-7-25 0,1-1 0,-1 1 0,1-1 0,-1 2 0,1-2 0,0 1 0,0-1 0,-1 0 0,1 1 0,0-1 0,1 0 0,-1 0 0,1 1 0,-1-1 0,0 0 0,0 0 0,0 0 0,1-1 0,-1 1 0,1 0 0,-1 0 0,0-1 0,1 1 0,0-1 0,-1 1 0,1-1 0,-1 0 0,1 1 0,-1-1 0,1 0 0,0 0 0,-1 0 0,1 0 0,-1 0 0,1-1 0,-1 1 0,1 0 0,-1-1 0,1 1 0,-1-1 0,1 0 0,-1 1 0,1-1 0,-1 0 0,0 0 0,3-2 0,5-3 0,-1-1 0,0-1 0,1 1 0,-1-1 0,-1 0 0,0-1 0,0 1 0,-1-2 0,-1 1 0,1-1 0,-1 0 0,-1 1 0,0-2 0,0 0 0,-1 1 0,0-1 0,-1 1 0,1-2 0,-2 1 0,0 1 0,-1-1 0,0-1 0,-1 1 0,0 0 0,0 1 0,-6-17 0,6 25 5,-1-1 0,0 0 0,0 1-1,0-1 1,0 1 0,0 0 0,-1-1 0,1 1-1,-1 0 1,1 0 0,-1 1 0,0-1 0,0 1-1,0-1 1,0 1 0,0 0 0,0 0-1,0 0 1,0 0 0,0 1 0,0-1 0,0 1-1,-1 0 1,-5 0 0,-11 0-500,1 1 0,-33 4 0,36-2-6331</inkml:trace>
  <inkml:trace contextRef="#ctx0" brushRef="#br0" timeOffset="2120.75">765 550 24575,'1'56'0,"0"-26"0,-1-1 0,-4 39 0,4-68 0,0 0 0,0 0 0,0 0 0,0 1 0,0-1 0,0 0 0,0 0 0,1 0 0,-1 0 0,0 0 0,0 2 0,0-2 0,0 0 0,0 0 0,0 0 0,0 0 0,0 0 0,0 1 0,0-1 0,0 0 0,0 0 0,0 0 0,0 0 0,0 0 0,0 1 0,0-1 0,0 0 0,0 0 0,-1 0 0,1 0 0,0 0 0,0 0 0,0 1 0,0-1 0,0 0 0,0 0 0,0 0 0,0 0 0,-1 0 0,1 0 0,0 0 0,0 0 0,0 0 0,0 1 0,0-1 0,0 0 0,-2 0 0,2 0 0,0 0 0,0 0 0,0 0 0,0 0 0,0 0 0,-1 0 0,1 0 0,0 0 0,0 0 0,0 0 0,0 0 0,0 0 0,-1 0 0,1 0 0,0 0 0,0 0 0,0-1 0,0 1 0,-6-15 0,-1-21 0,3-8 0,3-85 0,1 117 0,2 0 0,-1-2 0,2 2 0,-1 0 0,2 0 0,0-1 0,0 2 0,2-1 0,-1 1 0,1 0 0,11-16 0,-16 25 0,-1 1 0,2-1 0,-1 1 0,0-1 0,0 1 0,0 0 0,1 0 0,-1 0 0,0-1 0,1 1 0,-1 0 0,1 1 0,-1-1 0,1 0 0,0 0 0,-1 1 0,1-1 0,0 1 0,0-1 0,-1 1 0,1 0 0,0 0 0,0 0 0,-1 0 0,5 0 0,-4 1 0,2 0 0,-2 1 0,0-1 0,1 1 0,-1-1 0,0 1 0,0 0 0,0 0 0,0 0 0,0 0 0,0 0 0,-1 0 0,1 1 0,1 3 0,4 9 0,-1-1 0,0-1 0,-1 2 0,6 29 0,4 91 108,-7-57-1581,-6-63-5353</inkml:trace>
  <inkml:trace contextRef="#ctx0" brushRef="#br0" timeOffset="3054.59">995 605 24575,'2'2'0,"-1"-1"0,0 1 0,0-1 0,1 1 0,-1 0 0,-1-1 0,1 1 0,0 0 0,-1-1 0,1 1 0,-1 0 0,0 0 0,1 0 0,-1 3 0,0-5 0,0 0 0,0 0 0,0 0 0,0 0 0,0 0 0,-1 0 0,1 0 0,0 0 0,0 0 0,0-2 0,0 2 0,0 0 0,0 0 0,0 0 0,0 0 0,0 0 0,0 0 0,0 0 0,0 0 0,-1 0 0,1 0 0,0 0 0,0 0 0,0 2 0,0-2 0,0 0 0,0 0 0,0 0 0,0 0 0,0 0 0,0 0 0,0 0 0,0 0 0,-1 0 0,1 0 0,0 0 0,0 0 0,0 0 0,0 0 0,0 0 0,0 0 0,0 0 0,0 0 0,0 1 0,0-1 0,0 0 0,0 0 0,0 0 0,0 0 0,0 0 0,0 0 0,0 0 0,0 0 0,0 0 0,0 0 0,0 0 0,0 0 0,0 1 0,0-1 0,-8-21 0,-2-19 0,2 0 0,1-1 0,2 0 0,1-65 0,4 99 0,0 1 0,0-1 0,0 1 0,1 0 0,-1 1 0,1-1 0,0 0 0,4-9 0,-4 13 0,0 1 0,1-2 0,-1 1 0,1 1 0,-1-1 0,1 1 0,-1-1 0,1 1 0,0 0 0,0-1 0,-1 1 0,1 0 0,0 0 0,0 1 0,0-1 0,0 0 0,0 1 0,2-1 0,-2 1 0,0 0 0,0-1 0,0 1 0,0 0 0,4 1 0,16-1 9,1 1-1,0 1 1,-1 1-1,0 1 1,0 1 0,0 2-1,0 0 1,-1 1-1,-1 0 1,1 2-1,-1 0 1,-1 3-1,36 25 1,-41-26-87,-2-1 0,1 1 0,0 1-1,-2 1 1,0-1 0,-1 1 0,0 1 0,-2 0 0,1 1-1,-2-1 1,0 2 0,0-1 0,-1 0 0,-1 2 0,-1-1-1,-1 0 1,-1 1 0,2 26 0,-5-20-6748</inkml:trace>
  <inkml:trace contextRef="#ctx0" brushRef="#br0" timeOffset="4036.47">1647 472 24575,'8'-1'0,"1"-1"0,0 0 0,-1 0 0,0-1 0,0 0 0,1 0 0,-2-1 0,1 0 0,1 0 0,-2-1 0,0 0 0,0-1 0,0 0 0,-1 1 0,0-2 0,0 1 0,0-1 0,-1 0 0,0 0 0,0-1 0,-1 0 0,1 1 0,-1-1 0,-1 0 0,0 0 0,0-2 0,2-10 0,-5 18 0,0 1 0,0 0 0,0-1 0,0 1 0,0 0 0,0-1 0,0 1 0,0 0 0,0-1 0,-1 1 0,1 0 0,-1 0 0,1-1 0,-1 1 0,1 0 0,-1 0 0,0 0 0,1 0 0,-1-1 0,0 0 0,0 1 0,0 1 0,0-1 0,0 0 0,-2-2 0,0 2 0,1 1 0,0-1 0,-2 0 0,2 1 0,-1-1 0,0 1 0,1 0 0,-1 0 0,1 0 0,-1 0 0,1 0 0,-6 1 0,1 1 0,0-1 0,0 1 0,1 1 0,-1 0 0,0 0 0,1 0 0,-2 1 0,2 0 0,-6 5 0,2 1 0,1 1 0,1 1 0,0-1 0,1 1 0,0 0 0,1 2 0,-1-1 0,2 0 0,-7 25 0,3-1 0,2-1 0,-4 58 0,10-82 0,-1 0 0,1-1 0,1 0 0,0 0 0,1 1 0,2 12 0,-3-22 0,1 0 0,-1 0 0,1 1 0,0-1 0,0 0 0,0 0 0,0 0 0,0 0 0,0-1 0,1 1 0,-1 0 0,1 1 0,-1-2 0,1 1 0,-1-1 0,1 1 0,0-1 0,0 0 0,0 1 0,0-1 0,0 0 0,0 0 0,0-1 0,0 1 0,0 0 0,0-1 0,0 1 0,1-1 0,-1 0 0,0 1 0,4-1 0,35 0-682,53-5-1,-74 3-6143</inkml:trace>
  <inkml:trace contextRef="#ctx0" brushRef="#br0" timeOffset="5067.46">2220 327 24575,'-11'0'0,"-1"0"0,0 1 0,1 1 0,0 0 0,0 0 0,0 1 0,0 0 0,-21 9 0,26-8 0,-1 0 0,0 1 0,1-1 0,0 1 0,0 2 0,1-2 0,-1 1 0,1 0 0,-1 0 0,2 0 0,-1 1 0,1 0 0,-5 13 0,4-9 0,2 1 0,-1-1 0,1 1 0,1 0 0,0-1 0,0 1 0,1 1 0,1 12 0,0-21 0,0-1 0,0 1 0,0-1 0,0 1 0,1 0 0,0-1 0,-1 1 0,1-1 0,0 0 0,1 1 0,-1-1 0,1 0 0,-1 0 0,1 0 0,0 0 0,0 0 0,0-1 0,0 1 0,1-1 0,-1 1 0,1-1 0,0 1 0,-1-1 0,1 0 0,0 0 0,0 0 0,0-1 0,0 1 0,2-1 0,5 2 0,-3-2-124,1 1 0,0-2 0,0 1 0,0-1 0,0 0 0,0-1-1,0 0 1,0 0 0,0-1 0,13-4 0,-6-1-6702</inkml:trace>
  <inkml:trace contextRef="#ctx0" brushRef="#br0" timeOffset="6635.27">2583 61 24575,'5'24'0,"0"-1"0,-2 1 0,-1-1 0,-1 1 0,-4 46 0,2-11 0,1 8 0,3 1 0,18 92 0,-12-98-1365,-8-51-5461</inkml:trace>
  <inkml:trace contextRef="#ctx0" brushRef="#br0" timeOffset="7283.89">2418 394 24575,'0'-1'0,"6"-2"0,5 1 0,9-2 0,6-1 0,2-2 0,3 0 0,1 1 0,5-1 0,5 0 0,11-3 0,8-3 0,-6 2 0,-11 1 0,-14 2-8191</inkml:trace>
  <inkml:trace contextRef="#ctx0" brushRef="#br0" timeOffset="8801.04">3201 184 24575,'-5'0'0,"0"0"0,-1 0 0,1 1 0,0 0 0,0 0 0,0 0 0,-1 1 0,1 0 0,0 0 0,1 0 0,-1 0 0,0 1 0,1 0 0,0 0 0,0 0 0,0 0 0,0 1 0,0-1 0,-5 9 0,4-5 0,1 0 0,0 1 0,0-1 0,-1 1 0,2 0 0,0 1 0,1-1 0,-1 0 0,2 0 0,-1 1 0,0 14 0,2-12 0,0-1 0,0 1 0,1 0 0,1-1 0,-1 1 0,2-1 0,-1 0 0,2 1 0,7 14 0,-8-19 0,0 0 0,0-1 0,0 1 0,1 0 0,0-1 0,0-1 0,1 1 0,-1 0 0,1-1 0,0 0 0,0 0 0,0-1 0,1 1 0,-1 0 0,13 4 0,-6-5 24,-1 0 0,1-1 0,-1 0 0,25 1 0,-30-2-159,0-1 0,0-1 0,0 1 0,1-1 0,-1 0 0,0 0 0,0-1 0,0 0 0,-1 0 0,13-6 0,-4-2-6691</inkml:trace>
  <inkml:trace contextRef="#ctx0" brushRef="#br0" timeOffset="10498.56">3576 205 24575,'-2'0'0,"-1"0"0,0 1 0,-1-1 0,2 0 0,-1 1 0,1 0 0,-1-1 0,0 1 0,1 0 0,0 0 0,-1 0 0,1 1 0,0-1 0,-1 1 0,1-1 0,0 1 0,0 0 0,-3 3 0,2 0 0,0-1 0,1 0 0,-1 1 0,1-1 0,0 1 0,0 0 0,0-1 0,1 1 0,-2 8 0,0 9 0,1 0 0,0 1 0,4 36 0,-2-40 0,0-16 0,1 1 0,-1-1 0,1 0 0,-1 0 0,1-1 0,0 1 0,0 0 0,0 0 0,0 0 0,1-1 0,-1 1 0,1-1 0,0 1 0,-1-1 0,1 0 0,0 0 0,1 1 0,-1-1 0,0-1 0,0 1 0,1 1 0,-1-2 0,5 3 0,-6-3 0,1-1 0,0 1 0,0-1 0,0 1 0,0-1 0,0 1 0,0-1 0,0 0 0,0 0 0,0 0 0,0 0 0,0 0 0,1-1 0,-1 1 0,0-1 0,-1 1 0,1-1 0,0 0 0,0 1 0,0-1 0,0 0 0,-1 0 0,1 0 0,-1-1 0,1 0 0,0 1 0,-1 0 0,0-1 0,1 1 0,-1-1 0,0 0 0,0 1 0,0-1 0,0 0 0,1-1 0,3-9 0,-1 0 0,0-1 0,0 1 0,-1 0 0,-1 0 0,0-2 0,-1 2 0,0-16 0,-1-11 0,-8-55 0,3 70 0,0-2 0,-2 2 0,-2-1 0,-20-43 0,13 32 0,32 103 0,-6-23 0,2 1 0,2 0 0,21 48 0,-30-81 0,2 0 0,-1 0 0,1-1 0,0-1 0,0 1 0,1-1 0,1 0 0,-1-1 0,2 0 0,-1 0 0,2-1 0,19 13 0,-25-18-97,-1-1-1,1-1 1,0 1-1,-1-1 1,1 1-1,0-1 1,0-1-1,0 1 1,1-1-1,-2 0 1,1 0-1,0 0 0,7-1 1,-1-2-6729</inkml:trace>
  <inkml:trace contextRef="#ctx0" brushRef="#br0" timeOffset="12226.83">3201 150 24575,'35'-6'0,"-28"4"0,0 1 0,-1-1 0,1 2 0,-1-1 0,13 1 0,-17 0 0,-1 0 0,1 0 0,-1 1 0,1-1 0,-1 1 0,1-1 0,-1 1 0,0 0 0,1 0 0,-1-1 0,0 1 0,1 0 0,-1 0 0,0 0 0,0 0 0,0 1 0,0-1 0,0 0 0,0 0 0,0 1 0,0-1 0,-1 0 0,1 1 0,0-1 0,-1 1 0,1-1 0,-1 1 0,0-1 0,1 3 0,1 8 0,-1-1 0,1 1 0,-2 0 0,0 0 0,-2 0 0,1-1 0,-1 0 0,0 1 0,-5 15 0,1-10 0,0 1 0,-1-1 0,-1-1 0,0 1 0,-14 19 0,20-34-114,0 0 1,0 1-1,0 0 0,-1-1 0,1 0 1,0 0-1,-1 0 0,1 0 0,-1-1 1,1 1-1,-5 1 0,-2 0-6712</inkml:trace>
</inkml:ink>
</file>

<file path=xl/ink/ink4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2:08.824"/>
    </inkml:context>
    <inkml:brush xml:id="br0">
      <inkml:brushProperty name="width" value="0.035" units="cm"/>
      <inkml:brushProperty name="height" value="0.035" units="cm"/>
      <inkml:brushProperty name="color" value="#E71224"/>
    </inkml:brush>
  </inkml:definitions>
  <inkml:trace contextRef="#ctx0" brushRef="#br0">109 0 24575,'-1'2'0,"0"-1"0,0 0 0,1 1 0,-1-1 0,0 1 0,0-1 0,1 1 0,-1-1 0,1 1 0,-1-1 0,1 1 0,0-1 0,0 1 0,0 0 0,0-1 0,0 1 0,0 3 0,0-4 0,3 85 0,3 1 0,25 123 0,-5-38 0,-25-166-105,-1-1-10,1 1 1,0-1-1,-1 0 1,2 0-1,-1 0 1,1 0-1,-1 0 1,1 0-1,1 0 1,4 7-1</inkml:trace>
  <inkml:trace contextRef="#ctx0" brushRef="#br0" timeOffset="589.68">0 360 24575,'74'0'0,"-26"2"0,1-2 0,-1-2 0,0-2 0,71-16 0,-68 1-1365,-42 14-5461</inkml:trace>
  <inkml:trace contextRef="#ctx0" brushRef="#br0" timeOffset="1541.16">675 316 24575,'0'-1'0,"-1"1"0,1-1 0,-1 0 0,1 1 0,-1-1 0,0 1 0,1-1 0,-1 1 0,0-1 0,0 1 0,1-1 0,-1 1 0,0 0 0,0 0 0,0-1 0,1 1 0,-1 0 0,0 0 0,0 0 0,0 0 0,0 0 0,1 0 0,-1 0 0,0 0 0,0 0 0,-1 0 0,-24 2 0,21 0 0,1-1 0,0 1 0,0-1 0,0 1 0,0 0 0,1 1 0,-1-1 0,1 1 0,-1-1 0,1 1 0,0 0 0,0 0 0,0 1 0,0-1 0,1 1 0,-1-1 0,1 1 0,0 0 0,0 0 0,0 0 0,-2 8 0,2-6 0,0 0 0,1 0 0,0 0 0,0 0 0,1 0 0,-1 1 0,1-1 0,1 0 0,-1 0 0,1 1 0,0-1 0,0 0 0,1 0 0,0 0 0,3 6 0,-3-8 0,1 1 0,0-1 0,1 0 0,-1 0 0,1-1 0,-1 1 0,1-1 0,0 0 0,1 0 0,-1 0 0,0 0 0,1-1 0,-1 0 0,1 0 0,0 0 0,0 0 0,0-1 0,0 0 0,0 0 0,5 0 0,16 2 0,-1-1 0,45-3 0,-50 1 0,-3-1 0,0 0 0,-1-1 0,1-1 0,-1 0 0,0-1 0,0-1 0,0 0 0,-1-2 0,1 1 0,-2-2 0,1 0 0,-1-1 0,0 0 0,-1-1 0,0-1 0,0 0 0,16-19 0,-26 25 0,1-1 0,-1 1 0,-1-1 0,1 0 0,-1 1 0,0-1 0,0 0 0,-1 0 0,1-1 0,-1 1 0,0-9 0,-1 13 0,0-1 0,0 1 0,0 0 0,0-1 0,0 1 0,0 0 0,-1 0 0,1-1 0,-1 1 0,0 0 0,1 0 0,-1 0 0,0 0 0,0 0 0,-1 0 0,1 0 0,0 0 0,-1 0 0,1 0 0,-1 1 0,1-1 0,-1 0 0,0 1 0,0 0 0,0-1 0,1 1 0,-1 0 0,-1 0 0,1 0 0,0 0 0,0 0 0,-4 0 0,-18-3 0,-1 1 0,-30 1 0,44 1 0,1 2 0,-1 0 0,0 0 0,1 1 0,-1 0 0,1 0 0,-18 8 0,24-8-114,1 1 1,-1-1-1,1 1 0,-1 0 0,1 0 1,0 0-1,0 0 0,1 0 0,-1 1 1,1-1-1,-4 6 0,-2 8-6712</inkml:trace>
</inkml:ink>
</file>

<file path=xl/ink/ink5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2:19.023"/>
    </inkml:context>
    <inkml:brush xml:id="br0">
      <inkml:brushProperty name="width" value="0.035" units="cm"/>
      <inkml:brushProperty name="height" value="0.035" units="cm"/>
      <inkml:brushProperty name="color" value="#E71224"/>
    </inkml:brush>
  </inkml:definitions>
  <inkml:trace contextRef="#ctx0" brushRef="#br0">1 1 24575,'2'0'0,"0"2"0,1 8 0,-1 11 0,-1 12 0,0 9 0,-1 9 0,0 8 0,0 2 0,0-5 0,0-10 0,0-10 0,0-9 0,0-8 0,0-6-8191</inkml:trace>
</inkml:ink>
</file>

<file path=xl/ink/ink5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2:22.139"/>
    </inkml:context>
    <inkml:brush xml:id="br0">
      <inkml:brushProperty name="width" value="0.035" units="cm"/>
      <inkml:brushProperty name="height" value="0.035" units="cm"/>
      <inkml:brushProperty name="color" value="#E71224"/>
    </inkml:brush>
  </inkml:definitions>
  <inkml:trace contextRef="#ctx0" brushRef="#br0">0 240 24575,'30'0'0,"-6"1"0,-1-1 0,1-1 0,-1-1 0,1-1 0,25-7 0,-44 9 0,0-1 0,1 0 0,-1 0 0,0-1 0,0 0 0,0 1 0,0-2 0,-1 1 0,1 0 0,-1-1 0,0 0 0,0 0 0,0 0 0,-1-1 0,1 1 0,-1-1 0,0 0 0,-1 0 0,1 0 0,-1 0 0,0 0 0,0-1 0,0 1 0,-1-1 0,0 1 0,1-10 0,-1-93 0,13 146 0,-6 74 0,-7 115 0,-2-177 0,-1-98 0,2-48 0,0 89 0,1 0 0,0-1 0,0 1 0,1 0 0,0 0 0,0 0 0,1 0 0,0 0 0,0 1 0,5-8 0,-6 12 0,0 0 0,0 0 0,0 0 0,0 0 0,1 0 0,-1 1 0,1-1 0,-1 1 0,1-1 0,-1 1 0,1 0 0,0 0 0,0 0 0,-1 1 0,1-1 0,0 1 0,0-1 0,0 1 0,0 0 0,0 0 0,0 0 0,0 0 0,0 1 0,-1-1 0,1 1 0,0 0 0,0 0 0,0 0 0,-1 0 0,1 0 0,-1 1 0,1-1 0,-1 1 0,1-1 0,-1 1 0,0 0 0,0 0 0,0 0 0,0 0 0,0 1 0,0-1 0,-1 0 0,1 1 0,1 3 0,5 18-117,-2 1-1,0-1 1,-2 1-1,-1 0 1,-1 0-1,-1 0 1,-3 34-1,2-45-307,0-5-6401</inkml:trace>
  <inkml:trace contextRef="#ctx0" brushRef="#br0" timeOffset="1219.12">773 262 24575,'-64'-22'0,"60"21"0,0 1 0,0 0 0,0 0 0,0 0 0,0 0 0,0 0 0,1 1 0,-1 0 0,0 0 0,0 0 0,0 0 0,1 0 0,-1 1 0,0 0 0,1 0 0,0 0 0,-4 2 0,4-1 0,0 1 0,1-1 0,-1 1 0,1 0 0,0 0 0,0 0 0,0 0 0,0 0 0,1 0 0,-1 0 0,1 1 0,0-1 0,0 0 0,1 1 0,-1 5 0,-1 6 0,1 0 0,1 1 0,0-1 0,1 1 0,0-1 0,8 30 0,-7-41 0,-1 1 0,2-1 0,-1 0 0,1 0 0,0 0 0,0 0 0,0 0 0,0-1 0,1 1 0,0-1 0,0 0 0,0 0 0,1 0 0,-1-1 0,1 1 0,0-1 0,0 0 0,0-1 0,0 1 0,0-1 0,0 0 0,1 0 0,5 1 0,-7-2-85,0 0 0,0 0-1,1 0 1,-1 0 0,0-1-1,0 1 1,0-1 0,0 0-1,1 0 1,-1-1 0,0 1-1,0-1 1,0 0 0,0 0-1,6-3 1,-5-1-6741</inkml:trace>
  <inkml:trace contextRef="#ctx0" brushRef="#br0" timeOffset="2169.11">795 218 24575,'0'-2'0,"0"2"0,0 2 0,0 4 0,0 4 0,0 3 0,0 4 0,0 4 0,-3 4 0,-4 0 0,-4-1 0,-2-3 0,-1-2 0,1-6 0,0-4 0,1-3 0,0-4 0,2-2-8191</inkml:trace>
</inkml:ink>
</file>

<file path=xl/ink/ink5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2:25.917"/>
    </inkml:context>
    <inkml:brush xml:id="br0">
      <inkml:brushProperty name="width" value="0.035" units="cm"/>
      <inkml:brushProperty name="height" value="0.035" units="cm"/>
      <inkml:brushProperty name="color" value="#E71224"/>
    </inkml:brush>
  </inkml:definitions>
  <inkml:trace contextRef="#ctx0" brushRef="#br0">375 261 24575,'0'-1'0,"0"0"0,-1 0 0,1 0 0,-1-1 0,1 1 0,-1 0 0,0 0 0,1 0 0,-1 0 0,0 0 0,-1 0 0,1 0 0,0 0 0,0 0 0,0 1 0,0-1 0,0 0 0,0 1 0,0-1 0,0 0 0,0 1 0,-1-1 0,1 1 0,0 0 0,0-1 0,-1 1 0,1 0 0,0 0 0,0 0 0,-1 0 0,-1 0 0,-52-1 0,43 2 0,1 0 0,-1 0 0,1 1 0,0 0 0,0 1 0,1 0 0,-2 1 0,2 0 0,0 1 0,0 0 0,0 1 0,1-1 0,-2 2 0,3 1 0,-1-1 0,1 0 0,-9 11 0,5-7 0,2 1 0,1 0 0,0 2 0,1-1 0,0 0 0,1 1 0,-1 0 0,2 0 0,1 2 0,0-1 0,-3 19 0,8-33 0,0 1 0,0-1 0,0 0 0,0 0 0,0 0 0,0 1 0,1-1 0,-1 0 0,0 0 0,1 0 0,-1 1 0,1-1 0,-1 0 0,1 0 0,-1 0 0,1 0 0,0 0 0,-1 0 0,1 0 0,0 0 0,0-1 0,0 1 0,0 0 0,0 0 0,0-1 0,0 1 0,0 1 0,0-2 0,0 1 0,0-1 0,0 1 0,1-1 0,-1 0 0,0 0 0,0 1 0,0-1 0,1 0 0,2 0 0,55 0 0,-50-1 0,31-5 0,1-1 0,46-14 0,10-2 0,-95 23 0,-1-1 0,2 1 0,-1 0 0,0 0 0,0 0 0,0 0 0,0 0 0,0 0 0,0 0 0,0 1 0,0-1 0,-1 1 0,1-1 0,0 1 0,0 0 0,0-1 0,-1 1 0,1 0 0,-1 0 0,1 0 0,0 1 0,-1-1 0,2 2 0,0 0 0,-1 0 0,0 1 0,-1-1 0,1 0 0,-1 1 0,1-1 0,-1 1 0,0-1 0,1 1 0,-1-1 0,0 8 0,-1-3 0,1-1 0,-1 1 0,0 0 0,-1-1 0,0 1 0,0-1 0,-2 1 0,1-1 0,0 0 0,-1 1 0,-6 13 0,2-13 14,-1 1-1,0-1 0,0-1 0,-2 1 1,1-1-1,0-1 0,0 1 1,-20 8-1,26-13-70,-1 0 0,0 0 0,0 0 0,0 0-1,0-1 1,0 0 0,0 1 0,-1-2 0,1 1 0,0 0 0,-1-1 0,1 0-1,-1 0 1,0 0 0,1 0 0,0-1 0,0 0 0,-1 0 0,1 0 0,0 0 0,0-1-1,0 0 1,0 1 0,0-1 0,-5-4 0,2-1-6769</inkml:trace>
  <inkml:trace contextRef="#ctx0" brushRef="#br0" timeOffset="1233.77">597 626 24575,'71'20'0,"-68"-19"0,1-1 0,-1 1 0,1-1 0,0 0 0,-1-1 0,1 1 0,-1 0 0,1-1 0,0 0 0,-1 0 0,2 0 0,-2 0 0,0-1 0,1 1 0,-1-1 0,0 0 0,0 0 0,0 0 0,4-3 0,-1-4 0,0 2 0,-1-1 0,1 0 0,-1-1 0,0 1 0,4-12 0,19-46 0,-2-1 0,-4-1 0,-2-1 0,17-114 0,-35 79 0,-39 306 0,-9 59 0,41-213 0,2 2 0,1-1 0,8 67 0,-6-112 0,0 1 0,1-1 0,0 1 0,0-1 0,0 0 0,1 1 0,-1-1 0,1 0 0,0 0 0,0 0 0,0 0 0,1 0 0,-1 0 0,1 0 0,0 0 0,0-1 0,0 0 0,1 0 0,-1 0 0,1 0 0,1-1 0,-2 1 0,1-1 0,0 0 0,0 0 0,1-1 0,-1 1 0,0-1 0,1 0 0,-1 0 0,0 0 0,1 0 0,-1-1 0,1 0 0,0 0 0,0 0 0,0-1 0,-1 1 0,0-1 0,1 0 0,-1 0 0,5-2 0,1-3-97,0 1-1,0-1 1,-1-1-1,0 0 1,-1-1-1,0 0 1,0 0-1,1 0 1,-2-1-1,0 0 1,-1 0-1,0-1 0,8-19 1,-6 9-6729</inkml:trace>
  <inkml:trace contextRef="#ctx0" brushRef="#br0" timeOffset="2843.78">1229 383 24575,'0'4'0,"0"6"0,0 6 0,0 5 0,0 6 0,0 3 0,0 0 0,0 1 0,0-1 0,0-3 0,0-4-8191</inkml:trace>
  <inkml:trace contextRef="#ctx0" brushRef="#br0" timeOffset="3774.04">1261 195 24575,'0'-2'0</inkml:trace>
  <inkml:trace contextRef="#ctx0" brushRef="#br0" timeOffset="4897.57">1727 306 24575,'-8'0'0,"0"0"0,0 0 0,0 1 0,0 0 0,0 0 0,-1 1 0,1 0 0,1 1 0,-1 0 0,1 0 0,-1 0 0,-10 7 0,14-6 0,-1 0 0,1 0 0,0 1 0,0-1 0,0 1 0,1 0 0,-1 0 0,1 1 0,0 0 0,1-1 0,-1 1 0,1-1 0,0 1 0,1 0 0,0 0 0,-1 0 0,1 7 0,-2 8 0,0-2 0,2 0 0,1 1 0,1-1 0,6 35 0,-6-49 0,-1-1 0,2 1 0,-1-1 0,1 1 0,-1-1 0,1 0 0,0 1 0,1 0 0,-1-1 0,1-1 0,-1 1 0,1 0 0,0-1 0,1 1 0,-1-1 0,1 0 0,-1 0 0,1 0 0,0-1 0,1 0 0,-1 1 0,0-1 0,1 0 0,-1-1 0,0 1 0,1-1 0,0 0 0,8 1 0,-2-1-124,-2-1 0,1 0 0,0-1 0,-1 0 0,1 0 0,1-1-1,-2-1 1,0 1 0,1-1 0,11-6 0,3-2-6702</inkml:trace>
  <inkml:trace contextRef="#ctx0" brushRef="#br0" timeOffset="5815.38">2038 427 24575,'2'-1'0,"1"1"0,0-1 0,0 0 0,0 0 0,-1 0 0,1 0 0,0 0 0,-1-1 0,1 1 0,-1-1 0,2 0 0,-2 1 0,0-1 0,0 0 0,0-1 0,0 1 0,0 0 0,0 0 0,-1-1 0,1 1 0,-1-1 0,1 0 0,-1 1 0,0-1 0,0 0 0,0 0 0,-1 1 0,1-2 0,-1 1 0,1-6 0,-1 7 0,1-1 0,-1 0 0,1 1 0,-1-1 0,0 0 0,0 0 0,0 1 0,-1-1 0,1 0 0,-1 1 0,1-1 0,-1 1 0,0-1 0,0 0 0,0 1 0,0 0 0,-1-1 0,1 1 0,-1 0 0,1-1 0,-1 1 0,0 0 0,0 0 0,0 0 0,0 1 0,0-1 0,0 0 0,0 1 0,-2-1 0,2 0 0,0 1 0,-1 0 0,-4-1 0,2 1 0,-1 0 0,1 0 0,-1 1 0,0 0 0,1 0 0,-1 1 0,0-1 0,0 1 0,1 0 0,-1 1 0,1-1 0,-1 1 0,1 1 0,0 0 0,0-1 0,0 1 0,-7 5 0,5-3 0,1 1 0,0 1 0,0-1 0,0 1 0,0 0 0,1 0 0,1 1 0,-2 0 0,2 0 0,-4 12 0,2-5 0,2 0 0,-1 0 0,2 1 0,0 0 0,1 0 0,0-1 0,1 1 0,1 0 0,1 1 0,0-1 0,1-1 0,5 21 0,-5-31 0,-1-1 0,1 0 0,0-1 0,0 1 0,1-1 0,-1 1 0,1-1 0,-1 0 0,1 0 0,0 0 0,0 0 0,2-1 0,-2 1 0,1-1 0,-1 0 0,1 0 0,-1 0 0,1 0 0,0-1 0,0 1 0,0-1 0,0 0 0,0 0 0,0-1 0,7 1 0,10 1 0,0-2 0,2 0 0,34-5 0,-52 5 0,5-2-195,-1 0 0,1 0 0,-1-1 0,1 0 0,-1 0 0,10-6 0,7-5-6631</inkml:trace>
  <inkml:trace contextRef="#ctx0" brushRef="#br0" timeOffset="6986.69">2359 339 24575,'5'-1'0,"-1"0"0,1 0 0,-1-1 0,1 1 0,-1-1 0,0 0 0,4-2 0,21-8 0,-21 10 0,0 1 0,0-1 0,0 1 0,1 1 0,-1-1 0,0 1 0,0 1 0,0 0 0,0 0 0,0 0 0,1 1 0,-1 0 0,0 1 0,0 0 0,-1 0 0,9 5 0,-11-4 0,2-1 0,-2 2 0,0-1 0,0 1 0,0-1 0,0 1 0,-1 1 0,0-1 0,0 2 0,0-2 0,-1 1 0,0 0 0,0 1 0,1-1 0,-2 0 0,0 1 0,0-1 0,-1 1 0,0 0 0,1 7 0,1 10 0,-2 0 0,0-1 0,-2 2 0,-1-1 0,0 0 0,-7 26 0,8-47 0,-1-1 0,0 1 0,1-1 0,-1 0 0,0 1 0,1-1 0,-1 0 0,0 0 0,0 0 0,-1 0 0,1 0 0,0-1 0,0 1 0,-1-1 0,1 1 0,-1-1 0,0 0 0,1 0 0,-1 0 0,0 0 0,0 0 0,1-1 0,-1 1 0,0-1 0,0 0 0,-1 0 0,1 0 0,1 0 0,-1 0 0,0-1 0,-4-1 0,2 2 0,0-1 0,0 0 0,0 0 0,0 0 0,1-1 0,-1 0 0,-1 0 0,2 0 0,-1 0 0,1-1 0,0 1 0,0-1 0,0 0 0,0-1 0,1 1 0,-1-1 0,-4-6 0,3 0 0,0-2 0,2 1 0,0 0 0,0 0 0,1 0 0,1-1 0,0 1 0,0-24 0,3 4 0,0-1 0,8-32 0,-6 51-68,0-1 0,0 1-1,1 0 1,0 0 0,1 1 0,1 0-1,0-1 1,1 2 0,1 0 0,-1 0-1,1 0 1,0 1 0,1 1 0,1 0-1,0-1 1,0 2 0,1 0 0,-1 1-1,20-9 1,-15 8-6758</inkml:trace>
</inkml:ink>
</file>

<file path=xl/ink/ink5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41:34.359"/>
    </inkml:context>
    <inkml:brush xml:id="br0">
      <inkml:brushProperty name="width" value="0.035" units="cm"/>
      <inkml:brushProperty name="height" value="0.035" units="cm"/>
      <inkml:brushProperty name="color" value="#E71224"/>
    </inkml:brush>
  </inkml:definitions>
  <inkml:trace contextRef="#ctx0" brushRef="#br0">1 1810 24575,'2'-1'0,"0"0"0,0-1 0,-1 1 0,1 0 0,0-1 0,-1 0 0,1 1 0,-1-1 0,1 0 0,-1 0 0,0 0 0,0 0 0,0 0 0,0 0 0,0 0 0,0 0 0,0-4 0,5-6 0,4-4 0,1 1 0,0 0 0,1 1 0,1 0 0,0 1 0,1 1 0,0 0 0,25-16 0,139-71 0,-110 64 0,41-22 0,65-34 0,283-195 0,-331 200 0,5 5 0,213-97 0,168-44 0,-458 200 0,174-55 0,-161 59 0,-2-4 0,0-2 0,85-46 0,-72 35-1365,-57 25-5461</inkml:trace>
  <inkml:trace contextRef="#ctx0" brushRef="#br0" timeOffset="1943.67">2938 11 24575,'0'0'0,"278"-10"0,-274 10 0,0-1 0,1 1 0,-1 0 0,0 0 0,0 1 0,0-1 0,1 1 0,-1 0 0,4 1 0,-6-1 0,-1-1 0,0 1 0,0 0 0,0-1 0,0 1 0,0 0 0,-1 0 0,1-1 0,0 1 0,0 0 0,0 0 0,-1 0 0,1 0 0,0 0 0,-1 0 0,1 0 0,-1 1 0,1-1 0,-1 0 0,0 0 0,1 0 0,-1 0 0,0 0 0,0 1 0,0-1 0,0 0 0,0 0 0,0 0 0,0 1 0,0-1 0,-1 0 0,1 0 0,0 0 0,-1 0 0,0 2 0,-7 19 22,-1-1 0,-1 0-1,-1-1 1,-23 33 0,-14 25-1496,34-50-5352</inkml:trace>
</inkml:ink>
</file>

<file path=xl/ink/ink5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41:42.124"/>
    </inkml:context>
    <inkml:brush xml:id="br0">
      <inkml:brushProperty name="width" value="0.035" units="cm"/>
      <inkml:brushProperty name="height" value="0.035" units="cm"/>
      <inkml:brushProperty name="color" value="#E71224"/>
    </inkml:brush>
  </inkml:definitions>
  <inkml:trace contextRef="#ctx0" brushRef="#br0">22 486 24575,'-1'0'0,"-1"1"0,1-1 0,0 1 0,0-1 0,0 1 0,0-1 0,0 1 0,0-1 0,0 1 0,0 0 0,0 0 0,1-1 0,-1 1 0,0 0 0,0 0 0,1 0 0,-1 0 0,0 0 0,1 0 0,-1 0 0,1 0 0,0 0 0,-1 0 0,1 0 0,0 0 0,-1 1 0,1-1 0,0 0 0,0 0 0,0 0 0,0 0 0,0 1 0,0-1 0,1 1 0,4 42 0,-3-38 0,1-1 0,0 1 0,0 0 0,1-1 0,0 0 0,-1 0 0,2 0 0,-1 0 0,1-1 0,-1 1 0,8 4 0,-10-7 0,0 0 0,0-1 0,0 1 0,0-1 0,0 0 0,0 0 0,0 1 0,0-1 0,1 0 0,-1-1 0,0 1 0,1 0 0,-1-1 0,1 1 0,-1-1 0,0 0 0,1 0 0,-1 0 0,1 0 0,-1 0 0,1 0 0,-1-1 0,0 1 0,1-1 0,-1 0 0,0 0 0,1 0 0,-1 0 0,0 0 0,0 0 0,0 0 0,3-3 0,-4 2 5,1 0-1,-1 0 1,0 0 0,0 0-1,0 0 1,0 0-1,0 0 1,-1 0 0,1 0-1,-1-1 1,1 1 0,-1 0-1,0 0 1,0-1-1,0 1 1,0 0 0,0 0-1,0-1 1,-1 1-1,1 0 1,-1 0 0,0 0-1,1-1 1,-1 1-1,-2-3 1,-1-3-217,0 1 0,0 0 0,0 1-1,-1-1 1,0 1 0,-7-7 0,-7-5-6614</inkml:trace>
  <inkml:trace contextRef="#ctx0" brushRef="#br0" timeOffset="1795.56">392 195 24575,'-1'18'0,"-2"1"0,0-1 0,-1 0 0,0-1 0,-9 21 0,-11 46 0,16-40 0,-2-2 0,-2 1 0,-2-1 0,-2-1 0,-21 40 0,22-49 0,2 1 0,2 0 0,0 0 0,2 1 0,-8 65 0,12-67 0,4-12-75,7-14 262,-4-7-301,0 0 0,0 0 1,-1-1-1,1 1 1,0 0-1,0-1 1,-1 1-1,1-1 0,-1 1 1,1-1-1,-1 0 1,2-2-1,12-16-6712</inkml:trace>
  <inkml:trace contextRef="#ctx0" brushRef="#br0" timeOffset="3201.72">419 618 24575,'-3'50'0,"2"-35"0,0 0 0,0 0 0,2 0 0,0 0 0,0 0 0,7 24 0,-8-37 0,0-1 0,1 0 0,-1 1 0,1-1 0,-1 0 0,1 1 0,-1-1 0,1 0 0,0 0 0,-1 0 0,1 1 0,0-1 0,0 0 0,0 0 0,0 0 0,0 0 0,0-1 0,0 1 0,0 0 0,0 0 0,1-1 0,-1 1 0,0 0 0,0-1 0,1 1 0,-1-1 0,0 0 0,1 1 0,-1-1 0,1 0 0,-1 0 0,0 0 0,1 0 0,-1 0 0,0 0 0,1 0 0,1-1 0,-1 0 0,0 0 0,0 0 0,0-1 0,0 1 0,0-1 0,0 1 0,-1-1 0,1 0 0,0 0 0,-1 1 0,1-1 0,-1 0 0,0-1 0,1 1 0,-1 0 0,0 0 0,0 0 0,-1-1 0,1 1 0,0-4 0,2-10-455,-1-1 0,-1-29 0,-1 21-6371</inkml:trace>
  <inkml:trace contextRef="#ctx0" brushRef="#br0" timeOffset="5113.91">1106 248 24575,'-9'0'0,"0"0"0,-1 0 0,1 1 0,-1 0 0,1 1 0,0 0 0,-9 3 0,14-3 0,1 0 0,0-1 0,0 1 0,0 0 0,0 1 0,1-1 0,-1 0 0,0 1 0,1-1 0,0 1 0,0 0 0,0 0 0,0 0 0,0 0 0,0 0 0,1 0 0,-1 1 0,1-1 0,0 1 0,0-1 0,-1 6 0,0 4 0,0-1 0,0 0 0,2 1 0,-1-1 0,3 24 0,-2-33 0,1 0 0,-1 0 0,1 0 0,0 0 0,-1 0 0,2 0 0,-1 0 0,0 0 0,0 0 0,1-1 0,-1 1 0,1 0 0,0-1 0,0 1 0,0-1 0,0 0 0,1 0 0,-1 0 0,0 0 0,1 0 0,-1 0 0,1-1 0,0 1 0,0-1 0,-1 0 0,1 0 0,0 0 0,4 1 0,13 1 0,-1-1 0,0-1 0,1 0 0,30-4 0,-42 2 0,0 0 0,0 0 0,0-1 0,0 0 0,-1 0 0,1-1 0,-1 1 0,0-2 0,0 1 0,0-1 0,0 0 0,0-1 0,11-10 0,-16 13 0,0 0 0,0 0 0,0 0 0,0 0 0,-1-1 0,1 1 0,-1-1 0,1 1 0,-1-1 0,0 1 0,0-1 0,0 0 0,0 1 0,-1-1 0,1 0 0,-1 0 0,0 0 0,1 0 0,-1 0 0,-1 1 0,1-1 0,0 0 0,-1 0 0,1 0 0,-1 1 0,0-1 0,0 0 0,0 1 0,0-1 0,0 0 0,-1 1 0,1-1 0,-1 1 0,0 0 0,0 0 0,0 0 0,0 0 0,0 0 0,0 0 0,0 0 0,0 0 0,-1 1 0,1-1 0,-1 1 0,1 0 0,-1 0 0,0 0 0,0 0 0,1 0 0,-1 1 0,0-1 0,-5 0 0,-12-2 0,-1 0 0,1 2 0,-1 0 0,1 1 0,-1 1 0,-39 7 0,60-8-30,-1 0 0,1 0-1,-1 0 1,1 0 0,-1 0-1,1 0 1,-1 0 0,1 0-1,-1 0 1,1 0 0,-1 0-1,1 0 1,-1 0 0,1 1-1,-1-1 1,1 0-1,-1 0 1,1 1 0,0-1-1,-1 0 1,1 0 0,-1 1-1,1-1 1,0 0 0,-1 1-1,1-1 1,0 1 0,0-1-1,-1 0 1,1 1 0,0-1-1,0 1 1,-1-1 0,1 1-1,0-1 1,0 1 0,0-1-1,0 1 1,0-1 0,0 1-1,0-1 1,0 1 0,0-1-1,0 1 1,8 5-6796</inkml:trace>
  <inkml:trace contextRef="#ctx0" brushRef="#br0" timeOffset="6637.57">1477 354 24575,'0'8'0,"0"0"0,0 0 0,1 0 0,0 0 0,1 0 0,-1 0 0,5 12 0,-5-18 0,0 0 0,1 0 0,-1-1 0,0 1 0,0 0 0,1 0 0,-1-1 0,1 1 0,-1-1 0,1 1 0,0-1 0,0 0 0,0 1 0,-1-1 0,1 0 0,0 0 0,0-1 0,1 1 0,-1 0 0,0-1 0,0 1 0,0-1 0,0 0 0,0 1 0,1-1 0,-1 0 0,0 0 0,0-1 0,0 1 0,1 0 0,-1-1 0,3-1 0,0 1 0,-1 0 0,1 0 0,-1-1 0,0 0 0,1 0 0,-1 0 0,0-1 0,0 1 0,-1-1 0,1 0 0,0 0 0,-1 0 0,0-1 0,5-4 0,-3 0 0,-1 1 0,1-1 0,-1 0 0,-1 0 0,1 0 0,-2 0 0,4-11 0,-1-12 0,0 0 0,-2-1 0,-1-40 0,-2 57 0,1-17 0,1 16 0,-2 1 0,0-1 0,-1 1 0,0 0 0,-6-26 0,7 40 0,0 1 0,0 0 0,0-1 0,0 1 0,0-1 0,0 1 0,0 0 0,0-1 0,0 1 0,0 0 0,-1-1 0,1 1 0,0-1 0,0 1 0,0 0 0,-1-1 0,1 1 0,0 0 0,0-1 0,-1 1 0,1 0 0,0 0 0,0-1 0,-1 1 0,1 0 0,0 0 0,-1 0 0,1-1 0,0 1 0,-1 0 0,1 0 0,-1 0 0,1 0 0,0 0 0,-1 0 0,0-1 0,-6 16 0,1 25 0,3 446 0,6-248 0,-5-197-60,1-29-126,0 0-1,0 1 1,2-1-1,-1 0 1,2 1-1,4 21 1,0-23-6640</inkml:trace>
  <inkml:trace contextRef="#ctx0" brushRef="#br0" timeOffset="7638.56">1477 433 24575,'4'0'0,"7"0"0,5 0 0,9 0 0,5 0 0,2 0 0,0 0 0,-1 0 0,-2 0 0,0 0 0,-2 0 0,-4-4 0,2-2 0,2 0 0,-5-3 0,-5 0-8191</inkml:trace>
</inkml:ink>
</file>

<file path=xl/ink/ink5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42:22.019"/>
    </inkml:context>
    <inkml:brush xml:id="br0">
      <inkml:brushProperty name="width" value="0.035" units="cm"/>
      <inkml:brushProperty name="height" value="0.035" units="cm"/>
      <inkml:brushProperty name="color" value="#E71224"/>
    </inkml:brush>
  </inkml:definitions>
  <inkml:trace contextRef="#ctx0" brushRef="#br0">162 106 24575,'-16'0'0,"1"0"0,-1 1 0,0 1 0,0 1 0,-16 4 0,30-7 0,-1 1 0,0 0 0,1 0 0,-1 0 0,1 0 0,-1 0 0,1 0 0,0 1 0,0-1 0,-1 1 0,1 0 0,0 0 0,0-1 0,0 1 0,1 1 0,-1-1 0,0 0 0,1 0 0,0 0 0,-1 1 0,1-1 0,0 1 0,0-1 0,0 1 0,1 0 0,-1-1 0,0 1 0,1 0 0,0-1 0,0 1 0,0 0 0,0-1 0,0 1 0,0 0 0,1 0 0,-1-1 0,1 1 0,1 3 0,-1-4 0,0 1 0,1-1 0,-1 1 0,1-1 0,-1 0 0,1 0 0,0 0 0,-1 0 0,1 0 0,1 0 0,-1 0 0,0-1 0,0 1 0,0-1 0,1 1 0,-1-1 0,1 0 0,-1 0 0,1 0 0,-1 0 0,1-1 0,0 1 0,0-1 0,4 1 0,9 0 0,1 0 0,31-2 0,-31 0 0,20-1 0,-21 0 0,1 2 0,0-1 0,-1 2 0,1 0 0,27 6 0,-40-6 0,0 1 0,0-1 0,1 1 0,-1 0 0,0 0 0,0 1 0,-1-1 0,1 1 0,-1 0 0,1 0 0,-1 0 0,0 0 0,0 1 0,0-1 0,0 1 0,-1 0 0,1 0 0,-1 0 0,0 0 0,0 0 0,-1 0 0,1 1 0,-1-1 0,0 0 0,1 7 0,0-2 0,0-1 0,-1 0 0,0 1 0,0-1 0,-1 1 0,0-1 0,0 1 0,-1-1 0,0 1 0,-1-1 0,0 0 0,0 1 0,-1-1 0,0 0 0,0-1 0,-1 1 0,0 0 0,0-1 0,-1 0 0,0 0 0,0 0 0,0-1 0,-1 0 0,0 0 0,-1 0 0,-7 5 0,1-2-91,0-1 0,-1 0 0,1-1 0,-1 0 0,-1-2 0,1 1 0,-1-2 0,0 0 0,0-1 0,-1 0 0,1-1 0,-1-1 0,1 0 0,-27-3 0,20 1-6735</inkml:trace>
  <inkml:trace contextRef="#ctx0" brushRef="#br0" timeOffset="1964.83">480 0 24575,'0'452'0,"-1"-449"0,1 0 0,0 0 0,0 0 0,1 0 0,-1 0 0,1 1 0,-1-1 0,1 0 0,2 5 0,4-11 0,3-20 0,-3 2 0,0-6 0,2 1 0,0 1 0,2-1 0,1 1 0,26-40 0,-35 62 0,1-1 0,-1 1 0,0-1 0,1 1 0,0 0 0,0 1 0,0-1 0,0 1 0,0-1 0,0 1 0,1 0 0,-1 1 0,1-1 0,-1 1 0,1 0 0,-1 0 0,1 0 0,7 1 0,-9 0 0,0 0 0,0 0 0,0 1 0,0 0 0,0-1 0,0 1 0,-1 0 0,1 0 0,0 1 0,0-1 0,-1 1 0,1-1 0,-1 1 0,0 0 0,1 0 0,-1 0 0,0 0 0,0 0 0,0 0 0,0 1 0,0-1 0,-1 1 0,1-1 0,-1 1 0,0-1 0,1 1 0,-1 0 0,0 0 0,0 4 0,17 50-1365,-7-34-5461</inkml:trace>
  <inkml:trace contextRef="#ctx0" brushRef="#br0" timeOffset="3106.89">1141 27 24575,'-3'0'0,"-5"-1"0,1 1 0,-1 1 0,1-1 0,-1 1 0,1 0 0,-10 3 0,14-2 0,0-1 0,0 1 0,0 0 0,0 0 0,1 0 0,-1 0 0,1 1 0,0-1 0,-1 1 0,1-1 0,0 1 0,1 0 0,-1-1 0,0 1 0,1 0 0,-3 6 0,-7 18 0,4-15 0,1 1 0,0-1 0,1 1 0,0 1 0,1-1 0,1 1 0,0-1 0,1 1 0,1 0 0,0 0 0,1 26 0,0-38 0,0-1 0,0 1 0,1 0 0,-1-1 0,0 1 0,1-1 0,-1 1 0,1 0 0,-1-1 0,1 1 0,0-1 0,0 1 0,-1-1 0,1 0 0,0 1 0,0-1 0,0 0 0,1 0 0,-1 1 0,0-1 0,0 0 0,1 0 0,-1 0 0,0-1 0,1 1 0,-1 0 0,1 0 0,-1-1 0,1 1 0,0-1 0,-1 0 0,1 1 0,0-1 0,-1 0 0,1 0 0,-1 0 0,1 0 0,0 0 0,-1 0 0,1 0 0,0-1 0,-1 1 0,1 0 0,-1-1 0,1 0 0,-1 1 0,1-1 0,-1 0 0,1 0 0,-1 0 0,0 0 0,1 0 0,-1 0 0,0 0 0,0 0 0,0 0 0,0-1 0,0 1 0,0 0 0,0-1 0,0 1 0,0-1 0,0-1 0,6-13 0,0-1 0,-1 0 0,-1 0 0,-1-1 0,-1 1 0,0-1 0,-1 0 0,-1 0 0,0 0 0,-2 0 0,-2-17 0,3 32-105,0 0 0,-1 0 0,0 0 0,1 0 0,-1 0 0,0 1 0,0-1 0,-1 0 0,1 1 0,0-1 0,-1 0 0,-2-3 0,-9-5-6721</inkml:trace>
  <inkml:trace contextRef="#ctx0" brushRef="#br0" timeOffset="5677.72">1353 53 24575,'-2'49'0,"0"-34"0,1 0 0,1 1 0,0-1 0,1 0 0,1 0 0,5 24 0,-5-35 0,0 0 0,1 0 0,-1 0 0,0 0 0,1-1 0,0 0 0,0 1 0,0-1 0,1 0 0,-1 0 0,1-1 0,-1 1 0,1-1 0,0 1 0,0-1 0,0 0 0,0-1 0,0 1 0,1-1 0,-1 0 0,0 0 0,1 0 0,-1 0 0,0-1 0,1 0 0,-1 0 0,7-1 0,2 1 0,0-1 0,0-1 0,0 0 0,0-1 0,-1-1 0,1 0 0,23-10 0,-30 11 0,-1 0 0,0 0 0,0 0 0,0 0 0,0-1 0,-1 0 0,1 0 0,-1 0 0,0 0 0,0-1 0,0 1 0,-1-1 0,1 0 0,-1-1 0,-1 1 0,1 0 0,-1-1 0,0 1 0,0-1 0,0 0 0,1-9 0,-5 30 0,0 0 0,1 0 0,2 26 0,-1-36 0,0 1 0,1 0 0,0-1 0,0 1 0,0-1 0,0 0 0,1 1 0,0-1 0,0 0 0,1 0 0,-1 0 0,1 0 0,0 0 0,0-1 0,5 6 0,-4-7 0,0 0 0,0-1 0,0 1 0,0-1 0,0 0 0,1 0 0,-1 0 0,1-1 0,-1 0 0,1 0 0,-1 0 0,1 0 0,0-1 0,0 1 0,-1-1 0,1 0 0,0-1 0,0 1 0,-1-1 0,1 0 0,0 0 0,4-2 0,-2 0 0,1 0 0,-1-1 0,0 0 0,0 0 0,0-1 0,-1 1 0,1-2 0,-1 1 0,0-1 0,-1 1 0,10-14 0,-9 12-72,-1 0 1,0 0-1,0 0 0,-1-1 0,0 0 0,0 0 0,-1 0 0,0 0 1,0 0-1,-1-1 0,0 0 0,0 1 0,-1-1 0,0 0 0,-1 1 1,0-1-1,0 0 0,-4-17 0,-5 1-6754</inkml:trace>
</inkml:ink>
</file>

<file path=xl/ink/ink5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41:54.155"/>
    </inkml:context>
    <inkml:brush xml:id="br0">
      <inkml:brushProperty name="width" value="0.035" units="cm"/>
      <inkml:brushProperty name="height" value="0.035" units="cm"/>
      <inkml:brushProperty name="color" value="#E71224"/>
    </inkml:brush>
  </inkml:definitions>
  <inkml:trace contextRef="#ctx0" brushRef="#br0">27 1403 24575,'-2'-75'0,"1"23"0,5-65 0,-2 107 0,0-1 0,1 0 0,0 1 0,0-1 0,1 1 0,1 0 0,0 0 0,0 1 0,1-1 0,0 1 0,0 0 0,1 1 0,15-15 0,-15 16 0,-1 1 0,2 1 0,-1 0 0,0 0 0,1 0 0,0 1 0,0 0 0,0 0 0,1 1 0,-1 0 0,1 1 0,0 0 0,0 0 0,0 1 0,0 0 0,0 0 0,11 2 0,-16-1 0,-1 0 0,0 1 0,0 0 0,0-1 0,0 1 0,0 1 0,-1-1 0,1 0 0,0 1 0,0-1 0,-1 1 0,1 0 0,-1 0 0,1 0 0,-1 0 0,0 0 0,4 5 0,-3-2 0,1 1 0,-1-1 0,0 1 0,-1 0 0,1 0 0,-1 0 0,-1 0 0,2 8 0,0 7 0,0 1 0,-2-1 0,-1 0 0,-3 26 0,2-40 0,0 0 0,-1 0 0,0 0 0,0 0 0,-1-1 0,0 1 0,0-1 0,0 1 0,-1-1 0,0 0 0,0-1 0,-1 1 0,1-1 0,-1 0 0,-1 0 0,-5 4 0,8-6 0,0 0 0,0-1 0,-1 0 0,1 0 0,-1 0 0,0 0 0,0 0 0,0-1 0,0 1 0,0-1 0,0 0 0,0-1 0,0 1 0,0-1 0,0 1 0,0-1 0,-1-1 0,1 1 0,0 0 0,0-1 0,0 0 0,0 0 0,0 0 0,0-1 0,0 1 0,0-1 0,1 0 0,-6-3 0,-3-8 0,15 5 0,-1 7 0,0 0 0,-1 1 0,1-1 0,0 1 0,0 0 0,0 0 0,0-1 0,0 1 0,-1 0 0,1 0 0,0 1 0,0-1 0,0 0 0,3 1 0,15 7 18,0 0-1,0 1 1,-1 1-1,0 1 0,-1 1 1,18 14-1,-9-7-760,40 22-1,-36-27-6082</inkml:trace>
  <inkml:trace contextRef="#ctx0" brushRef="#br0" timeOffset="1263.92">662 1192 24575,'0'-1'0,"-1"0"0,1 0 0,0 0 0,-1 0 0,1 0 0,-1 0 0,1 0 0,-1 0 0,1 0 0,-1 1 0,1-1 0,-1 0 0,0 0 0,0 1 0,1-1 0,-1 0 0,0 1 0,0-1 0,0 1 0,0-1 0,0 1 0,0-1 0,0 1 0,0 0 0,0 0 0,0-1 0,0 1 0,0 0 0,0 0 0,-1 0 0,-31 1 0,29 1 0,1-1 0,0 1 0,0 0 0,0 1 0,0-1 0,0 0 0,1 1 0,-1 0 0,1-1 0,-1 1 0,1 0 0,0 0 0,0 0 0,0 1 0,1-1 0,-1 0 0,1 1 0,0-1 0,0 1 0,0-1 0,0 1 0,0 6 0,-1 11 0,0 0 0,2 36 0,0-42 0,0-5 0,1 0 0,0 0 0,0 0 0,1 0 0,0 0 0,1 0 0,0 0 0,0-1 0,10 17 0,-11-22 0,0-1 0,0 0 0,0 0 0,1-1 0,-1 1 0,1-1 0,0 1 0,0-1 0,0 0 0,0 0 0,0 0 0,1 0 0,-1 0 0,0-1 0,1 0 0,-1 1 0,1-1 0,0-1 0,-1 1 0,1 0 0,0-1 0,-1 0 0,1 0 0,0 0 0,-1 0 0,1-1 0,0 1 0,-1-1 0,1 0 0,5-2 0,-4 1 0,0 0 0,0 0 0,0-1 0,-1 1 0,1-1 0,0-1 0,-1 1 0,0 0 0,0-1 0,0 0 0,0 0 0,-1 0 0,1 0 0,-1-1 0,0 1 0,0-1 0,-1 0 0,0 0 0,1 0 0,-2 0 0,1 0 0,0-1 0,0-8 0,0 1 0,0 0 0,-1 0 0,0-1 0,-1 1 0,-1 0 0,0-1 0,0 1 0,-7-23 0,7 32 5,-1-1 1,1 1-1,-1 0 0,0 0 0,0 1 0,0-1 1,-1 0-1,1 1 0,-1-1 0,0 1 1,0 0-1,0 0 0,0 0 0,0 0 0,-1 1 1,1-1-1,-1 1 0,0 0 0,0 0 0,0 0 1,0 0-1,-5-1 0,-4 0-217,0 1 0,0 0 0,0 1-1,0 0 1,0 1 0,-14 2 0,9-1-6614</inkml:trace>
  <inkml:trace contextRef="#ctx0" brushRef="#br0" timeOffset="3208.27">1085 1245 24575,'-3'0'0,"-1"0"0,1 1 0,0 0 0,-1 0 0,1 0 0,0 1 0,0-1 0,-1 1 0,1-1 0,0 1 0,0 0 0,1 0 0,-1 0 0,0 1 0,1-1 0,0 1 0,-1-1 0,1 1 0,0 0 0,0 0 0,0 0 0,1 0 0,-1 0 0,1 0 0,-2 7 0,-4 10 0,1 0 0,0 1 0,-1 22 0,4-29 0,0-1 0,1 1 0,0 0 0,1 0 0,1-1 0,0 1 0,2 14 0,-1-25 0,-1 0 0,1 0 0,0 0 0,0 0 0,0 0 0,0 0 0,1 0 0,-1 0 0,1-1 0,0 1 0,0 0 0,0-1 0,0 0 0,0 1 0,0-1 0,1 0 0,-1 0 0,1 0 0,0-1 0,-1 1 0,1-1 0,0 1 0,0-1 0,0 0 0,0 0 0,0 0 0,0 0 0,0-1 0,0 1 0,0-1 0,5 0 0,5 2 0,0-2 0,0 0 0,0 0 0,0-1 0,0-1 0,0 0 0,0-1 0,0 0 0,16-8 0,-24 9 0,0 0 0,0-1 0,-1 0 0,1 0 0,-1-1 0,1 1 0,-1-1 0,-1 0 0,1 0 0,0 0 0,-1-1 0,0 1 0,0-1 0,0 0 0,0 0 0,-1 0 0,0 0 0,0 0 0,-1 0 0,1-1 0,-1 1 0,0-1 0,0 1 0,-1-8 0,-1-59 0,1 75 0,0 3 0,1 0 0,0 1 0,0-1 0,1 0 0,-1 0 0,1 0 0,1 0 0,2 6 0,0-4 0,1-1 0,0 0 0,0-1 0,0 0 0,1 0 0,0 0 0,0 0 0,0-1 0,1-1 0,0 1 0,0-1 0,0 0 0,17 5 0,-21-8 0,0 0 0,0 0 0,0 0 0,0 0 0,1-1 0,-1 1 0,0-1 0,0 0 0,1 0 0,-1-1 0,0 1 0,0-1 0,0 0 0,0 0 0,0-1 0,0 1 0,0-1 0,0 0 0,0 0 0,-1 0 0,1 0 0,-1-1 0,1 1 0,-1-1 0,0 0 0,0 0 0,0 0 0,-1 0 0,1-1 0,-1 1 0,4-8 0,6-14 0,-1 0 0,-1-1 0,7-30 0,-14 42 0,0 0 0,0 0 0,-1 0 0,-1 0 0,-1 0 0,0 0 0,-3-28 0,2 39-45,0 0-1,0 0 1,0 1-1,0-1 1,-1 0-1,1 0 1,-1 1-1,0-1 1,0 1-1,0-1 1,0 1-1,0 0 1,0-1-1,-1 1 1,1 0-1,-1 1 1,1-1-1,-1 0 1,0 1-1,1 0 1,-1-1-1,0 1 1,0 0-1,0 0 0,0 1 1,0-1-1,0 1 1,0-1-1,-4 1 1,-16-1-6781</inkml:trace>
  <inkml:trace contextRef="#ctx0" brushRef="#br0" timeOffset="4474.52">2170 636 24575,'5'9'0,"1"7"0,-1 11 0,0 9 0,7 7 0,2 2 0,-1 1 0,-4 2 0,-2 3 0,1-4 0,5-1 0,-1-3 0,-2-5 0,-3-4 0,-2-4 0,-2-6-8191</inkml:trace>
  <inkml:trace contextRef="#ctx0" brushRef="#br0" timeOffset="5252.16">2091 953 24575,'-9'0'0,"-8"0"0,-5 0 0,6 9 0,14 3 0,21 0 0,12-3 0,5-2 0,1-3 0,-1-2 0,-2-1 0,-3-1 0,-2-1 0,-1 1 0,-2-1 0,1 1 0,-1 0 0,-5-1-8191</inkml:trace>
  <inkml:trace contextRef="#ctx0" brushRef="#br0" timeOffset="6343.79">2699 901 24575,'-5'0'0,"0"0"0,-1 0 0,1 1 0,0 0 0,0 0 0,-1 0 0,1 1 0,0-1 0,0 1 0,0 1 0,1-1 0,-1 1 0,1 0 0,-1 0 0,1 0 0,0 0 0,0 1 0,0 0 0,0-1 0,1 1 0,0 1 0,0-1 0,0 1 0,0-1 0,0 1 0,1 0 0,0 0 0,0 0 0,1 0 0,-1 0 0,0 7 0,-3 16 0,1 0 0,1 1 0,2-1 0,3 46 0,-1-48 0,-1-23 0,0 1 0,0-1 0,0 1 0,1-1 0,-1 1 0,1-1 0,0 0 0,0 1 0,0-1 0,0 0 0,1 1 0,0-1 0,-1 0 0,1 0 0,0 0 0,0-1 0,0 1 0,1 0 0,2 2 0,0-2 0,-1-1 0,1 1 0,0-1 0,0 0 0,1-1 0,-1 1 0,0-1 0,0 0 0,1 0 0,-1-1 0,11 1 0,-12-1 0,1 1 0,-1-1 0,1 0 0,-1 0 0,0 0 0,1-1 0,-1 0 0,0 0 0,1 0 0,-1 0 0,0-1 0,0 1 0,0-1 0,0 0 0,0 0 0,0-1 0,-1 1 0,1-1 0,-1 0 0,0 1 0,0-2 0,0 1 0,0 0 0,0-1 0,0 1 0,-1-1 0,0 0 0,0 0 0,0 0 0,0 0 0,-1 0 0,1 0 0,-1 0 0,0 0 0,0-1 0,-1 1 0,1 0 0,-1-7 0,3-27 0,-1-1 0,-8-75 0,6 111 0,0 0 0,-1 0 0,0 0 0,0 0 0,0 0 0,0 0 0,0 1 0,-1-1 0,1 0 0,-1 1 0,0-1 0,1 1 0,-1-1 0,0 1 0,-1 0 0,1 0 0,0 0 0,0 0 0,-1 0 0,0 1 0,1-1 0,-1 1 0,0 0 0,1-1 0,-1 1 0,0 0 0,0 1 0,-6-2 0,-1 1 0,0-1 0,0 2 0,0 0 0,-1 0 0,1 1 0,0 0 0,-16 4 0,23-3-50,-1-1-1,1 1 1,-1 0-1,1 0 0,0 0 1,0 0-1,0 1 1,0 0-1,0-1 1,1 1-1,-1 0 0,1 0 1,-1 0-1,1 1 1,0-1-1,1 0 1,-1 1-1,0-1 0,1 1 1,0 0-1,0-1 1,0 1-1,0 0 1,1 0-1,-1 0 1,1 4-1,-3 21-6775</inkml:trace>
  <inkml:trace contextRef="#ctx0" brushRef="#br0" timeOffset="8108.05">3096 610 24575,'0'579'0,"0"-575"-54,4 50 235,-3-51-274,-1 0 0,1 0-1,0 0 1,0 0 0,0 0 0,1-1-1,-1 1 1,1-1 0,-1 1-1,1-1 1,0 1 0,0-1 0,0 0-1,0 0 1,4 4 0,11 3-6733</inkml:trace>
  <inkml:trace contextRef="#ctx0" brushRef="#br0" timeOffset="8837.68">3043 1033 24575,'5'0'0,"10"0"0,7-5 0,9-1 0,3 1 0,2-4 0,-7-1-8191</inkml:trace>
  <inkml:trace contextRef="#ctx0" brushRef="#br0" timeOffset="10546.37">3705 1006 24575,'-20'0'0,"0"0"0,0 2 0,1 0 0,-23 6 0,34-6 0,1 0 0,0 1 0,0 0 0,0 1 0,0-1 0,0 1 0,1 1 0,-1-1 0,1 1 0,0 0 0,1 1 0,-1-1 0,-6 10 0,5-5 0,1 0 0,0 1 0,0 0 0,1 0 0,0 0 0,1 1 0,0-1 0,-3 22 0,5-26 0,1 1 0,1 0 0,-1-1 0,1 1 0,0 0 0,1 0 0,0-1 0,0 1 0,0 0 0,1-1 0,0 1 0,1-1 0,0 0 0,6 13 0,-5-16 0,0 1 0,0-1 0,0 0 0,0 0 0,0 0 0,1-1 0,0 1 0,0-1 0,0 0 0,0 0 0,0-1 0,0 0 0,1 0 0,-1 0 0,1 0 0,0-1 0,-1 0 0,1 0 0,0-1 0,0 1 0,0-1 0,-1 0 0,13-3 0,-11 3 0,0-2 0,-1 1 0,1-1 0,0 0 0,0 0 0,-1 0 0,1-1 0,-1 0 0,0-1 0,0 0 0,0 1 0,-1-2 0,1 1 0,-1-1 0,0 0 0,0 0 0,0 0 0,-1-1 0,5-7 0,-4 1 0,0 1 0,-1-1 0,-1 0 0,0 0 0,0 0 0,-1 0 0,0-17 0,-1-5 0,-4-44 0,1 117-62,0-26-68,1 1 0,0-1-1,1 1 1,0-1 0,1 1-1,1-1 1,0 0 0,0 1-1,7 16 1,3-11-6696</inkml:trace>
  <inkml:trace contextRef="#ctx0" brushRef="#br0" timeOffset="11780.27">3863 1218 24575,'29'1'0,"-13"-1"0,0 0 0,28-4 0,-39 3 0,1 0 0,0-1 0,-1 0 0,1 0 0,-1 0 0,0-1 0,0 1 0,0-1 0,0-1 0,0 1 0,6-6 0,7-10 0,-1 0 0,-1-1 0,0-1 0,-2 0 0,0-1 0,20-46 0,-25 49 0,-2 0 0,0-1 0,-1 1 0,-1-1 0,-1 0 0,-1-1 0,-1 1 0,-1-1 0,-1-27 0,0 46 0,0 0 0,0 0 0,-1 0 0,1 0 0,-1 0 0,1 0 0,-1 0 0,0 0 0,0 1 0,1-1 0,-1 0 0,0 0 0,-1 1 0,1-1 0,0 0 0,0 1 0,-1-1 0,1 1 0,-1 0 0,1-1 0,-1 1 0,0 0 0,0 0 0,-2-1 0,3 2 0,-1 0 0,1-1 0,-1 1 0,1 1 0,-1-1 0,1 0 0,-1 0 0,1 0 0,-1 1 0,1-1 0,0 1 0,-1-1 0,1 1 0,0-1 0,-1 1 0,1 0 0,0 0 0,-1 0 0,1 0 0,0 0 0,0 0 0,0 0 0,0 0 0,0 0 0,0 0 0,0 1 0,1-1 0,-1 0 0,0 1 0,1-1 0,-1 0 0,1 1 0,-1 2 0,-4 10 0,0 1 0,2 0 0,0 0 0,0 0 0,0 25 0,6 83 0,-1-62 0,-2-26 0,-1-15 0,1 0 0,1-1 0,1 1 0,4 20 0,-5-36 0,0 0 0,0 0 0,0-1 0,0 1 0,1-1 0,-1 1 0,1-1 0,0 0 0,0 1 0,0-1 0,1 0 0,-1 0 0,1-1 0,0 1 0,-1 0 0,1-1 0,0 0 0,1 0 0,-1 0 0,0 0 0,0 0 0,1 0 0,-1-1 0,1 0 0,0 0 0,6 2 0,-1-2-114,1 0 1,0 0-1,0-1 0,0 0 0,0-1 1,0 0-1,-1 0 0,1-1 0,0-1 1,-1 1-1,16-8 0,-2-2-6712</inkml:trace>
  <inkml:trace contextRef="#ctx0" brushRef="#br0" timeOffset="35477.51">1 266 24575,'0'25'0,"2"-1"0,1 1 0,1 0 0,1-1 0,2 1 0,0-1 0,1-1 0,2 0 0,17 33 0,-26-53 0,1 0 0,-1 0 0,1-1 0,-1 1 0,1-1 0,0 1 0,0-1 0,0 0 0,0 0 0,1 0 0,-1 0 0,0 0 0,1 0 0,0-1 0,3 3 0,-4-4 0,0 0 0,-1 0 0,1 0 0,0 0 0,-1 0 0,1-1 0,-1 1 0,1 0 0,-1-1 0,1 0 0,-1 1 0,1-1 0,-1 0 0,1 0 0,-1 1 0,0-1 0,1 0 0,-1 0 0,0-1 0,0 1 0,0 0 0,0 0 0,0 0 0,0-1 0,0 1 0,0-1 0,0 1 0,-1-1 0,2-2 0,9-21-19,-1 0 0,-1-1-1,-1 0 1,9-52 0,-5 19-1250,-4 29-5557</inkml:trace>
  <inkml:trace contextRef="#ctx0" brushRef="#br0" timeOffset="37767.47">503 345 24575,'0'-1'0,"0"0"0,-1 0 0,1 0 0,-1 0 0,1 0 0,-1 1 0,1-1 0,-1 0 0,0 0 0,1 1 0,-1-1 0,0 0 0,0 1 0,0-1 0,1 0 0,-1 1 0,0-1 0,0 1 0,0 0 0,0-1 0,0 1 0,0 0 0,0-1 0,0 1 0,0 0 0,0 0 0,0 0 0,0 0 0,0 0 0,0 0 0,-1 0 0,-34 4 0,29-1 0,0 1 0,0-1 0,1 2 0,-1-1 0,1 1 0,0-1 0,0 2 0,1-1 0,0 1 0,0 0 0,0 0 0,1 0 0,-1 0 0,1 1 0,1 0 0,-6 13 0,4-5 0,0 0 0,0 1 0,2-1 0,0 1 0,1 0 0,0 0 0,1 19 0,1-32 0,0-1 0,1 1 0,-1 0 0,1-1 0,-1 1 0,1 0 0,0-1 0,0 1 0,0-1 0,0 0 0,0 1 0,1-1 0,-1 0 0,1 0 0,0 0 0,-1 0 0,1 0 0,0 0 0,0 0 0,0 0 0,0-1 0,1 1 0,-1-1 0,0 0 0,1 1 0,-1-1 0,1 0 0,-1-1 0,1 1 0,-1 0 0,1-1 0,0 1 0,2-1 0,10 2 0,-1-1 0,1-1 0,0-1 0,24-3 0,-35 3 0,0 0 0,0 0 0,0-1 0,0 1 0,0-1 0,0 0 0,0 0 0,-1 0 0,1-1 0,-1 1 0,1-1 0,-1 0 0,0 0 0,0 0 0,0 0 0,-1-1 0,1 1 0,-1-1 0,4-7 0,-3 6 0,0-1 0,-1 0 0,0 0 0,0 1 0,-1-1 0,1 0 0,-1-1 0,0 1 0,-1 0 0,0 0 0,0 0 0,0 0 0,-1-8 0,3 21 10,0 1 0,0-1 0,1 1 0,1-1 0,-1 0 0,1 0 0,0-1 0,1 1 0,-1-1 0,1 0 0,10 10 0,-12-14-61,-1 0 0,1 1-1,0-1 1,0 0 0,0 0 0,0 0 0,0-1-1,0 1 1,0-1 0,1 0 0,-1 1 0,1-2-1,-1 1 1,1 0 0,-1-1 0,1 1-1,-1-1 1,1 0 0,-1 0 0,1-1 0,-1 1-1,1-1 1,-1 1 0,1-1 0,-1 0 0,0-1-1,1 1 1,2-2 0,11-8-6775</inkml:trace>
  <inkml:trace contextRef="#ctx0" brushRef="#br0" timeOffset="38931">847 1 24575,'0'9'0,"0"12"0,0 7 0,0 7 0,0 3 0,0 4 0,0-1 0,0-3 0,0-3 0,0-4 0,0 3 0,0-1 0,5-5 0,5-8 0,2-7-8191</inkml:trace>
  <inkml:trace contextRef="#ctx0" brushRef="#br0" timeOffset="40642.81">1059 213 24575,'-2'85'0,"5"95"0,-3-178 0,0 0 0,0 0 0,0 1 0,0-1 0,1 0 0,-1 0 0,1 0 0,-1 0 0,1 0 0,0 0 0,0 0 0,0 0 0,0 0 0,0-1 0,0 1 0,1 0 0,-1-1 0,0 1 0,1 0 0,0-1 0,-1 0 0,1 1 0,0-1 0,0 0 0,-1 0 0,1 0 0,0 0 0,0 0 0,0-1 0,0 1 0,0 0 0,0-1 0,1 0 0,-1 1 0,0-1 0,0 0 0,0 0 0,0 0 0,0-1 0,1 1 0,-1 0 0,0-1 0,0 1 0,0-1 0,0 0 0,0 0 0,0 1 0,0-1 0,-1-1 0,1 1 0,0 0 0,0 0 0,-1-1 0,1 1 0,-1-1 0,1 1 0,-1-1 0,0 0 0,1 1 0,-1-1 0,0 0 0,0 0 0,0 0 0,-1 0 0,2-4 0,6-21 0,-2 0 0,-1 0 0,2-36 0,8-38 0,-15 100 0,0-1 0,0 1 0,1-1 0,-1 1 0,0 0 0,1-1 0,-1 1 0,1 0 0,-1-1 0,1 1 0,0 0 0,0 0 0,-1-1 0,1 1 0,0 0 0,2-2 0,-2 3 0,-1 1 0,1-1 0,-1 0 0,1 0 0,-1 0 0,1 0 0,0 1 0,-1-1 0,1 0 0,-1 0 0,1 1 0,-1-1 0,0 0 0,1 1 0,-1-1 0,1 1 0,-1-1 0,0 1 0,1-1 0,-1 0 0,0 1 0,1-1 0,-1 1 0,0 0 0,0-1 0,1 1 0,-1 0 0,20 60 0,-16-46 0,-2-8-65,0 0 0,1-1 0,-1 1 0,1-1 0,1 0 0,-1 0 0,1 0 0,0-1 0,0 1 0,1-1 0,0 0 0,-1 0 0,2-1 0,-1 1 0,1-1 0,-1 0 0,1-1 0,0 1 0,0-1 0,9 3 0,9 1-6761</inkml:trace>
  <inkml:trace contextRef="#ctx0" brushRef="#br0" timeOffset="41911.99">1588 133 24575,'1'24'0,"0"-18"0,0 0 0,-1 0 0,0-1 0,0 1 0,0 0 0,-1 0 0,1 0 0,-2 0 0,1-1 0,-3 10 0,3-14 0,0-1 0,0 1 0,0 0 0,0 0 0,0 0 0,-1-1 0,1 1 0,0-1 0,0 1 0,0-1 0,0 1 0,-1-1 0,1 0 0,0 0 0,0 1 0,-1-1 0,1 0 0,0 0 0,-1 0 0,1 0 0,0-1 0,0 1 0,-1 0 0,1 0 0,0-1 0,0 1 0,-2-1 0,-42-18 0,23 9 0,17 8 0,0 1 0,0-1 0,1 1 0,-1 0 0,0 0 0,-1 1 0,1 0 0,0 0 0,0 0 0,0 0 0,0 1 0,-7 1 0,9-1 0,1 0 0,0 1 0,-1-1 0,1 1 0,0-1 0,0 1 0,0 0 0,0-1 0,0 1 0,0 0 0,1 0 0,-1 1 0,1-1 0,-1 0 0,1 0 0,0 1 0,0-1 0,0 1 0,0-1 0,0 1 0,1-1 0,-1 1 0,1 0 0,0-1 0,-1 5 0,0 3 0,0 1 0,1 0 0,0 0 0,0 0 0,1-1 0,1 1 0,5 20 0,-6-28 0,0 1 0,1-1 0,-1 1 0,1-1 0,0 0 0,0 0 0,0 0 0,1 0 0,-1 0 0,1 0 0,-1-1 0,1 1 0,0-1 0,0 1 0,0-1 0,0 0 0,0-1 0,1 1 0,-1 0 0,1-1 0,-1 0 0,1 0 0,-1 0 0,1 0 0,6 0 0,95 0-1365,-81-2-5461</inkml:trace>
  <inkml:trace contextRef="#ctx0" brushRef="#br0" timeOffset="44914.91">1588 266 24575,'-4'0'0,"-7"0"0,-5 0 0,-5 0 0,-8 0 0,2 4 0,5 2-8191</inkml:trace>
  <inkml:trace contextRef="#ctx0" brushRef="#br0" timeOffset="47344.51">2144 107 24575,'-5'0'0,"-8"-1"0,1 1 0,0 1 0,0 0 0,0 1 0,-12 3 0,19-4 0,1 1 0,-1 0 0,1 1 0,0-1 0,0 1 0,0 0 0,0 0 0,0 0 0,0 0 0,1 1 0,0 0 0,0-1 0,0 1 0,0 0 0,-3 7 0,1-3 0,1 0 0,0 0 0,0 0 0,1 1 0,0 0 0,0-1 0,1 1 0,0 0 0,1 0 0,-1 14 0,2-19 0,1 1 0,-1-1 0,1 1 0,0-1 0,0 0 0,0 1 0,0-1 0,1 0 0,0 0 0,0 0 0,0 0 0,0 0 0,1-1 0,-1 1 0,1-1 0,0 1 0,0-1 0,0 0 0,0 0 0,1 0 0,-1-1 0,1 1 0,4 2 0,0-1 0,-1-1 0,1 1 0,0-1 0,0 0 0,0-1 0,0 0 0,0 0 0,0-1 0,0 0 0,1 0 0,-1-1 0,16-2 0,-19 2 0,-1-1 0,0 0 0,1-1 0,-1 1 0,0-1 0,0 0 0,0 0 0,0 0 0,0 0 0,0-1 0,0 0 0,-1 1 0,0-1 0,1-1 0,-1 1 0,0 0 0,0-1 0,-1 1 0,1-1 0,-1 0 0,0 0 0,0 0 0,0 0 0,2-9 0,-1 0 0,0-1 0,-1 0 0,-1 1 0,0-1 0,-2-20 0,1-10 0,27 77 0,-22-25-70,4 7 136,1-1 1,20 24-1,-26-34-190,1 0-1,-1 0 1,1 0-1,0-1 1,0 1-1,0-1 1,0 0-1,1-1 0,-1 0 1,1 1-1,11 1 1,5 0-6702</inkml:trace>
  <inkml:trace contextRef="#ctx0" brushRef="#br0" timeOffset="49583.5">2673 54 24575,'1'-1'0,"0"0"0,1 0 0,-1-1 0,0 1 0,0 0 0,0 0 0,0-1 0,0 1 0,0-1 0,-1 1 0,1-1 0,0 1 0,-1-1 0,1 1 0,-1-1 0,1-2 0,-1 3 0,0 1 0,-1-1 0,1 0 0,0 1 0,0-1 0,-1 1 0,1-1 0,0 1 0,-1-1 0,1 1 0,-1-1 0,1 1 0,-1-1 0,1 1 0,-1-1 0,1 1 0,-1 0 0,1-1 0,-1 1 0,1 0 0,-1-1 0,0 1 0,1 0 0,-1 0 0,0 0 0,1 0 0,-2-1 0,-3 1 0,0-1 0,0 1 0,-1 0 0,1 0 0,0 1 0,0-1 0,0 1 0,-10 3 0,5 0 0,0 1 0,-1 0 0,2 0 0,-1 1 0,1 0 0,0 1 0,-15 13 0,21-17 0,0-1 0,0 1 0,0 0 0,1 0 0,-1 0 0,1 0 0,0 0 0,0 1 0,0-1 0,1 1 0,-1-1 0,1 1 0,-1 0 0,1 0 0,0-1 0,1 1 0,-1 0 0,1 0 0,0 0 0,0 0 0,0 0 0,0 0 0,1 0 0,-1-1 0,2 6 0,1-5 0,-1 0 0,1-1 0,-1 1 0,1-1 0,0 0 0,0 0 0,1 0 0,-1 0 0,1-1 0,-1 1 0,1-1 0,0 0 0,0 0 0,0 0 0,0 0 0,0-1 0,5 2 0,7 1 0,0 0 0,0-1 0,21 2 0,-26-5 0,-1 1 0,0 0 0,0 1 0,0 0 0,0 1 0,0 0 0,14 7 0,-21-9 0,0 1 0,0 0 0,0 0 0,-1 1 0,1-1 0,0 0 0,-1 1 0,0 0 0,0 0 0,0-1 0,0 1 0,0 0 0,0 0 0,-1 1 0,1-1 0,-1 0 0,0 1 0,0-1 0,-1 0 0,1 1 0,0-1 0,-1 1 0,0-1 0,0 1 0,0 4 0,-1-5 0,1-1 0,-1 1 0,0 0 0,1-1 0,-1 1 0,0 0 0,0-1 0,-1 1 0,1-1 0,0 0 0,-1 1 0,0-1 0,1 0 0,-1 0 0,0 0 0,0 0 0,0 0 0,-1 0 0,1-1 0,0 1 0,-1-1 0,1 1 0,-1-1 0,1 0 0,-1 0 0,1 0 0,-1 0 0,0-1 0,1 1 0,-1-1 0,-4 1 0,-12 1 0,0 0 0,0-2 0,-29-2 0,29 1 0,-12 0 0,23 0 0,21 0 0,196 1-1365,-186 0-5461</inkml:trace>
</inkml:ink>
</file>

<file path=xl/ink/ink5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43:03.696"/>
    </inkml:context>
    <inkml:brush xml:id="br0">
      <inkml:brushProperty name="width" value="0.035" units="cm"/>
      <inkml:brushProperty name="height" value="0.035" units="cm"/>
      <inkml:brushProperty name="color" value="#E71224"/>
    </inkml:brush>
  </inkml:definitions>
  <inkml:trace contextRef="#ctx0" brushRef="#br0">1 515 24575,'16'0'0,"-3"0"0,-1 0 0,1-1 0,23-4 0,-33 5 0,1-1 0,-1-1 0,1 1 0,-1 0 0,1-1 0,-1 0 0,0 0 0,0 0 0,0 0 0,0 0 0,0-1 0,0 1 0,-1-1 0,1 0 0,-1 0 0,0 0 0,4-5 0,4-12 0,-1-1 0,-1 1 0,0-2 0,-2 1 0,0-1 0,-2 0 0,3-23 0,-1-158 0,-6 132 0,-2 195 0,5 194 0,-2-312 0,-1 0 0,1-1 0,1 1 0,-1-1 0,1 1 0,0-1 0,0 1 0,1-1 0,-1 0 0,1 0 0,0 0 0,1-1 0,-1 1 0,1-1 0,0 0 0,0 0 0,0 0 0,1 0 0,-1-1 0,1 1 0,0-1 0,0 0 0,10 4 0,-4-3 0,0-1 0,0 1 0,0-2 0,0 0 0,1 0 0,-1-1 0,1 0 0,-1-1 0,1 0 0,-1-1 0,14-2 0,-23 3-76,-1-1 1,1 1-1,0-1 0,-1 1 0,1-1 0,-1 1 0,1-1 0,-1 0 1,1 0-1,-1 0 0,1 0 0,-1 0 0,0 0 0,1 0 1,-1 0-1,0-1 0,1-1 0,5-9-6750</inkml:trace>
</inkml:ink>
</file>

<file path=xl/ink/ink5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43:06.730"/>
    </inkml:context>
    <inkml:brush xml:id="br0">
      <inkml:brushProperty name="width" value="0.035" units="cm"/>
      <inkml:brushProperty name="height" value="0.035" units="cm"/>
      <inkml:brushProperty name="color" value="#E71224"/>
    </inkml:brush>
  </inkml:definitions>
  <inkml:trace contextRef="#ctx0" brushRef="#br0">85 1730 24575,'-3'0'0,"1"1"0,0 0 0,0 0 0,0 1 0,0-1 0,0 0 0,0 1 0,0-1 0,0 1 0,0 0 0,1-1 0,-1 1 0,1 0 0,-1 0 0,-1 2 0,-21 35 0,23-38 0,-4 8 0,1 0 0,0 0 0,1 1 0,0-1 0,1 1 0,0 0 0,0-1 0,1 1 0,0 0 0,1 0 0,0 0 0,0 0 0,1 0 0,1-1 0,3 14 0,-5-21 0,0-1 0,1 1 0,-1-1 0,1 1 0,-1-1 0,1 1 0,0-1 0,0 0 0,0 1 0,-1-1 0,1 0 0,1 0 0,-1 0 0,0 0 0,0 0 0,0 0 0,0 0 0,1 0 0,-1 0 0,0 0 0,1-1 0,-1 1 0,1 0 0,-1-1 0,1 0 0,-1 1 0,1-1 0,-1 0 0,1 0 0,-1 1 0,1-1 0,-1 0 0,1-1 0,-1 1 0,1 0 0,0 0 0,-1-1 0,1 1 0,-1-1 0,0 1 0,2-2 0,1 0 0,-1 0 0,0 0 0,0 0 0,0-1 0,0 0 0,0 1 0,0-1 0,-1 0 0,0 0 0,1-1 0,-1 1 0,0 0 0,-1-1 0,1 1 0,2-7 0,-1-8 0,0 1 0,-1-1 0,0 0 0,-3-31 0,3-26 0,5 85 0,0 11 0,-4-10 0,0 0 0,1 0 0,0-1 0,1 0 0,0 0 0,1 0 0,8 11 0,-12-19 0,-1 0 0,1 1 0,0-2 0,0 1 0,0 0 0,0 0 0,0-1 0,0 1 0,0-1 0,0 1 0,1-1 0,-1 0 0,0 0 0,1 0 0,-1 0 0,1 0 0,-1-1 0,1 1 0,0-1 0,-1 0 0,1 1 0,-1-1 0,1 0 0,0-1 0,-1 1 0,1 0 0,0-1 0,-1 0 0,1 1 0,-1-1 0,1 0 0,-1 0 0,0 0 0,1-1 0,-1 1 0,0-1 0,3-2 0,4-4 0,0-1 0,0 0 0,-1 0 0,-1-1 0,0 0 0,0 0 0,-1-1 0,9-19 0,-10 19 0,0 0 0,1 0 0,1 0 0,-1 1 0,2 0 0,-1 0 0,2 1 0,16-15 0,-21 21 0,0-1 0,1 0 0,-1 1 0,0-1 0,-1-1 0,5-5 0,-7 9 0,-1 0 0,1 1 0,-1-1 0,1 0 0,-1 0 0,0 1 0,0-1 0,1 0 0,-1 0 0,0 0 0,0 1 0,0-1 0,0 0 0,0 0 0,0 0 0,0 0 0,0 1 0,0-1 0,0 0 0,-1-1 0,0 1 0,1 0 0,-1 0 0,0 0 0,0 0 0,0 1 0,0-1 0,0 0 0,0 1 0,0-1 0,0 0 0,0 1 0,0-1 0,0 1 0,0 0 0,-1-1 0,1 1 0,0 0 0,0 0 0,-2-1 0,0 1 0,0 0 0,0 0 0,-1 1 0,1-1 0,0 0 0,0 1 0,0 0 0,0 0 0,0 0 0,0 0 0,0 0 0,0 1 0,0-1 0,0 1 0,1 0 0,-1 0 0,1 0 0,-1 0 0,1 0 0,0 0 0,0 1 0,0-1 0,0 1 0,0 0 0,0-1 0,1 1 0,0 0 0,-1 0 0,1 0 0,0 0 0,0 0 0,0 5 0,-2-1 0,1 1 0,0-1 0,1 1 0,0 0 0,0 0 0,1 0 0,0 0 0,0 0 0,1 0 0,0 0 0,0-1 0,4 12 0,-4-16 0,1-1 0,-1 1 0,1-1 0,0 0 0,0 0 0,0 1 0,0-1 0,0 0 0,0-1 0,0 1 0,1 0 0,-1-1 0,1 1 0,-1-1 0,1 0 0,0 1 0,-1-1 0,1-1 0,0 1 0,5 1 0,8 0 0,1 0 0,27 0 0,14 2 0,-54-3 0,0 0 0,0 0 0,0 1 0,0 0 0,0 0 0,0 0 0,-1 0 0,1 1 0,-1-1 0,1 1 0,-1 0 0,0 0 0,0 0 0,0 0 0,-1 1 0,1-1 0,-1 1 0,0 0 0,0 0 0,0-1 0,0 1 0,-1 0 0,2 5 0,-2-6 0,-1 0 0,1 0 0,-1 1 0,0-1 0,0 0 0,0 0 0,0 0 0,-1 0 0,1 0 0,-1 0 0,0 0 0,0 0 0,0 0 0,0-1 0,0 1 0,-1 0 0,1 0 0,-1-1 0,0 1 0,0-1 0,0 0 0,0 1 0,0-1 0,0 0 0,0 0 0,-1 0 0,1-1 0,-1 1 0,0 0 0,1-1 0,-1 0 0,0 0 0,-4 2 0,2-2 0,1 1 0,0-1 0,-1 0 0,1 0 0,-1-1 0,1 1 0,-1-1 0,1 0 0,-1 0 0,1-1 0,-1 0 0,1 1 0,-1-1 0,1-1 0,-1 1 0,1 0 0,0-1 0,0 0 0,0 0 0,0-1 0,0 1 0,0-1 0,1 1 0,-1-1 0,-4-5 0,3 2 0,0 0 0,0 0 0,1-1 0,-1 0 0,1 1 0,1-1 0,-1-1 0,1 1 0,1 0 0,-1-1 0,1 0 0,1 1 0,-2-15 0,2-7-1365,1 4-5461</inkml:trace>
  <inkml:trace contextRef="#ctx0" brushRef="#br0" timeOffset="667.49">746 1439 24575,'0'4'0,"0"15"0,4 23 0,2 8 0,0 10 0,3 3 0,1 4 0,6 5 0,2-2 0,-3-7 0,-4-6 0,-3-8 0,-4-17 0,-2-18 0</inkml:trace>
  <inkml:trace contextRef="#ctx0" brushRef="#br0" timeOffset="1268.29">640 1756 24575,'5'0'0,"5"0"0,11 0 0,6 0 0,2 0 0,2 0 0,-1 0 0,0 0 0,-1 0 0,-1-4 0,-6-2-8191</inkml:trace>
  <inkml:trace contextRef="#ctx0" brushRef="#br0" timeOffset="2600.17">1778 1624 24575,'-11'-1'0,"0"1"0,0 1 0,0 0 0,0 1 0,0 0 0,0 0 0,-19 7 0,26-7 0,1 1 0,-1-1 0,0 0 0,1 1 0,0 0 0,-1-1 0,1 1 0,0 1 0,0-1 0,1 0 0,-1 1 0,1-1 0,0 1 0,0 0 0,0 0 0,0 0 0,1 0 0,-1 0 0,1 0 0,0 0 0,0 1 0,0 7 0,-1 26 0,1 0 0,8 76 0,-6-112 0,-1 1 0,1 0 0,0 0 0,0-1 0,0 1 0,0 0 0,1-1 0,-1 0 0,1 1 0,-1-1 0,1 0 0,0 1 0,0-1 0,0 0 0,0 0 0,0-1 0,0 1 0,0 0 0,1-1 0,-1 1 0,1-1 0,-1 0 0,1 0 0,0 0 0,-1 0 0,1 0 0,0 0 0,0-1 0,2 1 0,13 1 0,-1-1 0,1 0 0,29-3 0,-23 1 0,14 0-1365,-6 0-5461</inkml:trace>
  <inkml:trace contextRef="#ctx0" brushRef="#br0" timeOffset="3535.75">2095 1677 24575,'-3'0'0,"-1"0"0,1 1 0,0-1 0,-1 1 0,1 0 0,0 0 0,-1 0 0,1 0 0,0 1 0,0-1 0,0 1 0,0 0 0,0 0 0,0 0 0,1 0 0,-1 1 0,1-1 0,-1 1 0,1-1 0,0 1 0,0 0 0,0 0 0,0 0 0,1 0 0,-1 0 0,1 0 0,0 0 0,0 1 0,0-1 0,0 0 0,0 1 0,0 4 0,-2 14 0,1 1 0,1 0 0,3 43 0,0-36 0,-3-25 0,2 0 0,-1 0 0,0 0 0,1 0 0,0 0 0,0 0 0,1 0 0,-1-1 0,1 1 0,0 0 0,0-1 0,1 1 0,-1-1 0,1 0 0,0 0 0,0 0 0,0 0 0,6 4 0,-5-5 0,0-1 0,0 0 0,0 0 0,0 0 0,0 0 0,1-1 0,-1 1 0,1-1 0,-1 0 0,1-1 0,0 1 0,-1-1 0,1 0 0,0 0 0,-1 0 0,1-1 0,0 0 0,-1 1 0,1-2 0,5-1 0,-2 0 0,-1 0 0,1-1 0,0 0 0,-1-1 0,0 1 0,0-1 0,0-1 0,-1 1 0,1-1 0,-2 0 0,1-1 0,0 1 0,-1-1 0,7-13 0,-9 15 0,1-1 0,-1 0 0,-1 0 0,1 0 0,-1 0 0,0 0 0,0 0 0,-1-1 0,0 1 0,0-1 0,0 1 0,-1-1 0,0 1 0,0-1 0,-1 1 0,0-1 0,0 1 0,0-1 0,-4-9 0,2 11 0,0 0 0,-1 1 0,1-1 0,-1 1 0,0 0 0,0 0 0,0 1 0,0-1 0,-1 1 0,0 0 0,1 0 0,-1 0 0,0 1 0,-6-3 0,-7-1 0,0-1 0,-32-5 0,44 10-136,1 1-1,0 1 1,-1-1-1,1 1 1,-1 0-1,1 0 1,-1 0-1,1 1 0,-11 2 1,-7 7-6690</inkml:trace>
  <inkml:trace contextRef="#ctx0" brushRef="#br0" timeOffset="4550.17">2651 1730 24575,'-1'26'0,"-1"0"0,-2-1 0,0 1 0,-14 43 0,16-65 0,0 1 0,0-1 0,0 0 0,-1 0 0,1 0 0,-1 0 0,0 0 0,0-1 0,-1 1 0,1-1 0,-1 0 0,1 0 0,-1 0 0,0 0 0,0-1 0,-6 4 0,8-5 0,0-1 0,0 1 0,0-1 0,0 1 0,0-1 0,0 1 0,0-1 0,0 0 0,0 0 0,0 0 0,0 0 0,0 0 0,1 0 0,-1-1 0,0 1 0,0-1 0,0 1 0,0-1 0,0 0 0,0 0 0,1 0 0,-1 0 0,0 0 0,1 0 0,-1 0 0,1-1 0,-1 1 0,1 0 0,-1-1 0,1 1 0,0-1 0,0 0 0,0 1 0,0-1 0,0 0 0,0 0 0,0 1 0,1-1 0,-1 0 0,0-3 0,-4-21 0,0 0 0,2 0 0,1 0 0,1-1 0,1 1 0,7-47 0,-5 48 0,-2 20 0,0 0 0,1 1 0,-1-1 0,1 0 0,0 1 0,0-1 0,1 1 0,-1 0 0,1-1 0,0 1 0,0 0 0,1 0 0,-1 0 0,1 0 0,0 0 0,0 1 0,0-1 0,0 1 0,0 0 0,1 0 0,0 0 0,0 0 0,-1 1 0,1-1 0,1 1 0,-1 0 0,0 0 0,1 1 0,-1-1 0,1 1 0,-1 0 0,1 0 0,-1 1 0,1-1 0,0 1 0,-1 0 0,1 0 0,0 1 0,-1-1 0,1 1 0,-1 0 0,1 0 0,-1 1 0,1-1 0,-1 1 0,7 4 0,-1-1 15,0 0 0,-1 1 0,0 0 0,0 1 0,0 0 0,-1 0 0,11 13 0,47 63-1500,-49-58-5341</inkml:trace>
  <inkml:trace contextRef="#ctx0" brushRef="#br0" timeOffset="5759.15">3207 1571 24575,'-16'-1'0,"1"2"0,-1 0 0,1 0 0,0 1 0,-19 6 0,29-6 0,0 0 0,0 0 0,0 0 0,1 1 0,-1-1 0,1 1 0,-1 1 0,1-1 0,0 0 0,0 1 0,1 0 0,-1 0 0,1 0 0,0 0 0,0 1 0,0-1 0,0 1 0,-3 9 0,2-4 0,0 0 0,1 1 0,0-1 0,0 1 0,1 0 0,1-1 0,0 1 0,0 15 0,1-22 0,1-1 0,-1 0 0,1 0 0,0 0 0,0 1 0,0-1 0,0 0 0,0 0 0,1 0 0,-1-1 0,1 1 0,0 0 0,0-1 0,0 1 0,0-1 0,0 1 0,1-1 0,-1 0 0,1 0 0,-1 0 0,1 0 0,0 0 0,0-1 0,-1 0 0,1 1 0,0-1 0,1 0 0,-1 0 0,0 0 0,0-1 0,5 1 0,4 1 0,0 0 0,1-1 0,-1-1 0,0 0 0,0 0 0,0-1 0,16-4 0,-23 4 0,0-1 0,0 0 0,-1 1 0,1-2 0,0 1 0,-1 0 0,1-1 0,-1 0 0,0 0 0,0-1 0,0 1 0,-1-1 0,1 1 0,-1-1 0,0 0 0,0 0 0,0-1 0,0 1 0,2-8 0,2-6 0,-1 0 0,0-1 0,-2 0 0,0 0 0,-1 0 0,0-23 0,-4-122 0,-2 98 0,2 11 0,0 37 0,0 34 0,1-14-15,5 157 152,-3-141-323,1-1 0,1 0 0,0 0 0,1-1 1,1 1-1,0-1 0,11 18 0,2-2-6640</inkml:trace>
  <inkml:trace contextRef="#ctx0" brushRef="#br0" timeOffset="6411.9">3577 1465 24575,'0'4'0,"0"7"0,0 5 0,0 5 0,0 3 0,0 2 0,0 1 0,0 1 0,0-1 0,5 1 0,1-5-8191</inkml:trace>
  <inkml:trace contextRef="#ctx0" brushRef="#br0" timeOffset="7032.49">3604 1306 24575,'-5'0'0,"-5"0"0,-2 0-8191</inkml:trace>
  <inkml:trace contextRef="#ctx0" brushRef="#br0" timeOffset="9213.64">3815 1200 24575,'0'0'0,"0"5"0,0 14 0,5 14 0,1 5 0,-1 10 0,0 1 0,-2 2 0,-1-4 0,-1-5 0,0-6 0,-1-4 0,4-3 0,2-6-8191</inkml:trace>
  <inkml:trace contextRef="#ctx0" brushRef="#br0" timeOffset="9963.4">3815 1571 24575,'-4'0'0,"2"0"0,7 0 0,11 0 0,8 0 0,3-5 0,3-1 0,0 1 0,4 0 0,1-3 0,-6 0-8191</inkml:trace>
  <inkml:trace contextRef="#ctx0" brushRef="#br0" timeOffset="10473.82">4106 1439 24575,'0'4'0,"0"6"0,0 11 0,5 6 0,1 3 0,-1 0 0,0-4-8191</inkml:trace>
  <inkml:trace contextRef="#ctx0" brushRef="#br0" timeOffset="11237.68">4159 1306 24575</inkml:trace>
  <inkml:trace contextRef="#ctx0" brushRef="#br0" timeOffset="12225.21">4371 1412 24575,'-6'0'0,"1"1"0,-1 0 0,1 0 0,-1 0 0,1 0 0,-1 1 0,1 0 0,0 0 0,0 0 0,0 1 0,0 0 0,0 0 0,1 0 0,-1 0 0,1 1 0,0 0 0,0 0 0,0 0 0,1 0 0,-1 1 0,1-1 0,0 1 0,0 0 0,1 0 0,-1 0 0,1 0 0,0 0 0,0 1 0,1-1 0,0 1 0,-1 10 0,1-11 0,0 1 0,1-1 0,-1 0 0,1 1 0,1-1 0,-1 1 0,1-1 0,0 0 0,0 1 0,0-1 0,1 0 0,0 0 0,0 0 0,0 0 0,1 0 0,0 0 0,-1-1 0,2 1 0,-1-1 0,0 0 0,1 0 0,0 0 0,0 0 0,0-1 0,0 0 0,1 0 0,-1 0 0,1 0 0,0 0 0,0-1 0,0 0 0,0 0 0,6 1 0,-2-2 0,-1 0 0,1-1 0,0 0 0,0 0 0,0-1 0,0 0 0,-1-1 0,1 1 0,0-2 0,-1 1 0,0-1 0,1-1 0,-1 0 0,0 0 0,-1 0 0,1-1 0,-1 0 0,0 0 0,0-1 0,-1 0 0,1 0 0,-1-1 0,-1 0 0,1 0 0,-1 0 0,0 0 0,-1-1 0,0 0 0,0 0 0,0 0 0,-1 0 0,-1-1 0,1 1 0,-1-1 0,-1 0 0,0 0 0,0 1 0,-1-11 0,0 15 3,0 0 0,-1 0 0,1 0 0,-1 0 0,0 1 0,-1-1 0,1 0 0,-1 1 0,1-1 0,-1 1-1,0 0 1,0-1 0,0 1 0,-1 0 0,1 0 0,-1 0 0,0 1 0,0-1 0,0 1 0,0-1 0,0 1 0,0 0 0,-1 0 0,1 0-1,-1 1 1,1-1 0,-1 1 0,-4-1 0,-8-1-117,-1 1-1,1 0 0,0 1 1,-1 1-1,-21 3 0,10-2-647,0 0-6064</inkml:trace>
  <inkml:trace contextRef="#ctx0" brushRef="#br0" timeOffset="13402.11">4741 1359 24575,'8'30'0,"-1"-27"0,-1-18 0,-3-10 0,-2 17 0,0-1 0,1 1 0,-1-1 0,1 1 0,1 0 0,5-12 0,-7 18 0,0 1 0,0-1 0,0 1 0,0 0 0,0-1 0,1 1 0,-1 0 0,0 0 0,1 0 0,-1 0 0,1 0 0,0 0 0,-1 0 0,1 1 0,-1-1 0,1 0 0,0 1 0,0 0 0,-1-1 0,1 1 0,0 0 0,0 0 0,-1 0 0,1 0 0,0 0 0,0 0 0,-1 0 0,1 1 0,0-1 0,0 1 0,-1-1 0,1 1 0,0 0 0,-1 0 0,1-1 0,-1 1 0,3 2 0,2 0 0,-1 1 0,0 0 0,1 0 0,-2 0 0,1 0 0,0 1 0,-1 0 0,0 0 0,0 0 0,0 0 0,-1 1 0,1 0 0,-1-1 0,-1 1 0,1 0 0,-1 0 0,0 1 0,0-1 0,0 9 0,15 35 0,-16-48-97,0 0-1,0 1 1,0-1-1,1 0 1,-1 0-1,1 0 1,-1 0-1,1-1 1,0 1-1,-1 0 1,1-1-1,0 1 0,4 1 1,10 4-6729</inkml:trace>
  <inkml:trace contextRef="#ctx0" brushRef="#br0" timeOffset="14993.8">5323 1227 24575,'-58'-1'0,"-67"3"0,122-2 0,0 1 0,0 0 0,0-1 0,0 1 0,0 1 0,0-1 0,1 0 0,-1 1 0,1-1 0,-1 1 0,1 0 0,-1 0 0,1 0 0,0 0 0,0 0 0,0 1 0,0-1 0,0 0 0,1 1 0,-1 0 0,1-1 0,0 1 0,-1 0 0,1 0 0,0-1 0,1 1 0,-1 0 0,0 0 0,1 5 0,-2 2 0,1-1 0,1 1 0,0 0 0,0-1 0,1 1 0,0 0 0,0-1 0,4 12 0,-5-19 0,1 0 0,-1 0 0,1 0 0,-1 0 0,1 0 0,0 0 0,0-1 0,0 1 0,0 0 0,0 0 0,0-1 0,1 1 0,-1 0 0,1-1 0,-1 1 0,1-1 0,-1 0 0,1 0 0,0 1 0,0-1 0,-1 0 0,1 0 0,0-1 0,0 1 0,0 0 0,0-1 0,0 1 0,0-1 0,0 1 0,0-1 0,0 0 0,1 0 0,1 0 0,-1-1 0,-1 0 0,1 0 0,-1 0 0,1 0 0,0 0 0,-1-1 0,0 1 0,1-1 0,-1 1 0,0-1 0,0 0 0,0 0 0,0 0 0,0 0 0,0-1 0,-1 1 0,1 0 0,-1-1 0,0 1 0,1-1 0,-1 1 0,0-1 0,1-5 0,5-26 0,-5 24 0,-3 36 0,2-17 0,-1 0 0,2 1 0,-1-1 0,1 0 0,1 0 0,-1-1 0,1 1 0,1-1 0,0 1 0,0-1 0,9 13 0,-11-18 0,0 0 0,-1-1 0,1 1 0,1 0 0,-1-1 0,0 0 0,0 1 0,1-1 0,0 0 0,-1 0 0,1-1 0,0 1 0,0 0 0,0-1 0,0 0 0,0 1 0,0-1 0,0-1 0,0 1 0,1 0 0,-1-1 0,0 1 0,0-1 0,1 0 0,-1 0 0,0-1 0,1 1 0,-1-1 0,0 1 0,0-1 0,0 0 0,0 0 0,1 0 0,-1-1 0,-1 1 0,5-3 0,-2 0 0,0 0 0,-1 0 0,1-1 0,-1 1 0,0-1 0,0 0 0,0-1 0,-1 1 0,0 0 0,0-1 0,0 0 0,-1 0 0,1 0 0,-1 0 0,-1 0 0,1 0 0,0-9 0,1-14 0,-1-1 0,-2-42 0,0 43 0,-3-52 0,0 37 0,6-75 0,-3 119 0,0 0 0,0-1 0,0 1 0,0 0 0,0 0 0,0 0 0,0 0 0,0-1 0,0 1 0,0 0 0,0 0 0,0 0 0,0-1 0,0 1 0,0 0 0,0 0 0,0 0 0,0 0 0,0-1 0,1 1 0,-1 0 0,0 0 0,0 0 0,0 0 0,0-1 0,0 1 0,0 0 0,0 0 0,1 0 0,-1 0 0,0 0 0,0 0 0,0-1 0,0 1 0,0 0 0,1 0 0,-1 0 0,0 0 0,0 0 0,0 0 0,1 0 0,-1 0 0,0 0 0,0 0 0,0 0 0,0 0 0,1 0 0,-1 0 0,0 0 0,9 10 0,9 25 0,-15-29 0,1 4 14,2 0-1,-1 0 0,1-1 0,1 0 1,-1 0-1,2 0 0,-1-1 1,11 9-1,-11-12-137,0-1 0,0 1 1,0-1-1,1-1 0,0 1 0,0-1 1,0 0-1,0-1 0,0 0 0,1 0 1,11 0-1,5 0-6702</inkml:trace>
  <inkml:trace contextRef="#ctx0" brushRef="#br0" timeOffset="16748.04">5905 1359 24575,'8'-13'0,"0"0"0,19-23 0,8-13 0,-13 12 0,33-75 0,-48 91 0,0-1 0,-1 1 0,-1-1 0,-1 0 0,1-35 0,-7-173 0,0 142 0,1 217 0,7 280 0,2-352 0,3 0 0,2 0 0,2-1 0,25 56 0,6 27 0,-39-116 0,-2 1 0,0 0 0,-1 0 0,-2 1 0,0-1 0,-4 47 0,2-68 0,0 0 0,0 0 0,-1-1 0,1 1 0,-1 0 0,0-1 0,0 1 0,0 0 0,0-1 0,0 1 0,0-1 0,-1 0 0,1 1 0,-1-1 0,0 0 0,0 0 0,1 0 0,-1 0 0,0 0 0,-3 1 0,2-2 0,1 0 0,-1 0 0,0 0 0,1-1 0,-1 1 0,0-1 0,0 1 0,0-1 0,1 0 0,-1 0 0,0-1 0,0 1 0,1-1 0,-1 1 0,0-1 0,-3-1 0,-7-3 0,1-1 0,-1-1 0,1 0 0,1 0 0,-1-1 0,-14-14 0,4 3 0,1-1 0,1-1 0,1-1 0,-24-35 0,36 45 0,0 1 0,1-2 0,0 1 0,0-1 0,2 0 0,0 0 0,0 0 0,1-1 0,1 1 0,0-1 0,0-21 0,2 20 0,1-1 0,0 1 0,1 0 0,1 1 0,1-1 0,0 0 0,0 1 0,2 0 0,-1 0 0,2 0 0,0 1 0,1-1 0,0 2 0,1-1 0,0 2 0,1-1 0,0 1 0,1 0 0,0 1 0,1 0 0,0 1 0,1 1 0,19-11 0,-10 8-170,0 1-1,1 2 0,1 0 1,-1 1-1,1 1 0,1 1 1,47-3-1,-44 7-6655</inkml:trace>
  <inkml:trace contextRef="#ctx0" brushRef="#br0" timeOffset="17576.75">6593 962 24575,'-7'0'0,"1"0"0,-1 0 0,0 0 0,0 1 0,0 0 0,1 1 0,-1-1 0,0 1 0,-8 4 0,12-4 0,1 0 0,-1 0 0,1 0 0,0 0 0,0 0 0,0 1 0,0-1 0,0 1 0,1-1 0,-1 1 0,1 0 0,-1-1 0,1 1 0,0 0 0,0 0 0,0 0 0,1 0 0,-1 0 0,1 0 0,0 0 0,-1 0 0,1 0 0,1 5 0,-1-4 0,1 1 0,-1 0 0,1 0 0,0-1 0,0 1 0,1 0 0,-1-1 0,1 1 0,0-1 0,0 0 0,1 1 0,-1-1 0,1 0 0,0-1 0,0 1 0,0 0 0,1-1 0,-1 0 0,1 1 0,0-1 0,0-1 0,0 1 0,0-1 0,0 1 0,1-1 0,-1-1 0,1 1 0,-1 0 0,1-1 0,0 0 0,-1 0 0,1-1 0,0 1 0,0-1 0,0 0 0,-1 0 0,1 0 0,0-1 0,0 0 0,0 0 0,-1 0 0,1-1 0,-1 1 0,1-1 0,-1 0 0,0 0 0,1-1 0,-1 1 0,6-6 0,-6 4 0,0-1 0,-1 0 0,1 1 0,-1-1 0,0 0 0,-1 0 0,1-1 0,-1 1 0,0-1 0,0 1 0,-1-1 0,0 1 0,0-1 0,0-6 0,0 7 0,0 0 0,-1 0 0,1 0 0,-1 0 0,-1 0 0,1 0 0,-1 0 0,0 0 0,0 0 0,0 0 0,0 0 0,-1 0 0,0 0 0,0 1 0,-6-9 0,-4 4-1365,1 8-5461</inkml:trace>
  <inkml:trace contextRef="#ctx0" brushRef="#br0" timeOffset="18340.07">6805 909 24575,'75'0'0,"-20"-2"0,0 2 0,0 2 0,0 3 0,97 22 0,-102-5 0,-32-5 0,-18-16 0,0-1 0,1 1 0,-1-1 0,0 1 0,0 0 0,0-1 0,0 1 0,0 0 0,0-1 0,0 1 0,0-1 0,0 1 0,0 0 0,0-1 0,0 1 0,0 0 0,-1-1 0,1 1 0,0-1 0,0 1 0,-1-1 0,1 1 0,0-1 0,-1 1 0,1-1 0,-1 1 0,1-1 0,-1 1 0,1-1 0,-1 0 0,1 1 0,-1 0 0,-1 0 0,1 0 0,0-1 0,-1 1 0,1 0 0,-1 0 0,1-1 0,-1 1 0,1 0 0,-1-1 0,0 0 0,1 1 0,-1-1 0,0 0 0,1 0 0,-1 0 0,0 0 0,1 0 0,-1 0 0,1-1 0,-1 1 0,0 0 0,1-1 0,-1 1 0,1-1 0,-1 0 0,1 1 0,-1-1 0,1 0 0,-1 0 0,1 0 0,0 0 0,0 0 0,-1 0 0,1-1 0,-2-1 0,0-1 0,0 0 0,0-1 0,0 1 0,0-1 0,1 0 0,-1 1 0,1-1 0,0 0 0,-2-10 0,-1-49-1365,5 36-5461</inkml:trace>
  <inkml:trace contextRef="#ctx0" brushRef="#br0" timeOffset="19518.18">7493 751 24575,'0'79'0,"0"-49"0,0-27 0,0-13 0,0 4 0,0 0 0,0-1 0,1 1 0,0-1 0,0 1 0,1 0 0,-1 0 0,1 0 0,1 0 0,-1 0 0,6-8 0,-6 10 0,1 1 0,0-1 0,0 1 0,1 0 0,-1 0 0,0 0 0,1 0 0,0 1 0,0 0 0,0-1 0,0 1 0,0 1 0,0-1 0,1 0 0,-1 1 0,0 0 0,7-1 0,-7 2 0,1 0 0,0 0 0,0 0 0,0 0 0,0 1 0,-1 0 0,1 0 0,0 0 0,0 0 0,-1 1 0,1 0 0,-1 0 0,0 0 0,1 0 0,-1 1 0,0 0 0,0 0 0,-1 0 0,1 0 0,-1 1 0,1-1 0,-1 1 0,0 0 0,0 0 0,-1 0 0,1 0 0,-1 0 0,0 1 0,0-1 0,0 1 0,-1-1 0,1 1 0,-1 0 0,-1 0 0,1-1 0,0 1 0,-1 0 0,-1 8 0,2-18 0,-1-4 0,0 0 0,1 0 0,0 0 0,0 1 0,1-1 0,3-10 0,-3 16 0,0 0 0,-1 0 0,1 0 0,0 0 0,0 0 0,1 1 0,-1-1 0,0 1 0,1 0 0,0-1 0,-1 1 0,1 0 0,0 1 0,0-1 0,0 0 0,0 1 0,1 0 0,-1-1 0,0 1 0,6 0 0,0-2 0,0 1 0,0 1 0,0 0 0,0 0 0,18 2 0,-24-1 0,1 0 0,-1 1 0,0-1 0,0 1 0,0 0 0,0 0 0,0 0 0,0 1 0,0-1 0,-1 0 0,1 1 0,0 0 0,-1 0 0,1 0 0,-1 0 0,0 0 0,1 0 0,-1 1 0,0-1 0,2 5 0,20 34-1365,-12-25-5461</inkml:trace>
  <inkml:trace contextRef="#ctx0" brushRef="#br0" timeOffset="20691.91">8234 645 24575,'0'-1'0,"0"1"0,0 0 0,0-1 0,0 1 0,0 0 0,0-1 0,0 1 0,1 0 0,-1-1 0,0 1 0,0 0 0,-1-1 0,1 1 0,0 0 0,0-1 0,0 1 0,0 0 0,0-1 0,0 1 0,0 0 0,0 0 0,-1-1 0,1 1 0,0 0 0,0-1 0,0 1 0,-1 0 0,1 0 0,0-1 0,0 1 0,-1 0 0,1 0 0,0 0 0,-1-1 0,1 1 0,0 0 0,0 0 0,-1 0 0,1 0 0,0 0 0,-1 0 0,1 0 0,0-1 0,-1 1 0,1 0 0,0 0 0,-1 0 0,1 0 0,0 1 0,-1-1 0,1 0 0,0 0 0,-1 0 0,1 0 0,0 0 0,-1 0 0,1 0 0,0 1 0,-1-1 0,1 0 0,0 0 0,0 0 0,-1 1 0,1-1 0,0 0 0,0 0 0,-1 1 0,1-1 0,-17 21 0,12-9 0,0 0 0,1 1 0,1 0 0,-3 19 0,5-25 0,0-1 0,1 0 0,-1 0 0,1 0 0,1 1 0,-1-1 0,1 0 0,0 0 0,0 0 0,1 0 0,3 9 0,-4-14 0,-1 0 0,1 0 0,-1 0 0,1 0 0,-1 0 0,1 0 0,-1 0 0,1-1 0,0 1 0,0 0 0,0 0 0,-1-1 0,1 1 0,0 0 0,0-1 0,0 1 0,0-1 0,0 1 0,0-1 0,0 1 0,0-1 0,0 0 0,0 1 0,0-1 0,0 0 0,1 0 0,-1 0 0,1 0 0,0-1 0,0 1 0,0-1 0,0 0 0,0 0 0,-1 0 0,1 0 0,0-1 0,0 1 0,-1 0 0,1-1 0,-1 1 0,1-1 0,1-2 0,3-4 0,-1 0 0,0 0 0,0 0 0,-1-1 0,4-12 0,-1-8 0,-2-1 0,-1 1 0,-1-1 0,-2-1 0,-5-59 0,5 95-91,1-1 0,0 0 0,0 0 0,1 0 0,-1 0 0,1 0 0,0 0 0,0-1 0,0 1 0,1-1 0,-1 0 0,1 0 0,0 0 0,6 3 0,10 3-6735</inkml:trace>
  <inkml:trace contextRef="#ctx0" brushRef="#br0" timeOffset="21327.26">8578 142 24575,'0'5'0,"0"14"0,0 9 0,0 9 0,0 7 0,0 0 0,4 2 0,2-2 0,0-5 0,-2 1 0,4-3 0,0 2 0,4-5 0,-1-14 0,-2-15 0,-3-16 0,-2-7-8191</inkml:trace>
  <inkml:trace contextRef="#ctx0" brushRef="#br0" timeOffset="21884.12">8392 433 24575,'9'0'0,"12"-4"0,12-2 0,4-5 0,-4-4 0,-3-4 0,-2 1 0,3-2 0,-4 4-8191</inkml:trace>
  <inkml:trace contextRef="#ctx0" brushRef="#br0" timeOffset="22456.01">8736 248 24575,'0'4'0,"0"11"0,0 8 0,0 3 0,0 3 0,5 0 0,5-4 0,2-3 0,3-4 0,3-5 0,4-6 0,-3-12 0,-4-15 0,-4-3-8191</inkml:trace>
  <inkml:trace contextRef="#ctx0" brushRef="#br0" timeOffset="22868.92">8869 89 24575</inkml:trace>
  <inkml:trace contextRef="#ctx0" brushRef="#br0" timeOffset="24288.31">9054 301 24575,'0'0'0,"0"0"0,0 0 0,0 0 0,0 0 0,0 0 0,0-1 0,1 1 0,-1 0 0,0 0 0,0 0 0,0 0 0,0 0 0,0 0 0,0 0 0,0 0 0,0 0 0,0 0 0,1 0 0,-1 0 0,0 0 0,0 0 0,0 0 0,0 1 0,0-1 0,0 0 0,0 0 0,0 0 0,0 0 0,0 0 0,0 0 0,1 0 0,-1 0 0,0 0 0,0 0 0,0 0 0,0 0 0,0 0 0,0 0 0,0 0 0,0 1 0,0-1 0,0 0 0,0 0 0,0 0 0,0 0 0,0 0 0,0 0 0,0 0 0,0 0 0,0 0 0,0 0 0,0 1 0,0-1 0,0 0 0,0 0 0,0 0 0,0 0 0,9-13 0,-6 7 0,1 1 0,-1-1 0,1 1 0,0 0 0,1 0 0,-1 0 0,1 0 0,7-4 0,-3 4 0,0 1 0,1 1 0,0 0 0,0 0 0,0 1 0,0 0 0,0 1 0,14-1 0,89 5 0,-50 1 0,-54-4 0,-1 1 0,0 0 0,0 1 0,0-1 0,-1 2 0,1-1 0,0 1 0,-1 0 0,1 1 0,-1 0 0,13 9 0,22 11 0,-33-20-195,0-1 0,-1 0 0,2 0 0,-1-1 0,0 0 0,11 1 0,2-1-6631</inkml:trace>
  <inkml:trace contextRef="#ctx0" brushRef="#br0" timeOffset="25162.67">9848 63 24575,'-4'-1'0,"1"1"0,0 0 0,0 1 0,-1-1 0,1 0 0,0 1 0,0 0 0,-1 0 0,1 0 0,0 0 0,0 0 0,0 1 0,0-1 0,1 1 0,-5 2 0,4-1 0,1 1 0,0-1 0,-1 0 0,1 0 0,0 1 0,1 0 0,-1-1 0,1 1 0,-1 0 0,1-1 0,0 1 0,0 7 0,-1 0 0,0 0 0,1 0 0,1-1 0,0 1 0,0 0 0,1 0 0,2 13 0,-2-21 0,-1-1 0,1 0 0,0 1 0,-1-1 0,1 0 0,0 0 0,0 0 0,1 0 0,-1 0 0,0 0 0,1 0 0,-1 0 0,1 0 0,0-1 0,-1 1 0,1 0 0,0-1 0,0 0 0,0 1 0,0-1 0,0 0 0,0 0 0,0 0 0,1 0 0,-1-1 0,0 1 0,1 0 0,-1-1 0,0 0 0,1 1 0,-1-1 0,0 0 0,1 0 0,-1-1 0,1 1 0,-1 0 0,0-1 0,1 1 0,1-2 0,1 0 0,0 1 0,0-1 0,0-1 0,0 1 0,-1-1 0,1 0 0,-1 0 0,0 0 0,0 0 0,0-1 0,0 1 0,-1-1 0,1 0 0,-1-1 0,0 1 0,0 0 0,-1-1 0,1 0 0,-1 1 0,0-1 0,2-6 0,3-13 0,-1 1 0,0-2 0,2-30 0,-3 19 0,4 11 0,-9 25 0,0 0 0,0 0 0,1-1 0,-1 1 0,0 0 0,0 0 0,0 0 0,1-1 0,-1 1 0,0 0 0,1 0 0,-1 0 0,0 0 0,1 0 0,-1 0 0,0 0 0,0-1 0,1 1 0,-1 0 0,0 0 0,1 0 0,-1 0 0,0 0 0,1 0 0,-1 0 0,0 1 0,1-1 0,-1 0 0,0 0 0,1 0 0,-1 0 0,0 0 0,0 0 0,1 1 0,-1-1 0,1 0 0,1 3 0,0-1 0,-1 1 0,1-1 0,0 1 0,-1 0 0,0-1 0,1 1 0,-1 0 0,0 0 0,0 0 0,-1 0 0,1 5 0,8 73 0,-3 1 0,-8 119 0,0-82 0,2-117 0,-1 1 0,1-1 0,0 1 0,-1 0 0,0-1 0,1 1 0,-1-1 0,0 1 0,0-1 0,-1 1 0,1-1 0,0 0 0,-1 0 0,1 0 0,-1 0 0,0 0 0,0 0 0,0 0 0,0 0 0,0-1 0,0 1 0,0-1 0,-1 1 0,1-1 0,0 0 0,-1 0 0,1 0 0,-1 0 0,-4 1 0,-8 1 0,0 0 0,0-1 0,0-1 0,-17 0 0,12-1 0,-121 2-1365,73-3-5461</inkml:trace>
</inkml:ink>
</file>

<file path=xl/ink/ink5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7:30.978"/>
    </inkml:context>
    <inkml:brush xml:id="br0">
      <inkml:brushProperty name="width" value="0.035" units="cm"/>
      <inkml:brushProperty name="height" value="0.035" units="cm"/>
      <inkml:brushProperty name="color" value="#E71224"/>
    </inkml:brush>
  </inkml:definitions>
  <inkml:trace contextRef="#ctx0" brushRef="#br0">2 1473 24575,'-1'-104'0,"3"-124"0,1 188 0,1 0 0,3 0 0,17-61 0,-1 14 0,-16 56 0,1 1 0,24-58 0,-27 78 0,1 1 0,-1-1 0,1 1 0,1 1 0,-1-1 0,2 1 0,-1 0 0,1 0 0,0 1 0,1 0 0,0 1 0,15-9 0,26-8-75,1 3 1,2 2-1,-1 2 0,71-12 0,-59 14-916,-34 7-5835</inkml:trace>
  <inkml:trace contextRef="#ctx0" brushRef="#br0" timeOffset="1214.83">117 46 24575,'164'2'0,"176"-4"0,-328 0 0,-1 0 0,0 0 0,0-1 0,0 0 0,17-8 0,-18 7 0,-1 0 0,1 1 0,0 0 0,0 0 0,0 1 0,15-1 0,-23 3 0,0 0 0,0 1 0,0-1 0,0 1 0,0 0 0,0-1 0,0 1 0,0 0 0,0 0 0,-1 0 0,1 0 0,0 0 0,-1 1 0,1-1 0,-1 0 0,1 1 0,-1-1 0,1 1 0,-1-1 0,0 1 0,0 0 0,0 0 0,0-1 0,0 1 0,0 0 0,-1 0 0,1 0 0,-1 0 0,1 0 0,-1 0 0,0 0 0,0 3 0,2 12 0,-1-1 0,0 0 0,-3 20 0,1-14 0,-1 25 0,-2 1 0,-3-1 0,-1 0 0,-3 0 0,-1-1 0,-31 72 0,-5 19-1365,43-114-5461</inkml:trace>
</inkml:ink>
</file>

<file path=xl/ink/ink6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7:42.723"/>
    </inkml:context>
    <inkml:brush xml:id="br0">
      <inkml:brushProperty name="width" value="0.035" units="cm"/>
      <inkml:brushProperty name="height" value="0.035" units="cm"/>
      <inkml:brushProperty name="color" value="#E71224"/>
    </inkml:brush>
  </inkml:definitions>
  <inkml:trace contextRef="#ctx0" brushRef="#br0">0 291 24575,'0'654'-1365,"0"-623"-5461</inkml:trace>
  <inkml:trace contextRef="#ctx0" brushRef="#br0" timeOffset="1072.03">46 222 24575,'4'0'0,"5"0"0,13 0 0,11 0 0,7 0 0,4 0 0,0 0 0,-5 0 0,-4 0 0,-5 0 0,-4 0 0,-1 0 0,-2 0 0,-1 0 0,4 0 0,1-4 0,1-1 0,-6 0-8191</inkml:trace>
  <inkml:trace contextRef="#ctx0" brushRef="#br0" timeOffset="2003.04">0 751 24575,'4'0'0,"9"0"0,6 0 0,4 0 0,6 0 0,6 0 0,4 0 0,4 0 0,-1-3 0,-9-3-8191</inkml:trace>
  <inkml:trace contextRef="#ctx0" brushRef="#br0" timeOffset="3422.28">667 682 24575,'-5'0'0,"-1"0"0,0 0 0,1 0 0,-1 0 0,0 1 0,1 0 0,-1 0 0,1 1 0,-1-1 0,1 1 0,0 0 0,0 1 0,0-1 0,0 1 0,0 0 0,0 1 0,1-1 0,-1 1 0,1-1 0,0 2 0,0-1 0,1 0 0,-1 1 0,1-1 0,0 1 0,0 0 0,0 0 0,1 0 0,0 0 0,0 1 0,-2 6 0,-3 12 0,1 1 0,1 0 0,1-1 0,1 2 0,2-1 0,0 0 0,2 0 0,5 41 0,-6-63 0,1-1 0,-1 0 0,1 0 0,-1 1 0,1-1 0,0 0 0,0 0 0,-1 0 0,2 0 0,-1 0 0,0 0 0,0 0 0,1-1 0,-1 1 0,0 0 0,1-1 0,0 1 0,-1-1 0,1 1 0,0-1 0,4 2 0,-3-2 0,0 0 0,0 0 0,1-1 0,-1 1 0,0-1 0,0 0 0,1 0 0,-1 0 0,0 0 0,1-1 0,-1 1 0,0-1 0,4-1 0,5-2 0,0-1 0,-1 0 0,0-1 0,0 0 0,-1 0 0,17-14 0,-19 12 0,-1 1 0,0-1 0,0 0 0,-1-1 0,0 0 0,0 0 0,-1 0 0,0 0 0,-1-1 0,0 0 0,-1 0 0,0 0 0,0 0 0,1-15 0,0-14 0,-1 0 0,-4-62 0,-1 50 0,2 48 0,1 0 0,-1 0 0,-1 0 0,1 0 0,0 0 0,-1 0 0,1 1 0,-1-1 0,0 0 0,0 0 0,0 0 0,0 1 0,-1-1 0,1 1 0,-1-1 0,0 1 0,1-1 0,-1 1 0,-3-2 0,2 1 0,-1 1 0,0 0 0,-1 1 0,1-1 0,0 1 0,0 0 0,-1 0 0,1 0 0,0 0 0,-1 1 0,1-1 0,-6 2 0,-3-2 24,-1 1 0,1 1 0,0 0 0,-20 5 0,28-5-123,0 1 0,0 0 0,0 0 0,0 0 0,0 0 0,1 1 0,-1-1 0,1 1 0,0 1 0,-1-1 0,1 0 0,1 1 0,-1 0 0,-3 4 0,-4 8-6727</inkml:trace>
  <inkml:trace contextRef="#ctx0" brushRef="#br0" timeOffset="4999.08">990 590 24575,'108'-1'0,"122"3"0,-219-1 0,0 0 0,0 0 0,-1 1 0,1 1 0,0 0 0,-1 0 0,0 1 0,0 0 0,0 1 0,-1 0 0,1 1 0,-1 0 0,0 0 0,-1 1 0,10 8 0,-13-8 0,0-1 0,0 0 0,0 1 0,-1 0 0,1 0 0,-2 0 0,1 1 0,-1 0 0,0-1 0,-1 1 0,0 0 0,0 0 0,-1 0 0,0 0 0,0 0 0,-1 1 0,0-1 0,0 0 0,-1 0 0,-2 12 0,1-11 0,0-1 0,-1 0 0,0 0 0,0 0 0,-1-1 0,0 1 0,0-1 0,-1 0 0,0 0 0,0 0 0,-10 10 0,12-15 0,1 1 0,-1-1 0,1 0 0,-1 0 0,0 0 0,0-1 0,0 1 0,0-1 0,0 1 0,0-1 0,0 0 0,0 0 0,0 0 0,-1-1 0,1 1 0,0-1 0,-1 0 0,1 0 0,0 0 0,-1 0 0,1 0 0,0-1 0,0 0 0,-1 1 0,1-1 0,0 0 0,0-1 0,0 1 0,0-1 0,0 1 0,0-1 0,-3-3 0,-3-3 0,0 0 0,1-1 0,0 0 0,0-1 0,1 1 0,1-2 0,0 1 0,0-1 0,1 0 0,0 0 0,1 0 0,0 0 0,1-1 0,0 0 0,0 0 0,2 0 0,0 0 0,0 0 0,1 0 0,0 0 0,1 0 0,0 0 0,1 0 0,1 0 0,0 0 0,0 1 0,1-1 0,6-11 0,9-4-151,1 0-1,1 1 0,1 1 0,1 1 1,1 1-1,2 1 0,0 2 1,33-21-1,-41 29-6674</inkml:trace>
  <inkml:trace contextRef="#ctx0" brushRef="#br0" timeOffset="6811.79">1749 866 24575,'-1'-57'0,"-1"25"0,2 0 0,1-1 0,1 1 0,2 0 0,1 1 0,11-38 0,-11 58 0,0 0 0,1 0 0,0 0 0,1 1 0,0 0 0,1 1 0,9-11 0,-14 16 0,1 0 0,0 1 0,-1-1 0,1 1 0,0-1 0,1 1 0,-1 1 0,1-1 0,-1 1 0,1-1 0,0 1 0,0 1 0,0-1 0,0 1 0,0-1 0,0 2 0,0-1 0,10 0 0,-12 2 0,0 0 0,0 0 0,0 1 0,-1-1 0,1 0 0,0 1 0,-1 0 0,0 0 0,1 0 0,-1 0 0,0 0 0,0 0 0,0 0 0,0 1 0,0-1 0,-1 1 0,1 0 0,-1-1 0,2 6 0,20 59 0,-20-57 0,19 88 0,-20-194 0,-4 43 0,0 37 0,0 0 0,2-1 0,0 1 0,0 0 0,2-1 0,0 1 0,8-30 0,-9 44 0,-1 1 0,0 0 0,1 0 0,-1 0 0,1 0 0,-1 0 0,1-1 0,-1 1 0,1 0 0,0 0 0,0 0 0,-1 1 0,1-1 0,0 0 0,0 0 0,0 0 0,0 1 0,0-1 0,0 0 0,0 1 0,0-1 0,0 1 0,1-1 0,-1 1 0,0-1 0,0 1 0,0 0 0,1 0 0,-1 0 0,0-1 0,0 1 0,0 0 0,1 1 0,-1-1 0,0 0 0,0 0 0,0 0 0,1 1 0,-1-1 0,0 1 0,0-1 0,0 1 0,0-1 0,0 1 0,0 0 0,0-1 0,0 1 0,0 0 0,0 0 0,0 0 0,0 0 0,-1 0 0,1 0 0,1 1 0,5 6 0,1 1 0,-2 0 0,1 0 0,7 15 0,3 14 0,-1 1 0,-2 1 0,-2 0 0,10 61 0,6 15 0,-14-38 54,-12-62-338,0 0 0,1 0 1,1 0-1,11 31 0,-7-33-6542</inkml:trace>
  <inkml:trace contextRef="#ctx0" brushRef="#br0" timeOffset="8278.62">2439 383 24575,'-2'113'0,"5"118"0,-3-228 0,0-1 0,0 0 0,0 0 0,1 1 0,-1-1 0,1 0 0,-1 0 0,1 0 0,0 0 0,0 0 0,0 0 0,0 0 0,0 0 0,1 0 0,-1 0 0,1 0 0,-1-1 0,1 1 0,-1-1 0,1 1 0,0-1 0,3 2 0,-2-1 0,1-1 0,-1 0 0,0 0 0,1-1 0,-1 1 0,1-1 0,-1 1 0,1-1 0,-1 0 0,1 0 0,-1-1 0,1 1 0,4-2 0,-1 0 0,0 0 0,0 0 0,0-1 0,0 0 0,0 0 0,0-1 0,-1 1 0,0-2 0,0 1 0,0-1 0,0 1 0,-1-2 0,8-7 0,-2-4 0,-1 0 0,0-1 0,-1-1 0,-1 0 0,-1 0 0,-1 0 0,0-1 0,-2 0 0,4-30 0,11-112 0,-18 355 0,0-168 0,0-9 0,0-1 0,1 0 0,8 26 0,-9-36 0,1 0 0,0 0 0,0 0 0,0 0 0,1 0 0,-1 0 0,1 0 0,1-1 0,-1 1 0,1-1 0,-1 0 0,1 0 0,7 5 0,-10-8-47,0-1 0,0 1 0,0 0 0,0-1 0,0 1 0,0 0 0,0-1 0,0 0 0,1 1-1,-1-1 1,0 0 0,0 1 0,0-1 0,1 0 0,-1 0 0,0 0 0,0 0 0,0 0 0,1 0 0,-1 0 0,0-1 0,0 1-1,0 0 1,1-1 0,-1 1 0,0-1 0,0 1 0,2-2 0,9-10-6779</inkml:trace>
  <inkml:trace contextRef="#ctx0" brushRef="#br0" timeOffset="9634.18">2876 728 24575,'7'8'0,"0"-1"0,1 0 0,0 0 0,0-1 0,18 10 0,-21-14 0,1 0 0,-1 0 0,0-1 0,1 0 0,-1 0 0,1 0 0,-1-1 0,1 0 0,0 0 0,-1 0 0,1-1 0,-1 0 0,7-1 0,39-9 0,58-10 0,208-70 0,-306 87 0,-1-1 0,1 0 0,-1 0 0,0-1 0,0 0 0,-1-1 0,0 0 0,15-14 0,-19 15 0,-1 0 0,0 0 0,0-1 0,0 1 0,-1-1 0,0 0 0,0 0 0,-1 0 0,0 0 0,0 0 0,-1 0 0,1-1 0,-2 1 0,1-10 0,-11-227 0,7 219 0,-3 1 0,0 0 0,-1 0 0,-1 1 0,-1-1 0,-1 2 0,-22-36 0,32 57 0,0 0 0,-1 0 0,1 1 0,-1-1 0,1 0 0,-1 0 0,0 0 0,1 0 0,-1 1 0,0-1 0,1 0 0,-1 0 0,0 1 0,0-1 0,0 1 0,0-1 0,0 1 0,0-1 0,0 1 0,1-1 0,-3 1 0,2 0 0,0 0 0,1 1 0,-1-1 0,1 1 0,-1-1 0,0 1 0,1-1 0,-1 1 0,1-1 0,-1 1 0,1 0 0,-1-1 0,1 1 0,0-1 0,-1 1 0,1 0 0,0 0 0,0-1 0,-1 1 0,1 0 0,0 0 0,0 0 0,-6 57 0,6-51 0,1 572 0,-1-553 0,1 14 0,7 40 0,-7-71 0,0-1 0,1 1 0,0-1 0,1 1 0,0-1 0,0 0 0,1 0 0,0 0 0,0-1 0,10 14 0,-10-18 8,-1 0-1,0 0 1,1 0-1,-1 0 1,1-1-1,0 0 1,0 0-1,0 0 1,0 0-1,0-1 1,1 0-1,-1 1 1,0-1-1,1-1 1,7 1-1,-3 0-219,1-2 0,-1 1 0,1-1-1,-1-1 1,0 1 0,12-5 0,11-5-6614</inkml:trace>
  <inkml:trace contextRef="#ctx0" brushRef="#br0" timeOffset="10674.3">4303 268 24575,'-23'1'0,"0"1"0,0 1 0,1 1 0,0 1 0,-35 13 0,6 1 0,-56 31 0,98-45 0,1 0 0,0 1 0,0 0 0,0 0 0,1 1 0,-1 0 0,2 0 0,-1 1 0,1 0 0,0 0 0,1 0 0,0 1 0,0 0 0,1 0 0,0 0 0,0 0 0,-2 11 0,0 8 0,0 0 0,2 0 0,1 0 0,2 52 0,1-71 0,0 1 0,1 0 0,0-1 0,1 1 0,0-1 0,0 1 0,1-1 0,0 0 0,1 0 0,0 0 0,0 0 0,1-1 0,6 9 0,-6-11 0,1 0 0,0 0 0,0 0 0,1-1 0,-1 0 0,1-1 0,0 1 0,0-1 0,1-1 0,-1 1 0,1-1 0,0 0 0,0-1 0,0 0 0,11 1 0,-3 0 0,0-1 0,1-1 0,-1 0 0,1-1 0,-1-1 0,1 0 0,-1-2 0,0 0 0,0 0 0,0-2 0,0 0 0,-1 0 0,24-13 0,-28 11 0,1-1 0,-1 1 0,-1-2 0,0 0 0,0 0 0,0-1 0,-1 0 0,-1 0 0,0-1 0,0 0 0,-1-1 0,0 0 0,-1 0 0,-1 0 0,0-1 0,6-24 0,-1-19 0,-2-1 0,-3 0 0,-2 0 0,-3 0 0,-11-87 0,11 141 0,0 1 0,0-1 0,-1 1 0,1-1 0,-1 1 0,1-1 0,-1 1 0,0 0 0,0-1 0,0 1 0,-1 0 0,-1-4 0,2 6 0,1-1 0,-1 1 0,0-1 0,1 1 0,-1-1 0,0 1 0,1-1 0,-1 1 0,0 0 0,0-1 0,1 1 0,-1 0 0,0 0 0,0 0 0,0-1 0,1 1 0,-1 0 0,0 0 0,0 0 0,0 0 0,1 0 0,-1 1 0,0-1 0,0 0 0,-1 1 0,-1 0 0,0 1 0,0 0 0,1 0 0,-1 0 0,1 0 0,-1 0 0,1 1 0,-1-1 0,1 1 0,0-1 0,0 1 0,1 0 0,-1 0 0,1 0 0,-1 0 0,-1 6 0,-4 15 0,1 1 0,0 0 0,3 0 0,0 0 0,0 44 0,4-49 0,0 0 0,1 0 0,1 0 0,1 0 0,1-1 0,0 0 0,16 35 0,-18-47-42,1 0-1,0-1 0,1 0 1,0 0-1,0 0 0,0 0 1,1-1-1,0 0 0,0 0 1,0-1-1,0 1 0,1-1 1,0-1-1,0 1 0,0-1 1,0 0-1,0-1 0,1 0 1,-1 0-1,1 0 0,-1-1 1,1 0-1,0-1 0,-1 0 1,1 0-1,0 0 0,-1-1 1,1 0-1,0-1 0,-1 0 1,13-4-1,8-5-6783</inkml:trace>
  <inkml:trace contextRef="#ctx0" brushRef="#br0" timeOffset="11950.88">5016 199 24575</inkml:trace>
  <inkml:trace contextRef="#ctx0" brushRef="#br0" timeOffset="12660.32">4970 682 24575,'0'4'0</inkml:trace>
</inkml:ink>
</file>

<file path=xl/ink/ink6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9-20T10:27:59.474"/>
    </inkml:context>
    <inkml:brush xml:id="br0">
      <inkml:brushProperty name="width" value="0.035" units="cm"/>
      <inkml:brushProperty name="height" value="0.035" units="cm"/>
      <inkml:brushProperty name="color" value="#E71224"/>
    </inkml:brush>
  </inkml:definitions>
  <inkml:trace contextRef="#ctx0" brushRef="#br0">1 0 24575,'0'0'-8191</inkml:trace>
</inkml:ink>
</file>

<file path=xl/persons/person.xml><?xml version="1.0" encoding="utf-8"?>
<personList xmlns="http://schemas.microsoft.com/office/spreadsheetml/2018/threadedcomments" xmlns:x="http://schemas.openxmlformats.org/spreadsheetml/2006/main"/>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akajagouda kalasanagoudra" refreshedDate="46287.686263773146" backgroundQuery="1" createdVersion="8" refreshedVersion="8" minRefreshableVersion="3" recordCount="0" supportSubquery="1" supportAdvancedDrill="1" xr:uid="{8E9FA748-5675-465F-9A00-DA3402999501}">
  <cacheSource type="external" connectionId="1"/>
  <cacheFields count="3">
    <cacheField name="[customer].[City].[City]" caption="City" numFmtId="0" hierarchy="15" level="1">
      <sharedItems count="3">
        <s v="Cincinnati"/>
        <s v="Cleveland"/>
        <s v="Columbus"/>
      </sharedItems>
    </cacheField>
    <cacheField name="[customer].[Gedner].[Gedner]" caption="Gedner" numFmtId="0" hierarchy="13" level="1">
      <sharedItems count="2">
        <s v="Female"/>
        <s v="Male"/>
      </sharedItems>
    </cacheField>
    <cacheField name="[Measures].[Call Counts]" caption="Call Counts" numFmtId="0" hierarchy="17"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2" memberValueDatatype="130" unbalanced="0">
      <fieldsUsage count="2">
        <fieldUsage x="-1"/>
        <fieldUsage x="1"/>
      </fieldsUsage>
    </cacheHierarchy>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2"/>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akajagouda kalasanagoudra" refreshedDate="46287.686265162039" backgroundQuery="1" createdVersion="8" refreshedVersion="8" minRefreshableVersion="3" recordCount="0" supportSubquery="1" supportAdvancedDrill="1" xr:uid="{B6CB8ADE-6A6A-417B-86F2-324D8BCE95A1}">
  <cacheSource type="external" connectionId="1"/>
  <cacheFields count="5">
    <cacheField name="[Measures].[Total Amount]" caption="Total Amount" numFmtId="0" hierarchy="18" level="32767"/>
    <cacheField name="[Measures].[Call Counts]" caption="Call Counts" numFmtId="0" hierarchy="17"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oneField="1">
      <fieldsUsage count="1">
        <fieldUsage x="0"/>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2"/>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akajagouda kalasanagoudra" refreshedDate="46287.686266435187" backgroundQuery="1" createdVersion="8" refreshedVersion="8" minRefreshableVersion="3" recordCount="0" supportSubquery="1" supportAdvancedDrill="1" xr:uid="{C21F3510-06CB-454B-98BF-8226D1C9489A}">
  <cacheSource type="external" connectionId="1"/>
  <cacheFields count="3">
    <cacheField name="[calls].[Representative].[Representative]" caption="Representative" numFmtId="0" hierarchy="3" level="1">
      <sharedItems count="5">
        <s v="R01"/>
        <s v="R02"/>
        <s v="R03"/>
        <s v="R04"/>
        <s v="R05"/>
      </sharedItems>
    </cacheField>
    <cacheField name="[Measures].[Call Counts]" caption="Call Counts" numFmtId="0" hierarchy="17" level="32767"/>
    <cacheField name="[Measures].[Total Amount]" caption="Total Amount" numFmtId="0" hierarchy="18"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2"/>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lakajagouda kalasanagoudra" refreshedDate="46287.686266898148" createdVersion="8" refreshedVersion="8" minRefreshableVersion="3" recordCount="1000" xr:uid="{AD895811-197F-41B4-A5BD-72702EAFCD3A}">
  <cacheSource type="worksheet">
    <worksheetSource name="Calls"/>
  </cacheSource>
  <cacheFields count="13">
    <cacheField name="Call number" numFmtId="0">
      <sharedItems/>
    </cacheField>
    <cacheField name="Customer ID" numFmtId="0">
      <sharedItems count="15">
        <s v="C0003"/>
        <s v="C0004"/>
        <s v="C0005"/>
        <s v="C0014"/>
        <s v="C0011"/>
        <s v="C0007"/>
        <s v="C0010"/>
        <s v="C0013"/>
        <s v="C0002"/>
        <s v="C0009"/>
        <s v="C0006"/>
        <s v="C0015"/>
        <s v="C0012"/>
        <s v="C0001"/>
        <s v="C0008"/>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fieldGroup par="12"/>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acheField>
    <cacheField name="FINANCIAL YEAR"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 2 Hours"/>
        <s v="More than 2  Hours"/>
        <s v="30 - 60 Mins"/>
        <s v="10 - 30 Mins"/>
        <s v="Under 10 Mins"/>
      </sharedItems>
    </cacheField>
    <cacheField name="Rating Rounded" numFmtId="0">
      <sharedItems containsSemiMixedTypes="0" containsString="0" containsNumber="1" containsInteger="1" minValue="0" maxValue="5" count="6">
        <n v="5"/>
        <n v="3"/>
        <n v="4"/>
        <n v="2"/>
        <n v="0"/>
        <n v="1"/>
      </sharedItems>
    </cacheField>
    <cacheField name="Days (Date of Call)" numFmtId="0" databaseField="0">
      <fieldGroup base="4">
        <rangePr groupBy="days" startDate="2023-01-01T00:00:00" endDate="2024-01-01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4"/>
        </groupItems>
      </fieldGroup>
    </cacheField>
    <cacheField name="Months (Date of Call)" numFmtId="0" databaseField="0">
      <fieldGroup base="4">
        <rangePr groupBy="months" startDate="2023-01-01T00:00:00" endDate="2024-01-01T00:00:00"/>
        <groupItems count="14">
          <s v="&lt;01-01-2023"/>
          <s v="Jan"/>
          <s v="Feb"/>
          <s v="Mar"/>
          <s v="Apr"/>
          <s v="May"/>
          <s v="Jun"/>
          <s v="Jul"/>
          <s v="Aug"/>
          <s v="Sep"/>
          <s v="Oct"/>
          <s v="Nov"/>
          <s v="Dec"/>
          <s v="&gt;01-01-2024"/>
        </groupItems>
      </fieldGroup>
    </cacheField>
  </cacheFields>
  <extLst>
    <ext xmlns:x14="http://schemas.microsoft.com/office/spreadsheetml/2009/9/main" uri="{725AE2AE-9491-48be-B2B4-4EB974FC3084}">
      <x14:pivotCacheDefinition pivotCacheId="340443555"/>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akajagouda kalasanagoudra" refreshedDate="46287.706449074074" backgroundQuery="1" createdVersion="8" refreshedVersion="8" minRefreshableVersion="3" recordCount="0" supportSubquery="1" supportAdvancedDrill="1" xr:uid="{4738496A-0D0F-41EF-9BB1-78ADB3B24EAB}">
  <cacheSource type="external" connectionId="1"/>
  <cacheFields count="4">
    <cacheField name="[customer].[City].[City]" caption="City" numFmtId="0" hierarchy="15" level="1">
      <sharedItems count="3">
        <s v="Cincinnati"/>
        <s v="Cleveland"/>
        <s v="Columbus"/>
      </sharedItems>
    </cacheField>
    <cacheField name="[customer].[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 name="[calls].[Representative].[Representative]" caption="Representative" numFmtId="0" hierarchy="3" level="1">
      <sharedItems count="5">
        <s v="R01"/>
        <s v="R02"/>
        <s v="R03"/>
        <s v="R04"/>
        <s v="R05"/>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2" memberValueDatatype="130" unbalanced="0">
      <fieldsUsage count="2">
        <fieldUsage x="-1"/>
        <fieldUsage x="1"/>
      </fieldsUsage>
    </cacheHierarchy>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2"/>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akajagouda kalasanagoudra" refreshedDate="46287.72946678241" backgroundQuery="1" createdVersion="8" refreshedVersion="8" minRefreshableVersion="3" recordCount="0" supportSubquery="1" supportAdvancedDrill="1" xr:uid="{9D4B0351-2C96-46C8-A839-7FB9CDF74B60}">
  <cacheSource type="external" connectionId="1"/>
  <cacheFields count="6">
    <cacheField name="[Measures].[Total Amount]" caption="Total Amount" numFmtId="0" hierarchy="18" level="32767"/>
    <cacheField name="[Measures].[Call Counts]" caption="Call Counts" numFmtId="0" hierarchy="17"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oneField="1">
      <fieldsUsage count="1">
        <fieldUsage x="0"/>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2"/>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akajagouda kalasanagoudra" refreshedDate="46287.72946736111" backgroundQuery="1" createdVersion="8" refreshedVersion="8" minRefreshableVersion="3" recordCount="0" supportSubquery="1" supportAdvancedDrill="1" xr:uid="{59B44724-E26E-42B5-BBFE-1743D055EA01}">
  <cacheSource type="external" connectionId="1"/>
  <cacheFields count="5">
    <cacheField name="[calls].[Date of Call].[Date of Call]" caption="Date of Call" numFmtId="0" hierarchy="4" level="1">
      <sharedItems containsSemiMixedTypes="0" containsNonDate="0" containsDate="1" containsString="0" minDate="2023-01-01T00:00:00" maxDate="2024-01-01T00:00:00" count="330">
        <d v="2023-01-01T00:00:00"/>
        <d v="2023-01-02T00:00:00"/>
        <d v="2023-01-03T00:00:00"/>
        <d v="2023-01-04T00:00:00"/>
        <d v="2023-01-05T00:00:00"/>
        <d v="2023-01-06T00:00:00"/>
        <d v="2023-01-07T00:00:00"/>
        <d v="2023-01-08T00:00:00"/>
        <d v="2023-01-09T00:00:00"/>
        <d v="2023-01-10T00:00:00"/>
        <d v="2023-01-12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30T00:00:00"/>
        <d v="2023-01-31T00:00:00"/>
        <d v="2023-02-01T00:00:00"/>
        <d v="2023-02-02T00:00:00"/>
        <d v="2023-02-04T00:00:00"/>
        <d v="2023-02-05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6T00:00:00"/>
        <d v="2023-05-07T00:00:00"/>
        <d v="2023-05-08T00:00:00"/>
        <d v="2023-05-09T00:00:00"/>
        <d v="2023-05-10T00:00:00"/>
        <d v="2023-05-11T00:00:00"/>
        <d v="2023-05-12T00:00:00"/>
        <d v="2023-05-14T00:00:00"/>
        <d v="2023-05-15T00:00:00"/>
        <d v="2023-05-16T00:00:00"/>
        <d v="2023-05-17T00:00:00"/>
        <d v="2023-05-18T00:00:00"/>
        <d v="2023-05-19T00:00:00"/>
        <d v="2023-05-21T00:00:00"/>
        <d v="2023-05-22T00:00:00"/>
        <d v="2023-05-23T00:00:00"/>
        <d v="2023-05-24T00:00:00"/>
        <d v="2023-05-25T00:00:00"/>
        <d v="2023-05-26T00:00:00"/>
        <d v="2023-05-27T00:00:00"/>
        <d v="2023-05-28T00:00:00"/>
        <d v="2023-05-29T00:00:00"/>
        <d v="2023-05-30T00:00:00"/>
        <d v="2023-05-31T00:00:00"/>
        <d v="2023-06-01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5T00:00:00"/>
        <d v="2023-07-26T00:00:00"/>
        <d v="2023-07-27T00:00:00"/>
        <d v="2023-07-28T00:00:00"/>
        <d v="2023-07-29T00:00:00"/>
        <d v="2023-07-31T00:00:00"/>
        <d v="2023-08-02T00:00:00"/>
        <d v="2023-08-03T00:00:00"/>
        <d v="2023-08-04T00:00:00"/>
        <d v="2023-08-05T00:00:00"/>
        <d v="2023-08-06T00:00:00"/>
        <d v="2023-08-07T00:00:00"/>
        <d v="2023-08-08T00:00:00"/>
        <d v="2023-08-10T00:00:00"/>
        <d v="2023-08-12T00:00:00"/>
        <d v="2023-08-13T00:00:00"/>
        <d v="2023-08-16T00:00:00"/>
        <d v="2023-08-17T00:00:00"/>
        <d v="2023-08-18T00:00:00"/>
        <d v="2023-08-19T00:00:00"/>
        <d v="2023-08-20T00:00:00"/>
        <d v="2023-08-21T00:00:00"/>
        <d v="2023-08-23T00:00:00"/>
        <d v="2023-08-24T00:00:00"/>
        <d v="2023-08-25T00:00:00"/>
        <d v="2023-08-26T00:00:00"/>
        <d v="2023-08-27T00:00:00"/>
        <d v="2023-08-29T00:00:00"/>
        <d v="2023-08-30T00:00:00"/>
        <d v="2023-08-31T00:00:00"/>
        <d v="2023-09-01T00:00:00"/>
        <d v="2023-09-03T00:00:00"/>
        <d v="2023-09-04T00:00:00"/>
        <d v="2023-09-05T00:00:00"/>
        <d v="2023-09-06T00:00:00"/>
        <d v="2023-09-07T00:00:00"/>
        <d v="2023-09-08T00:00:00"/>
        <d v="2023-09-09T00:00:00"/>
        <d v="2023-09-10T00:00:00"/>
        <d v="2023-09-12T00:00:00"/>
        <d v="2023-09-13T00:00:00"/>
        <d v="2023-09-14T00:00:00"/>
        <d v="2023-09-15T00:00:00"/>
        <d v="2023-09-16T00:00:00"/>
        <d v="2023-09-17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3T00:00:00"/>
        <d v="2023-11-24T00:00:00"/>
        <d v="2023-11-26T00:00:00"/>
        <d v="2023-11-27T00:00:00"/>
        <d v="2023-11-28T00:00:00"/>
        <d v="2023-11-29T00:00:00"/>
        <d v="2023-11-30T00:00:00"/>
        <d v="2023-12-01T00:00:00"/>
        <d v="2023-12-02T00:00:00"/>
        <d v="2023-12-03T00:00:00"/>
        <d v="2023-12-04T00:00:00"/>
        <d v="2023-12-05T00:00:00"/>
        <d v="2023-12-07T00:00:00"/>
        <d v="2023-12-08T00:00:00"/>
        <d v="2023-12-09T00:00:00"/>
        <d v="2023-12-13T00:00:00"/>
        <d v="2023-12-14T00:00:00"/>
        <d v="2023-12-15T00:00:00"/>
        <d v="2023-12-16T00:00:00"/>
        <d v="2023-12-17T00:00:00"/>
        <d v="2023-12-19T00:00:00"/>
        <d v="2023-12-20T00:00:00"/>
        <d v="2023-12-21T00:00:00"/>
        <d v="2023-12-24T00:00:00"/>
        <d v="2023-12-25T00:00:00"/>
        <d v="2023-12-26T00:00:00"/>
        <d v="2023-12-27T00:00:00"/>
        <d v="2023-12-28T00:00:00"/>
        <d v="2023-12-29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s]" caption="Call Counts" numFmtId="0" hierarchy="17" level="32767"/>
    <cacheField name="[calls].[Representative].[Representative]" caption="Representative" numFmtId="0" hierarchy="3" level="1">
      <sharedItems containsSemiMixedTypes="0" containsNonDate="0" containsString="0"/>
    </cacheField>
    <cacheField name="Unsupported0" numFmtId="0" hierarchy="30" level="32767">
      <extLst>
        <ext xmlns:x14="http://schemas.microsoft.com/office/spreadsheetml/2009/9/main" uri="{63CAB8AC-B538-458d-9737-405883B0398D}">
          <x14:cacheField ignore="1"/>
        </ext>
      </extLst>
    </cacheField>
  </cacheFields>
  <cacheHierarchies count="31">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2"/>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akajagouda kalasanagoudra" refreshedDate="46287.729467939818" backgroundQuery="1" createdVersion="8" refreshedVersion="8" minRefreshableVersion="3" recordCount="0" supportSubquery="1" supportAdvancedDrill="1" xr:uid="{2B2E84FE-B142-4727-AB27-B1E4D97C7051}">
  <cacheSource type="external" connectionId="1"/>
  <cacheFields count="3">
    <cacheField name="[calls].[Representative].[Representative]" caption="Representative" numFmtId="0" hierarchy="3" level="1">
      <sharedItems containsSemiMixedTypes="0" containsNonDate="0" containsString="0"/>
    </cacheField>
    <cacheField name="[calls].[DAY OF WEEK].[DAY OF WEEK]" caption="DAY OF WEEK" numFmtId="0" hierarchy="8" level="1">
      <sharedItems count="7">
        <s v="Friday"/>
        <s v="Monday"/>
        <s v="Saturday"/>
        <s v="Sunday"/>
        <s v="Thursday"/>
        <s v="Tuesday"/>
        <s v="Wednesday"/>
      </sharedItems>
    </cacheField>
    <cacheField name="[Measures].[Call Counts]" caption="Call Counts" numFmtId="0" hierarchy="17" level="32767"/>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1"/>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2"/>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akajagouda kalasanagoudra" refreshedDate="46287.729468518519" backgroundQuery="1" createdVersion="8" refreshedVersion="8" minRefreshableVersion="3" recordCount="0" supportSubquery="1" supportAdvancedDrill="1" xr:uid="{EB1ADCCD-C592-4D0A-A9FD-0DEA7FBAED2C}">
  <cacheSource type="external" connectionId="1"/>
  <cacheFields count="1">
    <cacheField name="[calls].[Representative].[Representative]" caption="Representative" numFmtId="0" hierarchy="3" level="1">
      <sharedItems count="1">
        <s v="R02"/>
      </sharedItems>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2"/>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akajagouda kalasanagoudra" refreshedDate="46287.729468981481" backgroundQuery="1" createdVersion="8" refreshedVersion="8" minRefreshableVersion="3" recordCount="0" supportSubquery="1" supportAdvancedDrill="1" xr:uid="{9DA1B2F6-1AB9-4601-8F9D-5BDA090AB3D3}">
  <cacheSource type="external" connectionId="1"/>
  <cacheFields count="3">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Measures].[Call Counts]" caption="Call Counts" numFmtId="0" hierarchy="17" level="32767"/>
    <cacheField name="[calls].[Representative].[Representative]" caption="Representative" numFmtId="0" hierarchy="3" level="1">
      <sharedItems containsSemiMixedTypes="0" containsNonDate="0" containsString="0"/>
    </cacheField>
  </cacheFields>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2"/>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lakajagouda kalasanagoudra" refreshedDate="46287.686255671295" backgroundQuery="1" createdVersion="3" refreshedVersion="8" minRefreshableVersion="3" recordCount="0" supportSubquery="1" supportAdvancedDrill="1" xr:uid="{E8A8B131-5E43-443D-82A3-CE8D62F79776}">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INANCIAL YEAR]" caption="FINANCIAL YEAR" attribute="1" defaultMemberUniqueName="[calls].[FINANCIAL YEAR].[All]" allUniqueName="[calls].[FINANCIAL YEAR].[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s]" caption="Call Counts"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 caption="__XL_Count customer" measure="1" displayFolder="" measureGroup="customer" count="0" hidden="1"/>
    <cacheHierarchy uniqueName="[Measures].[__No measures defined]" caption="__No measures defined" measure="1" displayFolder="" count="0" hidden="1"/>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y uniqueName="[Measures].[Sum of Age]" caption="Sum of Age" measure="1" displayFolder="" measureGroup="customer" count="0" hidden="1">
      <extLst>
        <ext xmlns:x15="http://schemas.microsoft.com/office/spreadsheetml/2010/11/main" uri="{B97F6D7D-B522-45F9-BDA1-12C45D357490}">
          <x15:cacheHierarchy aggregatedColumn="14"/>
        </ext>
      </extLst>
    </cacheHierarchy>
    <cacheHierarchy uniqueName="[Measures].[Count of City]" caption="Count of City" measure="1" displayFolder="" measureGroup="customer" count="0" hidden="1">
      <extLst>
        <ext xmlns:x15="http://schemas.microsoft.com/office/spreadsheetml/2010/11/main" uri="{B97F6D7D-B522-45F9-BDA1-12C45D357490}">
          <x15:cacheHierarchy aggregatedColumn="15"/>
        </ext>
      </extLst>
    </cacheHierarchy>
    <cacheHierarchy uniqueName="[Measures].[Count of Customer ID]" caption="Count of Customer ID" measure="1" displayFolder="" measureGroup="customer" count="0" hidden="1">
      <extLst>
        <ext xmlns:x15="http://schemas.microsoft.com/office/spreadsheetml/2010/11/main" uri="{B97F6D7D-B522-45F9-BDA1-12C45D357490}">
          <x15:cacheHierarchy aggregatedColumn="12"/>
        </ext>
      </extLst>
    </cacheHierarchy>
    <cacheHierarchy uniqueName="[Measures].[Count of Gedner]" caption="Count of Gedner" measure="1" displayFolder="" measureGroup="customer"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511236016"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Call_7271"/>
    <x v="0"/>
    <n v="116"/>
    <x v="0"/>
    <x v="0"/>
    <n v="128"/>
    <n v="4.9000000000000004"/>
    <x v="0"/>
    <x v="0"/>
    <x v="0"/>
    <x v="0"/>
  </r>
  <r>
    <s v="Call_7272"/>
    <x v="1"/>
    <n v="119"/>
    <x v="0"/>
    <x v="0"/>
    <n v="135"/>
    <n v="2.9"/>
    <x v="0"/>
    <x v="0"/>
    <x v="0"/>
    <x v="1"/>
  </r>
  <r>
    <s v="Call_7273"/>
    <x v="2"/>
    <n v="68"/>
    <x v="1"/>
    <x v="0"/>
    <n v="66"/>
    <n v="4.7"/>
    <x v="0"/>
    <x v="0"/>
    <x v="0"/>
    <x v="0"/>
  </r>
  <r>
    <s v="Call_7274"/>
    <x v="3"/>
    <n v="119"/>
    <x v="1"/>
    <x v="0"/>
    <n v="22"/>
    <n v="2.9"/>
    <x v="0"/>
    <x v="0"/>
    <x v="0"/>
    <x v="1"/>
  </r>
  <r>
    <s v="Call_7275"/>
    <x v="4"/>
    <n v="128"/>
    <x v="2"/>
    <x v="1"/>
    <n v="31"/>
    <n v="2.8"/>
    <x v="0"/>
    <x v="1"/>
    <x v="1"/>
    <x v="1"/>
  </r>
  <r>
    <s v="Call_7276"/>
    <x v="4"/>
    <n v="49"/>
    <x v="1"/>
    <x v="2"/>
    <n v="135"/>
    <n v="4.8"/>
    <x v="0"/>
    <x v="2"/>
    <x v="2"/>
    <x v="0"/>
  </r>
  <r>
    <s v="Call_7277"/>
    <x v="5"/>
    <n v="84"/>
    <x v="0"/>
    <x v="2"/>
    <n v="60"/>
    <n v="4.7"/>
    <x v="0"/>
    <x v="2"/>
    <x v="0"/>
    <x v="0"/>
  </r>
  <r>
    <s v="Call_7278"/>
    <x v="0"/>
    <n v="103"/>
    <x v="3"/>
    <x v="2"/>
    <n v="148"/>
    <n v="4.4000000000000004"/>
    <x v="0"/>
    <x v="2"/>
    <x v="0"/>
    <x v="2"/>
  </r>
  <r>
    <s v="Call_7279"/>
    <x v="2"/>
    <n v="31"/>
    <x v="1"/>
    <x v="2"/>
    <n v="135"/>
    <n v="3.6"/>
    <x v="0"/>
    <x v="2"/>
    <x v="2"/>
    <x v="2"/>
  </r>
  <r>
    <s v="Call_7280"/>
    <x v="6"/>
    <n v="44"/>
    <x v="4"/>
    <x v="2"/>
    <n v="105"/>
    <n v="2.9"/>
    <x v="0"/>
    <x v="2"/>
    <x v="2"/>
    <x v="1"/>
  </r>
  <r>
    <s v="Call_7281"/>
    <x v="4"/>
    <n v="102"/>
    <x v="1"/>
    <x v="2"/>
    <n v="69"/>
    <n v="4.9000000000000004"/>
    <x v="0"/>
    <x v="2"/>
    <x v="0"/>
    <x v="0"/>
  </r>
  <r>
    <s v="Call_7282"/>
    <x v="7"/>
    <n v="135"/>
    <x v="0"/>
    <x v="2"/>
    <n v="46"/>
    <n v="3.4"/>
    <x v="0"/>
    <x v="2"/>
    <x v="1"/>
    <x v="1"/>
  </r>
  <r>
    <s v="Call_7283"/>
    <x v="8"/>
    <n v="98"/>
    <x v="1"/>
    <x v="3"/>
    <n v="108"/>
    <n v="3.5"/>
    <x v="0"/>
    <x v="3"/>
    <x v="0"/>
    <x v="2"/>
  </r>
  <r>
    <s v="Call_7284"/>
    <x v="6"/>
    <n v="139"/>
    <x v="1"/>
    <x v="3"/>
    <n v="96"/>
    <n v="4"/>
    <x v="0"/>
    <x v="3"/>
    <x v="1"/>
    <x v="2"/>
  </r>
  <r>
    <s v="Call_7285"/>
    <x v="7"/>
    <n v="48"/>
    <x v="2"/>
    <x v="3"/>
    <n v="68"/>
    <n v="4.9000000000000004"/>
    <x v="0"/>
    <x v="3"/>
    <x v="2"/>
    <x v="0"/>
  </r>
  <r>
    <s v="Call_7286"/>
    <x v="6"/>
    <n v="176"/>
    <x v="0"/>
    <x v="4"/>
    <n v="24"/>
    <n v="4.8"/>
    <x v="0"/>
    <x v="4"/>
    <x v="1"/>
    <x v="0"/>
  </r>
  <r>
    <s v="Call_7287"/>
    <x v="6"/>
    <n v="99"/>
    <x v="2"/>
    <x v="4"/>
    <n v="195"/>
    <n v="3.9"/>
    <x v="0"/>
    <x v="4"/>
    <x v="0"/>
    <x v="2"/>
  </r>
  <r>
    <s v="Call_7288"/>
    <x v="9"/>
    <n v="28"/>
    <x v="4"/>
    <x v="4"/>
    <n v="28"/>
    <n v="3.8"/>
    <x v="0"/>
    <x v="4"/>
    <x v="3"/>
    <x v="2"/>
  </r>
  <r>
    <s v="Call_7289"/>
    <x v="5"/>
    <n v="54"/>
    <x v="1"/>
    <x v="4"/>
    <n v="170"/>
    <n v="4.3"/>
    <x v="0"/>
    <x v="4"/>
    <x v="2"/>
    <x v="2"/>
  </r>
  <r>
    <s v="Call_7290"/>
    <x v="10"/>
    <n v="48"/>
    <x v="0"/>
    <x v="5"/>
    <n v="30"/>
    <n v="4.4000000000000004"/>
    <x v="0"/>
    <x v="5"/>
    <x v="2"/>
    <x v="2"/>
  </r>
  <r>
    <s v="Call_7291"/>
    <x v="1"/>
    <n v="128"/>
    <x v="0"/>
    <x v="5"/>
    <n v="72"/>
    <n v="5"/>
    <x v="0"/>
    <x v="5"/>
    <x v="1"/>
    <x v="0"/>
  </r>
  <r>
    <s v="Call_7292"/>
    <x v="1"/>
    <n v="38"/>
    <x v="3"/>
    <x v="6"/>
    <n v="92"/>
    <n v="4.9000000000000004"/>
    <x v="0"/>
    <x v="6"/>
    <x v="2"/>
    <x v="0"/>
  </r>
  <r>
    <s v="Call_7293"/>
    <x v="0"/>
    <n v="67"/>
    <x v="3"/>
    <x v="7"/>
    <n v="165"/>
    <n v="4.5"/>
    <x v="0"/>
    <x v="0"/>
    <x v="0"/>
    <x v="0"/>
  </r>
  <r>
    <s v="Call_7294"/>
    <x v="11"/>
    <n v="58"/>
    <x v="1"/>
    <x v="7"/>
    <n v="140"/>
    <n v="2.1"/>
    <x v="0"/>
    <x v="0"/>
    <x v="2"/>
    <x v="3"/>
  </r>
  <r>
    <s v="Call_7295"/>
    <x v="6"/>
    <n v="54"/>
    <x v="2"/>
    <x v="7"/>
    <n v="111"/>
    <n v="3.3"/>
    <x v="0"/>
    <x v="0"/>
    <x v="2"/>
    <x v="1"/>
  </r>
  <r>
    <s v="Call_7296"/>
    <x v="12"/>
    <n v="28"/>
    <x v="0"/>
    <x v="8"/>
    <n v="63"/>
    <n v="4.0999999999999996"/>
    <x v="0"/>
    <x v="1"/>
    <x v="3"/>
    <x v="2"/>
  </r>
  <r>
    <s v="Call_7297"/>
    <x v="8"/>
    <n v="73"/>
    <x v="0"/>
    <x v="8"/>
    <n v="80"/>
    <n v="4.2"/>
    <x v="0"/>
    <x v="1"/>
    <x v="0"/>
    <x v="2"/>
  </r>
  <r>
    <s v="Call_7298"/>
    <x v="4"/>
    <n v="81"/>
    <x v="0"/>
    <x v="9"/>
    <n v="50"/>
    <n v="4.5999999999999996"/>
    <x v="0"/>
    <x v="2"/>
    <x v="0"/>
    <x v="0"/>
  </r>
  <r>
    <s v="Call_7299"/>
    <x v="9"/>
    <n v="31"/>
    <x v="3"/>
    <x v="9"/>
    <n v="123"/>
    <n v="2.9"/>
    <x v="0"/>
    <x v="2"/>
    <x v="2"/>
    <x v="1"/>
  </r>
  <r>
    <s v="Call_7300"/>
    <x v="11"/>
    <n v="155"/>
    <x v="2"/>
    <x v="9"/>
    <n v="110"/>
    <n v="4.8"/>
    <x v="0"/>
    <x v="2"/>
    <x v="1"/>
    <x v="0"/>
  </r>
  <r>
    <s v="Call_7301"/>
    <x v="9"/>
    <n v="80"/>
    <x v="0"/>
    <x v="9"/>
    <n v="140"/>
    <n v="4.2"/>
    <x v="0"/>
    <x v="2"/>
    <x v="0"/>
    <x v="2"/>
  </r>
  <r>
    <s v="Call_7302"/>
    <x v="4"/>
    <n v="82"/>
    <x v="0"/>
    <x v="10"/>
    <n v="42"/>
    <n v="3.7"/>
    <x v="0"/>
    <x v="4"/>
    <x v="0"/>
    <x v="2"/>
  </r>
  <r>
    <s v="Call_7303"/>
    <x v="4"/>
    <n v="29"/>
    <x v="2"/>
    <x v="10"/>
    <n v="170"/>
    <n v="5"/>
    <x v="0"/>
    <x v="4"/>
    <x v="3"/>
    <x v="0"/>
  </r>
  <r>
    <s v="Call_7304"/>
    <x v="10"/>
    <n v="160"/>
    <x v="1"/>
    <x v="11"/>
    <n v="105"/>
    <n v="5"/>
    <x v="0"/>
    <x v="6"/>
    <x v="1"/>
    <x v="0"/>
  </r>
  <r>
    <s v="Call_7305"/>
    <x v="13"/>
    <n v="105"/>
    <x v="0"/>
    <x v="12"/>
    <n v="125"/>
    <n v="4.8"/>
    <x v="0"/>
    <x v="0"/>
    <x v="0"/>
    <x v="0"/>
  </r>
  <r>
    <s v="Call_7306"/>
    <x v="9"/>
    <n v="75"/>
    <x v="4"/>
    <x v="12"/>
    <n v="26"/>
    <n v="2.4"/>
    <x v="0"/>
    <x v="0"/>
    <x v="0"/>
    <x v="3"/>
  </r>
  <r>
    <s v="Call_7307"/>
    <x v="11"/>
    <n v="94"/>
    <x v="4"/>
    <x v="13"/>
    <n v="120"/>
    <n v="3.1"/>
    <x v="0"/>
    <x v="1"/>
    <x v="0"/>
    <x v="1"/>
  </r>
  <r>
    <s v="Call_7308"/>
    <x v="1"/>
    <n v="90"/>
    <x v="1"/>
    <x v="13"/>
    <n v="132"/>
    <n v="3.2"/>
    <x v="0"/>
    <x v="1"/>
    <x v="0"/>
    <x v="1"/>
  </r>
  <r>
    <s v="Call_7309"/>
    <x v="11"/>
    <n v="81"/>
    <x v="3"/>
    <x v="14"/>
    <n v="86"/>
    <n v="2.4"/>
    <x v="0"/>
    <x v="2"/>
    <x v="0"/>
    <x v="3"/>
  </r>
  <r>
    <s v="Call_7310"/>
    <x v="9"/>
    <n v="106"/>
    <x v="0"/>
    <x v="14"/>
    <n v="108"/>
    <n v="5"/>
    <x v="0"/>
    <x v="2"/>
    <x v="0"/>
    <x v="0"/>
  </r>
  <r>
    <s v="Call_7311"/>
    <x v="1"/>
    <n v="74"/>
    <x v="3"/>
    <x v="14"/>
    <n v="96"/>
    <n v="4.7"/>
    <x v="0"/>
    <x v="2"/>
    <x v="0"/>
    <x v="0"/>
  </r>
  <r>
    <s v="Call_7312"/>
    <x v="6"/>
    <n v="105"/>
    <x v="1"/>
    <x v="15"/>
    <n v="80"/>
    <n v="4.7"/>
    <x v="0"/>
    <x v="3"/>
    <x v="0"/>
    <x v="0"/>
  </r>
  <r>
    <s v="Call_7313"/>
    <x v="9"/>
    <n v="89"/>
    <x v="0"/>
    <x v="15"/>
    <n v="155"/>
    <n v="4.0999999999999996"/>
    <x v="0"/>
    <x v="3"/>
    <x v="0"/>
    <x v="2"/>
  </r>
  <r>
    <s v="Call_7314"/>
    <x v="7"/>
    <n v="132"/>
    <x v="4"/>
    <x v="15"/>
    <n v="168"/>
    <n v="4.0999999999999996"/>
    <x v="0"/>
    <x v="3"/>
    <x v="1"/>
    <x v="2"/>
  </r>
  <r>
    <s v="Call_7315"/>
    <x v="13"/>
    <n v="105"/>
    <x v="2"/>
    <x v="15"/>
    <n v="56"/>
    <n v="3.6"/>
    <x v="0"/>
    <x v="3"/>
    <x v="0"/>
    <x v="2"/>
  </r>
  <r>
    <s v="Call_7316"/>
    <x v="4"/>
    <n v="13"/>
    <x v="4"/>
    <x v="16"/>
    <n v="32"/>
    <n v="4.4000000000000004"/>
    <x v="0"/>
    <x v="4"/>
    <x v="3"/>
    <x v="2"/>
  </r>
  <r>
    <s v="Call_7317"/>
    <x v="3"/>
    <n v="131"/>
    <x v="2"/>
    <x v="16"/>
    <n v="78"/>
    <n v="4.4000000000000004"/>
    <x v="0"/>
    <x v="4"/>
    <x v="1"/>
    <x v="2"/>
  </r>
  <r>
    <s v="Call_7318"/>
    <x v="1"/>
    <n v="104"/>
    <x v="0"/>
    <x v="16"/>
    <n v="86"/>
    <n v="4"/>
    <x v="0"/>
    <x v="4"/>
    <x v="0"/>
    <x v="2"/>
  </r>
  <r>
    <s v="Call_7319"/>
    <x v="0"/>
    <n v="90"/>
    <x v="1"/>
    <x v="17"/>
    <n v="64"/>
    <n v="3.8"/>
    <x v="0"/>
    <x v="5"/>
    <x v="0"/>
    <x v="2"/>
  </r>
  <r>
    <s v="Call_7320"/>
    <x v="12"/>
    <n v="37"/>
    <x v="1"/>
    <x v="17"/>
    <n v="96"/>
    <n v="3.6"/>
    <x v="0"/>
    <x v="5"/>
    <x v="2"/>
    <x v="2"/>
  </r>
  <r>
    <s v="Call_7321"/>
    <x v="8"/>
    <n v="149"/>
    <x v="2"/>
    <x v="17"/>
    <n v="72"/>
    <n v="4.3"/>
    <x v="0"/>
    <x v="5"/>
    <x v="1"/>
    <x v="2"/>
  </r>
  <r>
    <s v="Call_7322"/>
    <x v="7"/>
    <n v="100"/>
    <x v="3"/>
    <x v="18"/>
    <n v="135"/>
    <n v="3.8"/>
    <x v="0"/>
    <x v="6"/>
    <x v="0"/>
    <x v="2"/>
  </r>
  <r>
    <s v="Call_7323"/>
    <x v="7"/>
    <n v="79"/>
    <x v="4"/>
    <x v="18"/>
    <n v="140"/>
    <n v="4.5"/>
    <x v="0"/>
    <x v="6"/>
    <x v="0"/>
    <x v="0"/>
  </r>
  <r>
    <s v="Call_7324"/>
    <x v="14"/>
    <n v="157"/>
    <x v="2"/>
    <x v="18"/>
    <n v="69"/>
    <n v="4.5"/>
    <x v="0"/>
    <x v="6"/>
    <x v="1"/>
    <x v="0"/>
  </r>
  <r>
    <s v="Call_7325"/>
    <x v="7"/>
    <n v="59"/>
    <x v="0"/>
    <x v="19"/>
    <n v="136"/>
    <n v="4.5999999999999996"/>
    <x v="0"/>
    <x v="0"/>
    <x v="2"/>
    <x v="0"/>
  </r>
  <r>
    <s v="Call_7326"/>
    <x v="12"/>
    <n v="83"/>
    <x v="2"/>
    <x v="19"/>
    <n v="28"/>
    <n v="4.5"/>
    <x v="0"/>
    <x v="0"/>
    <x v="0"/>
    <x v="0"/>
  </r>
  <r>
    <s v="Call_7327"/>
    <x v="14"/>
    <n v="58"/>
    <x v="1"/>
    <x v="20"/>
    <n v="135"/>
    <n v="3.3"/>
    <x v="0"/>
    <x v="1"/>
    <x v="2"/>
    <x v="1"/>
  </r>
  <r>
    <s v="Call_7328"/>
    <x v="11"/>
    <n v="118"/>
    <x v="1"/>
    <x v="20"/>
    <n v="126"/>
    <n v="2.2999999999999998"/>
    <x v="0"/>
    <x v="1"/>
    <x v="0"/>
    <x v="3"/>
  </r>
  <r>
    <s v="Call_7329"/>
    <x v="4"/>
    <n v="63"/>
    <x v="0"/>
    <x v="20"/>
    <n v="160"/>
    <n v="4.3"/>
    <x v="0"/>
    <x v="1"/>
    <x v="0"/>
    <x v="2"/>
  </r>
  <r>
    <s v="Call_7330"/>
    <x v="14"/>
    <n v="95"/>
    <x v="1"/>
    <x v="21"/>
    <n v="48"/>
    <n v="4.5999999999999996"/>
    <x v="0"/>
    <x v="2"/>
    <x v="0"/>
    <x v="0"/>
  </r>
  <r>
    <s v="Call_7331"/>
    <x v="7"/>
    <n v="74"/>
    <x v="2"/>
    <x v="21"/>
    <n v="66"/>
    <n v="4"/>
    <x v="0"/>
    <x v="2"/>
    <x v="0"/>
    <x v="2"/>
  </r>
  <r>
    <s v="Call_7332"/>
    <x v="6"/>
    <n v="130"/>
    <x v="3"/>
    <x v="21"/>
    <n v="126"/>
    <n v="2.5"/>
    <x v="0"/>
    <x v="2"/>
    <x v="1"/>
    <x v="1"/>
  </r>
  <r>
    <s v="Call_7333"/>
    <x v="11"/>
    <n v="110"/>
    <x v="4"/>
    <x v="21"/>
    <n v="96"/>
    <n v="5"/>
    <x v="0"/>
    <x v="2"/>
    <x v="0"/>
    <x v="0"/>
  </r>
  <r>
    <s v="Call_7334"/>
    <x v="7"/>
    <n v="71"/>
    <x v="0"/>
    <x v="22"/>
    <n v="90"/>
    <n v="3.8"/>
    <x v="0"/>
    <x v="3"/>
    <x v="0"/>
    <x v="2"/>
  </r>
  <r>
    <s v="Call_7335"/>
    <x v="13"/>
    <n v="147"/>
    <x v="3"/>
    <x v="22"/>
    <n v="105"/>
    <n v="4.4000000000000004"/>
    <x v="0"/>
    <x v="3"/>
    <x v="1"/>
    <x v="2"/>
  </r>
  <r>
    <s v="Call_7336"/>
    <x v="1"/>
    <n v="69"/>
    <x v="1"/>
    <x v="23"/>
    <n v="40"/>
    <n v="3.8"/>
    <x v="0"/>
    <x v="4"/>
    <x v="0"/>
    <x v="2"/>
  </r>
  <r>
    <s v="Call_7337"/>
    <x v="11"/>
    <n v="50"/>
    <x v="0"/>
    <x v="23"/>
    <n v="60"/>
    <n v="2"/>
    <x v="0"/>
    <x v="4"/>
    <x v="2"/>
    <x v="3"/>
  </r>
  <r>
    <s v="Call_7338"/>
    <x v="6"/>
    <n v="124"/>
    <x v="3"/>
    <x v="24"/>
    <n v="215"/>
    <n v="4.0999999999999996"/>
    <x v="0"/>
    <x v="5"/>
    <x v="1"/>
    <x v="2"/>
  </r>
  <r>
    <s v="Call_7339"/>
    <x v="2"/>
    <n v="81"/>
    <x v="2"/>
    <x v="24"/>
    <n v="156"/>
    <n v="2.6"/>
    <x v="0"/>
    <x v="5"/>
    <x v="0"/>
    <x v="1"/>
  </r>
  <r>
    <s v="Call_7340"/>
    <x v="10"/>
    <n v="141"/>
    <x v="4"/>
    <x v="24"/>
    <n v="54"/>
    <n v="0"/>
    <x v="0"/>
    <x v="5"/>
    <x v="1"/>
    <x v="4"/>
  </r>
  <r>
    <s v="Call_7341"/>
    <x v="10"/>
    <n v="168"/>
    <x v="4"/>
    <x v="25"/>
    <n v="160"/>
    <n v="3.9"/>
    <x v="0"/>
    <x v="6"/>
    <x v="1"/>
    <x v="2"/>
  </r>
  <r>
    <s v="Call_7342"/>
    <x v="13"/>
    <n v="101"/>
    <x v="2"/>
    <x v="25"/>
    <n v="80"/>
    <n v="4.8"/>
    <x v="0"/>
    <x v="6"/>
    <x v="0"/>
    <x v="0"/>
  </r>
  <r>
    <s v="Call_7343"/>
    <x v="7"/>
    <n v="67"/>
    <x v="2"/>
    <x v="25"/>
    <n v="168"/>
    <n v="2.6"/>
    <x v="0"/>
    <x v="6"/>
    <x v="0"/>
    <x v="1"/>
  </r>
  <r>
    <s v="Call_7344"/>
    <x v="14"/>
    <n v="114"/>
    <x v="4"/>
    <x v="26"/>
    <n v="42"/>
    <n v="2.6"/>
    <x v="0"/>
    <x v="1"/>
    <x v="0"/>
    <x v="1"/>
  </r>
  <r>
    <s v="Call_7345"/>
    <x v="2"/>
    <n v="42"/>
    <x v="2"/>
    <x v="26"/>
    <n v="205"/>
    <n v="3.6"/>
    <x v="0"/>
    <x v="1"/>
    <x v="2"/>
    <x v="2"/>
  </r>
  <r>
    <s v="Call_7346"/>
    <x v="4"/>
    <n v="69"/>
    <x v="4"/>
    <x v="26"/>
    <n v="108"/>
    <n v="3.3"/>
    <x v="0"/>
    <x v="1"/>
    <x v="0"/>
    <x v="1"/>
  </r>
  <r>
    <s v="Call_7347"/>
    <x v="6"/>
    <n v="145"/>
    <x v="1"/>
    <x v="26"/>
    <n v="78"/>
    <n v="1.9"/>
    <x v="0"/>
    <x v="1"/>
    <x v="1"/>
    <x v="3"/>
  </r>
  <r>
    <s v="Call_7348"/>
    <x v="1"/>
    <n v="43"/>
    <x v="4"/>
    <x v="26"/>
    <n v="23"/>
    <n v="4.9000000000000004"/>
    <x v="0"/>
    <x v="1"/>
    <x v="2"/>
    <x v="0"/>
  </r>
  <r>
    <s v="Call_7349"/>
    <x v="4"/>
    <n v="62"/>
    <x v="0"/>
    <x v="27"/>
    <n v="99"/>
    <n v="3.6"/>
    <x v="0"/>
    <x v="2"/>
    <x v="0"/>
    <x v="2"/>
  </r>
  <r>
    <s v="Call_7350"/>
    <x v="9"/>
    <n v="79"/>
    <x v="4"/>
    <x v="28"/>
    <n v="148"/>
    <n v="4.5"/>
    <x v="0"/>
    <x v="3"/>
    <x v="0"/>
    <x v="0"/>
  </r>
  <r>
    <s v="Call_7351"/>
    <x v="6"/>
    <n v="45"/>
    <x v="3"/>
    <x v="28"/>
    <n v="34"/>
    <n v="3.7"/>
    <x v="0"/>
    <x v="3"/>
    <x v="2"/>
    <x v="2"/>
  </r>
  <r>
    <s v="Call_7352"/>
    <x v="4"/>
    <n v="137"/>
    <x v="4"/>
    <x v="28"/>
    <n v="86"/>
    <n v="4.8"/>
    <x v="0"/>
    <x v="3"/>
    <x v="1"/>
    <x v="0"/>
  </r>
  <r>
    <s v="Call_7353"/>
    <x v="14"/>
    <n v="109"/>
    <x v="0"/>
    <x v="28"/>
    <n v="105"/>
    <n v="3.3"/>
    <x v="0"/>
    <x v="3"/>
    <x v="0"/>
    <x v="1"/>
  </r>
  <r>
    <s v="Call_7354"/>
    <x v="1"/>
    <n v="78"/>
    <x v="0"/>
    <x v="28"/>
    <n v="62"/>
    <n v="3.1"/>
    <x v="0"/>
    <x v="3"/>
    <x v="0"/>
    <x v="1"/>
  </r>
  <r>
    <s v="Call_7355"/>
    <x v="4"/>
    <n v="137"/>
    <x v="3"/>
    <x v="28"/>
    <n v="90"/>
    <n v="4.0999999999999996"/>
    <x v="0"/>
    <x v="3"/>
    <x v="1"/>
    <x v="2"/>
  </r>
  <r>
    <s v="Call_7356"/>
    <x v="3"/>
    <n v="99"/>
    <x v="0"/>
    <x v="29"/>
    <n v="112"/>
    <n v="4.9000000000000004"/>
    <x v="0"/>
    <x v="4"/>
    <x v="0"/>
    <x v="0"/>
  </r>
  <r>
    <s v="Call_7357"/>
    <x v="11"/>
    <n v="100"/>
    <x v="0"/>
    <x v="29"/>
    <n v="135"/>
    <n v="4"/>
    <x v="0"/>
    <x v="4"/>
    <x v="0"/>
    <x v="2"/>
  </r>
  <r>
    <s v="Call_7358"/>
    <x v="1"/>
    <n v="47"/>
    <x v="1"/>
    <x v="29"/>
    <n v="34"/>
    <n v="2.1"/>
    <x v="0"/>
    <x v="4"/>
    <x v="2"/>
    <x v="3"/>
  </r>
  <r>
    <s v="Call_7359"/>
    <x v="14"/>
    <n v="87"/>
    <x v="2"/>
    <x v="29"/>
    <n v="155"/>
    <n v="4.5"/>
    <x v="0"/>
    <x v="4"/>
    <x v="0"/>
    <x v="0"/>
  </r>
  <r>
    <s v="Call_7360"/>
    <x v="3"/>
    <n v="143"/>
    <x v="2"/>
    <x v="30"/>
    <n v="124"/>
    <n v="4.9000000000000004"/>
    <x v="0"/>
    <x v="6"/>
    <x v="1"/>
    <x v="0"/>
  </r>
  <r>
    <s v="Call_7361"/>
    <x v="11"/>
    <n v="84"/>
    <x v="0"/>
    <x v="30"/>
    <n v="195"/>
    <n v="4.0999999999999996"/>
    <x v="0"/>
    <x v="6"/>
    <x v="0"/>
    <x v="2"/>
  </r>
  <r>
    <s v="Call_7362"/>
    <x v="13"/>
    <n v="55"/>
    <x v="2"/>
    <x v="31"/>
    <n v="78"/>
    <n v="4.5"/>
    <x v="0"/>
    <x v="0"/>
    <x v="2"/>
    <x v="0"/>
  </r>
  <r>
    <s v="Call_7363"/>
    <x v="5"/>
    <n v="135"/>
    <x v="3"/>
    <x v="32"/>
    <n v="35"/>
    <n v="4.8"/>
    <x v="0"/>
    <x v="2"/>
    <x v="1"/>
    <x v="0"/>
  </r>
  <r>
    <s v="Call_7364"/>
    <x v="12"/>
    <n v="152"/>
    <x v="1"/>
    <x v="32"/>
    <n v="123"/>
    <n v="4.5999999999999996"/>
    <x v="0"/>
    <x v="2"/>
    <x v="1"/>
    <x v="0"/>
  </r>
  <r>
    <s v="Call_7365"/>
    <x v="2"/>
    <n v="132"/>
    <x v="1"/>
    <x v="32"/>
    <n v="43"/>
    <n v="4.5999999999999996"/>
    <x v="0"/>
    <x v="2"/>
    <x v="1"/>
    <x v="0"/>
  </r>
  <r>
    <s v="Call_7366"/>
    <x v="10"/>
    <n v="60"/>
    <x v="0"/>
    <x v="33"/>
    <n v="69"/>
    <n v="4.3"/>
    <x v="0"/>
    <x v="3"/>
    <x v="2"/>
    <x v="2"/>
  </r>
  <r>
    <s v="Call_7367"/>
    <x v="12"/>
    <n v="95"/>
    <x v="1"/>
    <x v="33"/>
    <n v="130"/>
    <n v="5"/>
    <x v="0"/>
    <x v="3"/>
    <x v="0"/>
    <x v="0"/>
  </r>
  <r>
    <s v="Call_7368"/>
    <x v="0"/>
    <n v="96"/>
    <x v="4"/>
    <x v="33"/>
    <n v="120"/>
    <n v="4"/>
    <x v="0"/>
    <x v="3"/>
    <x v="0"/>
    <x v="2"/>
  </r>
  <r>
    <s v="Call_7369"/>
    <x v="13"/>
    <n v="45"/>
    <x v="0"/>
    <x v="34"/>
    <n v="84"/>
    <n v="4.5999999999999996"/>
    <x v="0"/>
    <x v="4"/>
    <x v="2"/>
    <x v="0"/>
  </r>
  <r>
    <s v="Call_7370"/>
    <x v="0"/>
    <n v="132"/>
    <x v="4"/>
    <x v="35"/>
    <n v="112"/>
    <n v="4.5"/>
    <x v="0"/>
    <x v="5"/>
    <x v="1"/>
    <x v="0"/>
  </r>
  <r>
    <s v="Call_7371"/>
    <x v="7"/>
    <n v="95"/>
    <x v="0"/>
    <x v="35"/>
    <n v="66"/>
    <n v="4.5999999999999996"/>
    <x v="0"/>
    <x v="5"/>
    <x v="0"/>
    <x v="0"/>
  </r>
  <r>
    <s v="Call_7372"/>
    <x v="12"/>
    <n v="131"/>
    <x v="2"/>
    <x v="35"/>
    <n v="172"/>
    <n v="2.6"/>
    <x v="0"/>
    <x v="5"/>
    <x v="1"/>
    <x v="1"/>
  </r>
  <r>
    <s v="Call_7373"/>
    <x v="9"/>
    <n v="67"/>
    <x v="3"/>
    <x v="36"/>
    <n v="24"/>
    <n v="4.3"/>
    <x v="0"/>
    <x v="6"/>
    <x v="0"/>
    <x v="2"/>
  </r>
  <r>
    <s v="Call_7374"/>
    <x v="3"/>
    <n v="111"/>
    <x v="2"/>
    <x v="37"/>
    <n v="43"/>
    <n v="3.9"/>
    <x v="0"/>
    <x v="0"/>
    <x v="0"/>
    <x v="2"/>
  </r>
  <r>
    <s v="Call_7375"/>
    <x v="2"/>
    <n v="78"/>
    <x v="1"/>
    <x v="37"/>
    <n v="23"/>
    <n v="5"/>
    <x v="0"/>
    <x v="0"/>
    <x v="0"/>
    <x v="0"/>
  </r>
  <r>
    <s v="Call_7376"/>
    <x v="8"/>
    <n v="28"/>
    <x v="4"/>
    <x v="37"/>
    <n v="74"/>
    <n v="3.5"/>
    <x v="0"/>
    <x v="0"/>
    <x v="3"/>
    <x v="2"/>
  </r>
  <r>
    <s v="Call_7377"/>
    <x v="1"/>
    <n v="127"/>
    <x v="3"/>
    <x v="38"/>
    <n v="165"/>
    <n v="4.7"/>
    <x v="0"/>
    <x v="1"/>
    <x v="1"/>
    <x v="0"/>
  </r>
  <r>
    <s v="Call_7378"/>
    <x v="11"/>
    <n v="137"/>
    <x v="2"/>
    <x v="38"/>
    <n v="34"/>
    <n v="2.9"/>
    <x v="0"/>
    <x v="1"/>
    <x v="1"/>
    <x v="1"/>
  </r>
  <r>
    <s v="Call_7379"/>
    <x v="1"/>
    <n v="76"/>
    <x v="4"/>
    <x v="38"/>
    <n v="64"/>
    <n v="3.4"/>
    <x v="0"/>
    <x v="1"/>
    <x v="0"/>
    <x v="1"/>
  </r>
  <r>
    <s v="Call_7380"/>
    <x v="2"/>
    <n v="80"/>
    <x v="3"/>
    <x v="39"/>
    <n v="155"/>
    <n v="3.2"/>
    <x v="0"/>
    <x v="2"/>
    <x v="0"/>
    <x v="1"/>
  </r>
  <r>
    <s v="Call_7381"/>
    <x v="1"/>
    <n v="95"/>
    <x v="1"/>
    <x v="40"/>
    <n v="120"/>
    <n v="4.8"/>
    <x v="0"/>
    <x v="3"/>
    <x v="0"/>
    <x v="0"/>
  </r>
  <r>
    <s v="Call_7382"/>
    <x v="10"/>
    <n v="30"/>
    <x v="4"/>
    <x v="40"/>
    <n v="105"/>
    <n v="3.6"/>
    <x v="0"/>
    <x v="3"/>
    <x v="3"/>
    <x v="2"/>
  </r>
  <r>
    <s v="Call_7383"/>
    <x v="4"/>
    <n v="19"/>
    <x v="2"/>
    <x v="40"/>
    <n v="28"/>
    <n v="4.9000000000000004"/>
    <x v="0"/>
    <x v="3"/>
    <x v="3"/>
    <x v="0"/>
  </r>
  <r>
    <s v="Call_7384"/>
    <x v="6"/>
    <n v="38"/>
    <x v="3"/>
    <x v="40"/>
    <n v="100"/>
    <n v="4.8"/>
    <x v="0"/>
    <x v="3"/>
    <x v="2"/>
    <x v="0"/>
  </r>
  <r>
    <s v="Call_7385"/>
    <x v="7"/>
    <n v="55"/>
    <x v="2"/>
    <x v="40"/>
    <n v="23"/>
    <n v="3.6"/>
    <x v="0"/>
    <x v="3"/>
    <x v="2"/>
    <x v="2"/>
  </r>
  <r>
    <s v="Call_7386"/>
    <x v="9"/>
    <n v="27"/>
    <x v="4"/>
    <x v="41"/>
    <n v="70"/>
    <n v="3.9"/>
    <x v="0"/>
    <x v="4"/>
    <x v="3"/>
    <x v="2"/>
  </r>
  <r>
    <s v="Call_7387"/>
    <x v="9"/>
    <n v="32"/>
    <x v="4"/>
    <x v="41"/>
    <n v="37"/>
    <n v="1.9"/>
    <x v="0"/>
    <x v="4"/>
    <x v="2"/>
    <x v="3"/>
  </r>
  <r>
    <s v="Call_7388"/>
    <x v="8"/>
    <n v="116"/>
    <x v="0"/>
    <x v="41"/>
    <n v="140"/>
    <n v="3.6"/>
    <x v="0"/>
    <x v="4"/>
    <x v="0"/>
    <x v="2"/>
  </r>
  <r>
    <s v="Call_7389"/>
    <x v="0"/>
    <n v="99"/>
    <x v="1"/>
    <x v="41"/>
    <n v="78"/>
    <n v="4.0999999999999996"/>
    <x v="0"/>
    <x v="4"/>
    <x v="0"/>
    <x v="2"/>
  </r>
  <r>
    <s v="Call_7390"/>
    <x v="1"/>
    <n v="75"/>
    <x v="4"/>
    <x v="42"/>
    <n v="21"/>
    <n v="4.2"/>
    <x v="0"/>
    <x v="5"/>
    <x v="0"/>
    <x v="2"/>
  </r>
  <r>
    <s v="Call_7391"/>
    <x v="2"/>
    <n v="57"/>
    <x v="0"/>
    <x v="42"/>
    <n v="88"/>
    <n v="4.3"/>
    <x v="0"/>
    <x v="5"/>
    <x v="2"/>
    <x v="2"/>
  </r>
  <r>
    <s v="Call_7392"/>
    <x v="5"/>
    <n v="155"/>
    <x v="0"/>
    <x v="43"/>
    <n v="180"/>
    <n v="2.2000000000000002"/>
    <x v="0"/>
    <x v="6"/>
    <x v="1"/>
    <x v="3"/>
  </r>
  <r>
    <s v="Call_7393"/>
    <x v="0"/>
    <n v="68"/>
    <x v="1"/>
    <x v="43"/>
    <n v="22"/>
    <n v="3.3"/>
    <x v="0"/>
    <x v="6"/>
    <x v="0"/>
    <x v="1"/>
  </r>
  <r>
    <s v="Call_7394"/>
    <x v="6"/>
    <n v="95"/>
    <x v="1"/>
    <x v="43"/>
    <n v="52"/>
    <n v="4.8"/>
    <x v="0"/>
    <x v="6"/>
    <x v="0"/>
    <x v="0"/>
  </r>
  <r>
    <s v="Call_7395"/>
    <x v="11"/>
    <n v="65"/>
    <x v="0"/>
    <x v="44"/>
    <n v="80"/>
    <n v="4"/>
    <x v="0"/>
    <x v="0"/>
    <x v="0"/>
    <x v="2"/>
  </r>
  <r>
    <s v="Call_7396"/>
    <x v="4"/>
    <n v="114"/>
    <x v="2"/>
    <x v="44"/>
    <n v="54"/>
    <n v="1.1000000000000001"/>
    <x v="0"/>
    <x v="0"/>
    <x v="0"/>
    <x v="5"/>
  </r>
  <r>
    <s v="Call_7397"/>
    <x v="1"/>
    <n v="155"/>
    <x v="2"/>
    <x v="45"/>
    <n v="80"/>
    <n v="3.9"/>
    <x v="0"/>
    <x v="1"/>
    <x v="1"/>
    <x v="2"/>
  </r>
  <r>
    <s v="Call_7398"/>
    <x v="11"/>
    <n v="114"/>
    <x v="0"/>
    <x v="46"/>
    <n v="120"/>
    <n v="1.8"/>
    <x v="0"/>
    <x v="2"/>
    <x v="0"/>
    <x v="3"/>
  </r>
  <r>
    <s v="Call_7399"/>
    <x v="5"/>
    <n v="130"/>
    <x v="3"/>
    <x v="46"/>
    <n v="150"/>
    <n v="1"/>
    <x v="0"/>
    <x v="2"/>
    <x v="1"/>
    <x v="5"/>
  </r>
  <r>
    <s v="Call_7400"/>
    <x v="1"/>
    <n v="89"/>
    <x v="0"/>
    <x v="46"/>
    <n v="90"/>
    <n v="4.3"/>
    <x v="0"/>
    <x v="2"/>
    <x v="0"/>
    <x v="2"/>
  </r>
  <r>
    <s v="Call_7401"/>
    <x v="13"/>
    <n v="61"/>
    <x v="4"/>
    <x v="47"/>
    <n v="140"/>
    <n v="3.4"/>
    <x v="0"/>
    <x v="3"/>
    <x v="0"/>
    <x v="1"/>
  </r>
  <r>
    <s v="Call_7402"/>
    <x v="6"/>
    <n v="154"/>
    <x v="2"/>
    <x v="47"/>
    <n v="22"/>
    <n v="3.4"/>
    <x v="0"/>
    <x v="3"/>
    <x v="1"/>
    <x v="1"/>
  </r>
  <r>
    <s v="Call_7403"/>
    <x v="11"/>
    <n v="115"/>
    <x v="3"/>
    <x v="48"/>
    <n v="150"/>
    <n v="4.0999999999999996"/>
    <x v="0"/>
    <x v="4"/>
    <x v="0"/>
    <x v="2"/>
  </r>
  <r>
    <s v="Call_7404"/>
    <x v="14"/>
    <n v="138"/>
    <x v="1"/>
    <x v="49"/>
    <n v="35"/>
    <n v="4.8"/>
    <x v="0"/>
    <x v="5"/>
    <x v="1"/>
    <x v="0"/>
  </r>
  <r>
    <s v="Call_7405"/>
    <x v="3"/>
    <n v="153"/>
    <x v="0"/>
    <x v="49"/>
    <n v="200"/>
    <n v="2"/>
    <x v="0"/>
    <x v="5"/>
    <x v="1"/>
    <x v="3"/>
  </r>
  <r>
    <s v="Call_7406"/>
    <x v="11"/>
    <n v="61"/>
    <x v="4"/>
    <x v="50"/>
    <n v="150"/>
    <n v="4.5999999999999996"/>
    <x v="0"/>
    <x v="6"/>
    <x v="0"/>
    <x v="0"/>
  </r>
  <r>
    <s v="Call_7407"/>
    <x v="9"/>
    <n v="62"/>
    <x v="0"/>
    <x v="50"/>
    <n v="21"/>
    <n v="2.6"/>
    <x v="0"/>
    <x v="6"/>
    <x v="0"/>
    <x v="1"/>
  </r>
  <r>
    <s v="Call_7408"/>
    <x v="13"/>
    <n v="151"/>
    <x v="3"/>
    <x v="51"/>
    <n v="46"/>
    <n v="4.9000000000000004"/>
    <x v="0"/>
    <x v="0"/>
    <x v="1"/>
    <x v="0"/>
  </r>
  <r>
    <s v="Call_7409"/>
    <x v="12"/>
    <n v="102"/>
    <x v="2"/>
    <x v="51"/>
    <n v="165"/>
    <n v="2.7"/>
    <x v="0"/>
    <x v="0"/>
    <x v="0"/>
    <x v="1"/>
  </r>
  <r>
    <s v="Call_7410"/>
    <x v="10"/>
    <n v="64"/>
    <x v="0"/>
    <x v="51"/>
    <n v="84"/>
    <n v="4.0999999999999996"/>
    <x v="0"/>
    <x v="0"/>
    <x v="0"/>
    <x v="2"/>
  </r>
  <r>
    <s v="Call_7411"/>
    <x v="1"/>
    <n v="6"/>
    <x v="2"/>
    <x v="52"/>
    <n v="102"/>
    <n v="4.4000000000000004"/>
    <x v="0"/>
    <x v="1"/>
    <x v="4"/>
    <x v="2"/>
  </r>
  <r>
    <s v="Call_7412"/>
    <x v="10"/>
    <n v="129"/>
    <x v="0"/>
    <x v="52"/>
    <n v="180"/>
    <n v="4.8"/>
    <x v="0"/>
    <x v="1"/>
    <x v="1"/>
    <x v="0"/>
  </r>
  <r>
    <s v="Call_7413"/>
    <x v="9"/>
    <n v="42"/>
    <x v="3"/>
    <x v="53"/>
    <n v="111"/>
    <n v="3"/>
    <x v="0"/>
    <x v="2"/>
    <x v="2"/>
    <x v="1"/>
  </r>
  <r>
    <s v="Call_7414"/>
    <x v="9"/>
    <n v="71"/>
    <x v="4"/>
    <x v="53"/>
    <n v="104"/>
    <n v="3.1"/>
    <x v="0"/>
    <x v="2"/>
    <x v="0"/>
    <x v="1"/>
  </r>
  <r>
    <s v="Call_7415"/>
    <x v="2"/>
    <n v="53"/>
    <x v="2"/>
    <x v="53"/>
    <n v="80"/>
    <n v="2.6"/>
    <x v="0"/>
    <x v="2"/>
    <x v="2"/>
    <x v="1"/>
  </r>
  <r>
    <s v="Call_7416"/>
    <x v="4"/>
    <n v="155"/>
    <x v="4"/>
    <x v="54"/>
    <n v="132"/>
    <n v="4.5999999999999996"/>
    <x v="0"/>
    <x v="3"/>
    <x v="1"/>
    <x v="0"/>
  </r>
  <r>
    <s v="Call_7417"/>
    <x v="4"/>
    <n v="90"/>
    <x v="3"/>
    <x v="54"/>
    <n v="170"/>
    <n v="3.7"/>
    <x v="0"/>
    <x v="3"/>
    <x v="0"/>
    <x v="2"/>
  </r>
  <r>
    <s v="Call_7418"/>
    <x v="10"/>
    <n v="166"/>
    <x v="1"/>
    <x v="54"/>
    <n v="36"/>
    <n v="3.8"/>
    <x v="0"/>
    <x v="3"/>
    <x v="1"/>
    <x v="2"/>
  </r>
  <r>
    <s v="Call_7419"/>
    <x v="8"/>
    <n v="89"/>
    <x v="4"/>
    <x v="54"/>
    <n v="126"/>
    <n v="3.6"/>
    <x v="0"/>
    <x v="3"/>
    <x v="0"/>
    <x v="2"/>
  </r>
  <r>
    <s v="Call_7420"/>
    <x v="11"/>
    <n v="152"/>
    <x v="2"/>
    <x v="54"/>
    <n v="215"/>
    <n v="4.4000000000000004"/>
    <x v="0"/>
    <x v="3"/>
    <x v="1"/>
    <x v="2"/>
  </r>
  <r>
    <s v="Call_7421"/>
    <x v="8"/>
    <n v="137"/>
    <x v="3"/>
    <x v="54"/>
    <n v="114"/>
    <n v="3.2"/>
    <x v="0"/>
    <x v="3"/>
    <x v="1"/>
    <x v="1"/>
  </r>
  <r>
    <s v="Call_7422"/>
    <x v="8"/>
    <n v="43"/>
    <x v="3"/>
    <x v="54"/>
    <n v="99"/>
    <n v="4.7"/>
    <x v="0"/>
    <x v="3"/>
    <x v="2"/>
    <x v="0"/>
  </r>
  <r>
    <s v="Call_7423"/>
    <x v="6"/>
    <n v="114"/>
    <x v="3"/>
    <x v="55"/>
    <n v="23"/>
    <n v="4.8"/>
    <x v="0"/>
    <x v="4"/>
    <x v="0"/>
    <x v="0"/>
  </r>
  <r>
    <s v="Call_7424"/>
    <x v="3"/>
    <n v="103"/>
    <x v="4"/>
    <x v="55"/>
    <n v="75"/>
    <n v="2.7"/>
    <x v="0"/>
    <x v="4"/>
    <x v="0"/>
    <x v="1"/>
  </r>
  <r>
    <s v="Call_7425"/>
    <x v="8"/>
    <n v="98"/>
    <x v="2"/>
    <x v="55"/>
    <n v="100"/>
    <n v="3.8"/>
    <x v="0"/>
    <x v="4"/>
    <x v="0"/>
    <x v="2"/>
  </r>
  <r>
    <s v="Call_7426"/>
    <x v="10"/>
    <n v="106"/>
    <x v="1"/>
    <x v="55"/>
    <n v="108"/>
    <n v="4.3"/>
    <x v="0"/>
    <x v="4"/>
    <x v="0"/>
    <x v="2"/>
  </r>
  <r>
    <s v="Call_7427"/>
    <x v="1"/>
    <n v="96"/>
    <x v="1"/>
    <x v="55"/>
    <n v="108"/>
    <n v="5"/>
    <x v="0"/>
    <x v="4"/>
    <x v="0"/>
    <x v="0"/>
  </r>
  <r>
    <s v="Call_7428"/>
    <x v="3"/>
    <n v="70"/>
    <x v="1"/>
    <x v="55"/>
    <n v="28"/>
    <n v="4.8"/>
    <x v="0"/>
    <x v="4"/>
    <x v="0"/>
    <x v="0"/>
  </r>
  <r>
    <s v="Call_7429"/>
    <x v="9"/>
    <n v="86"/>
    <x v="0"/>
    <x v="56"/>
    <n v="70"/>
    <n v="4.9000000000000004"/>
    <x v="0"/>
    <x v="5"/>
    <x v="0"/>
    <x v="0"/>
  </r>
  <r>
    <s v="Call_7430"/>
    <x v="2"/>
    <n v="64"/>
    <x v="0"/>
    <x v="56"/>
    <n v="172"/>
    <n v="4.0999999999999996"/>
    <x v="0"/>
    <x v="5"/>
    <x v="0"/>
    <x v="2"/>
  </r>
  <r>
    <s v="Call_7431"/>
    <x v="1"/>
    <n v="113"/>
    <x v="2"/>
    <x v="56"/>
    <n v="123"/>
    <n v="4.4000000000000004"/>
    <x v="0"/>
    <x v="5"/>
    <x v="0"/>
    <x v="2"/>
  </r>
  <r>
    <s v="Call_7432"/>
    <x v="1"/>
    <n v="21"/>
    <x v="1"/>
    <x v="56"/>
    <n v="93"/>
    <n v="3.4"/>
    <x v="0"/>
    <x v="5"/>
    <x v="3"/>
    <x v="1"/>
  </r>
  <r>
    <s v="Call_7433"/>
    <x v="12"/>
    <n v="107"/>
    <x v="0"/>
    <x v="56"/>
    <n v="66"/>
    <n v="4"/>
    <x v="0"/>
    <x v="5"/>
    <x v="0"/>
    <x v="2"/>
  </r>
  <r>
    <s v="Call_7434"/>
    <x v="12"/>
    <n v="131"/>
    <x v="1"/>
    <x v="56"/>
    <n v="39"/>
    <n v="2.4"/>
    <x v="0"/>
    <x v="5"/>
    <x v="1"/>
    <x v="3"/>
  </r>
  <r>
    <s v="Call_7435"/>
    <x v="0"/>
    <n v="11"/>
    <x v="4"/>
    <x v="56"/>
    <n v="25"/>
    <n v="2.1"/>
    <x v="0"/>
    <x v="5"/>
    <x v="3"/>
    <x v="3"/>
  </r>
  <r>
    <s v="Call_7436"/>
    <x v="13"/>
    <n v="86"/>
    <x v="2"/>
    <x v="56"/>
    <n v="68"/>
    <n v="3"/>
    <x v="0"/>
    <x v="5"/>
    <x v="0"/>
    <x v="1"/>
  </r>
  <r>
    <s v="Call_7437"/>
    <x v="2"/>
    <n v="28"/>
    <x v="4"/>
    <x v="56"/>
    <n v="84"/>
    <n v="3.2"/>
    <x v="0"/>
    <x v="5"/>
    <x v="3"/>
    <x v="1"/>
  </r>
  <r>
    <s v="Call_7438"/>
    <x v="4"/>
    <n v="139"/>
    <x v="1"/>
    <x v="57"/>
    <n v="88"/>
    <n v="3.4"/>
    <x v="0"/>
    <x v="6"/>
    <x v="1"/>
    <x v="1"/>
  </r>
  <r>
    <s v="Call_7439"/>
    <x v="10"/>
    <n v="82"/>
    <x v="2"/>
    <x v="57"/>
    <n v="93"/>
    <n v="2.7"/>
    <x v="0"/>
    <x v="6"/>
    <x v="0"/>
    <x v="1"/>
  </r>
  <r>
    <s v="Call_7440"/>
    <x v="1"/>
    <n v="101"/>
    <x v="4"/>
    <x v="57"/>
    <n v="128"/>
    <n v="5"/>
    <x v="0"/>
    <x v="6"/>
    <x v="0"/>
    <x v="0"/>
  </r>
  <r>
    <s v="Call_7441"/>
    <x v="2"/>
    <n v="75"/>
    <x v="3"/>
    <x v="57"/>
    <n v="40"/>
    <n v="3.4"/>
    <x v="0"/>
    <x v="6"/>
    <x v="0"/>
    <x v="1"/>
  </r>
  <r>
    <s v="Call_7442"/>
    <x v="6"/>
    <n v="40"/>
    <x v="4"/>
    <x v="58"/>
    <n v="92"/>
    <n v="4.7"/>
    <x v="0"/>
    <x v="0"/>
    <x v="2"/>
    <x v="0"/>
  </r>
  <r>
    <s v="Call_7443"/>
    <x v="8"/>
    <n v="86"/>
    <x v="1"/>
    <x v="58"/>
    <n v="27"/>
    <n v="4.5"/>
    <x v="0"/>
    <x v="0"/>
    <x v="0"/>
    <x v="0"/>
  </r>
  <r>
    <s v="Call_7444"/>
    <x v="5"/>
    <n v="131"/>
    <x v="0"/>
    <x v="58"/>
    <n v="140"/>
    <n v="4.0999999999999996"/>
    <x v="0"/>
    <x v="0"/>
    <x v="1"/>
    <x v="2"/>
  </r>
  <r>
    <s v="Call_7445"/>
    <x v="12"/>
    <n v="67"/>
    <x v="2"/>
    <x v="58"/>
    <n v="40"/>
    <n v="5"/>
    <x v="0"/>
    <x v="0"/>
    <x v="0"/>
    <x v="0"/>
  </r>
  <r>
    <s v="Call_7446"/>
    <x v="14"/>
    <n v="71"/>
    <x v="4"/>
    <x v="58"/>
    <n v="102"/>
    <n v="4.7"/>
    <x v="0"/>
    <x v="0"/>
    <x v="0"/>
    <x v="0"/>
  </r>
  <r>
    <s v="Call_7447"/>
    <x v="5"/>
    <n v="113"/>
    <x v="0"/>
    <x v="58"/>
    <n v="42"/>
    <n v="4.2"/>
    <x v="0"/>
    <x v="0"/>
    <x v="0"/>
    <x v="2"/>
  </r>
  <r>
    <s v="Call_7448"/>
    <x v="10"/>
    <n v="53"/>
    <x v="1"/>
    <x v="59"/>
    <n v="210"/>
    <n v="3.9"/>
    <x v="0"/>
    <x v="1"/>
    <x v="2"/>
    <x v="2"/>
  </r>
  <r>
    <s v="Call_7449"/>
    <x v="5"/>
    <n v="153"/>
    <x v="2"/>
    <x v="59"/>
    <n v="34"/>
    <n v="3"/>
    <x v="0"/>
    <x v="1"/>
    <x v="1"/>
    <x v="1"/>
  </r>
  <r>
    <s v="Call_7450"/>
    <x v="12"/>
    <n v="73"/>
    <x v="3"/>
    <x v="59"/>
    <n v="215"/>
    <n v="3.6"/>
    <x v="0"/>
    <x v="1"/>
    <x v="0"/>
    <x v="2"/>
  </r>
  <r>
    <s v="Call_7451"/>
    <x v="9"/>
    <n v="62"/>
    <x v="3"/>
    <x v="59"/>
    <n v="32"/>
    <n v="0.7"/>
    <x v="0"/>
    <x v="1"/>
    <x v="0"/>
    <x v="5"/>
  </r>
  <r>
    <s v="Call_7452"/>
    <x v="4"/>
    <n v="115"/>
    <x v="1"/>
    <x v="60"/>
    <n v="48"/>
    <n v="4.7"/>
    <x v="0"/>
    <x v="2"/>
    <x v="0"/>
    <x v="0"/>
  </r>
  <r>
    <s v="Call_7453"/>
    <x v="5"/>
    <n v="69"/>
    <x v="1"/>
    <x v="60"/>
    <n v="132"/>
    <n v="4.5"/>
    <x v="0"/>
    <x v="2"/>
    <x v="0"/>
    <x v="0"/>
  </r>
  <r>
    <s v="Call_7454"/>
    <x v="8"/>
    <n v="103"/>
    <x v="0"/>
    <x v="60"/>
    <n v="172"/>
    <n v="4.3"/>
    <x v="0"/>
    <x v="2"/>
    <x v="0"/>
    <x v="2"/>
  </r>
  <r>
    <s v="Call_7455"/>
    <x v="8"/>
    <n v="75"/>
    <x v="0"/>
    <x v="60"/>
    <n v="111"/>
    <n v="3.4"/>
    <x v="0"/>
    <x v="2"/>
    <x v="0"/>
    <x v="1"/>
  </r>
  <r>
    <s v="Call_7456"/>
    <x v="7"/>
    <n v="92"/>
    <x v="0"/>
    <x v="60"/>
    <n v="58"/>
    <n v="3.6"/>
    <x v="0"/>
    <x v="2"/>
    <x v="0"/>
    <x v="2"/>
  </r>
  <r>
    <s v="Call_7457"/>
    <x v="7"/>
    <n v="41"/>
    <x v="3"/>
    <x v="60"/>
    <n v="68"/>
    <n v="4"/>
    <x v="0"/>
    <x v="2"/>
    <x v="2"/>
    <x v="2"/>
  </r>
  <r>
    <s v="Call_7458"/>
    <x v="8"/>
    <n v="134"/>
    <x v="2"/>
    <x v="60"/>
    <n v="160"/>
    <n v="4.5"/>
    <x v="0"/>
    <x v="2"/>
    <x v="1"/>
    <x v="0"/>
  </r>
  <r>
    <s v="Call_7459"/>
    <x v="13"/>
    <n v="80"/>
    <x v="4"/>
    <x v="60"/>
    <n v="45"/>
    <n v="3"/>
    <x v="0"/>
    <x v="2"/>
    <x v="0"/>
    <x v="1"/>
  </r>
  <r>
    <s v="Call_7460"/>
    <x v="14"/>
    <n v="103"/>
    <x v="1"/>
    <x v="61"/>
    <n v="117"/>
    <n v="3"/>
    <x v="0"/>
    <x v="3"/>
    <x v="0"/>
    <x v="1"/>
  </r>
  <r>
    <s v="Call_7461"/>
    <x v="10"/>
    <n v="20"/>
    <x v="0"/>
    <x v="62"/>
    <n v="22"/>
    <n v="1.6"/>
    <x v="0"/>
    <x v="4"/>
    <x v="3"/>
    <x v="3"/>
  </r>
  <r>
    <s v="Call_7462"/>
    <x v="14"/>
    <n v="75"/>
    <x v="4"/>
    <x v="62"/>
    <n v="195"/>
    <n v="3"/>
    <x v="0"/>
    <x v="4"/>
    <x v="0"/>
    <x v="1"/>
  </r>
  <r>
    <s v="Call_7463"/>
    <x v="7"/>
    <n v="80"/>
    <x v="2"/>
    <x v="62"/>
    <n v="168"/>
    <n v="3.7"/>
    <x v="0"/>
    <x v="4"/>
    <x v="0"/>
    <x v="2"/>
  </r>
  <r>
    <s v="Call_7464"/>
    <x v="5"/>
    <n v="85"/>
    <x v="3"/>
    <x v="63"/>
    <n v="46"/>
    <n v="4.9000000000000004"/>
    <x v="0"/>
    <x v="5"/>
    <x v="0"/>
    <x v="0"/>
  </r>
  <r>
    <s v="Call_7465"/>
    <x v="1"/>
    <n v="155"/>
    <x v="0"/>
    <x v="63"/>
    <n v="164"/>
    <n v="3.4"/>
    <x v="0"/>
    <x v="5"/>
    <x v="1"/>
    <x v="1"/>
  </r>
  <r>
    <s v="Call_7466"/>
    <x v="5"/>
    <n v="63"/>
    <x v="3"/>
    <x v="63"/>
    <n v="48"/>
    <n v="5"/>
    <x v="0"/>
    <x v="5"/>
    <x v="0"/>
    <x v="0"/>
  </r>
  <r>
    <s v="Call_7467"/>
    <x v="2"/>
    <n v="105"/>
    <x v="1"/>
    <x v="63"/>
    <n v="96"/>
    <n v="5"/>
    <x v="0"/>
    <x v="5"/>
    <x v="0"/>
    <x v="0"/>
  </r>
  <r>
    <s v="Call_7468"/>
    <x v="5"/>
    <n v="71"/>
    <x v="3"/>
    <x v="63"/>
    <n v="105"/>
    <n v="4"/>
    <x v="0"/>
    <x v="5"/>
    <x v="0"/>
    <x v="2"/>
  </r>
  <r>
    <s v="Call_7469"/>
    <x v="1"/>
    <n v="100"/>
    <x v="3"/>
    <x v="64"/>
    <n v="44"/>
    <n v="3.6"/>
    <x v="0"/>
    <x v="6"/>
    <x v="0"/>
    <x v="2"/>
  </r>
  <r>
    <s v="Call_7470"/>
    <x v="0"/>
    <n v="93"/>
    <x v="2"/>
    <x v="64"/>
    <n v="132"/>
    <n v="3.7"/>
    <x v="0"/>
    <x v="6"/>
    <x v="0"/>
    <x v="2"/>
  </r>
  <r>
    <s v="Call_7471"/>
    <x v="2"/>
    <n v="84"/>
    <x v="0"/>
    <x v="64"/>
    <n v="54"/>
    <n v="4.2"/>
    <x v="0"/>
    <x v="6"/>
    <x v="0"/>
    <x v="2"/>
  </r>
  <r>
    <s v="Call_7472"/>
    <x v="13"/>
    <n v="56"/>
    <x v="4"/>
    <x v="64"/>
    <n v="129"/>
    <n v="2.1"/>
    <x v="0"/>
    <x v="6"/>
    <x v="2"/>
    <x v="3"/>
  </r>
  <r>
    <s v="Call_7473"/>
    <x v="13"/>
    <n v="63"/>
    <x v="3"/>
    <x v="64"/>
    <n v="42"/>
    <n v="4"/>
    <x v="0"/>
    <x v="6"/>
    <x v="0"/>
    <x v="2"/>
  </r>
  <r>
    <s v="Call_7474"/>
    <x v="9"/>
    <n v="83"/>
    <x v="3"/>
    <x v="64"/>
    <n v="42"/>
    <n v="4.2"/>
    <x v="0"/>
    <x v="6"/>
    <x v="0"/>
    <x v="2"/>
  </r>
  <r>
    <s v="Call_7475"/>
    <x v="7"/>
    <n v="134"/>
    <x v="0"/>
    <x v="64"/>
    <n v="180"/>
    <n v="3.1"/>
    <x v="0"/>
    <x v="6"/>
    <x v="1"/>
    <x v="1"/>
  </r>
  <r>
    <s v="Call_7476"/>
    <x v="4"/>
    <n v="73"/>
    <x v="3"/>
    <x v="65"/>
    <n v="34"/>
    <n v="4.8"/>
    <x v="0"/>
    <x v="0"/>
    <x v="0"/>
    <x v="0"/>
  </r>
  <r>
    <s v="Call_7477"/>
    <x v="14"/>
    <n v="6"/>
    <x v="4"/>
    <x v="65"/>
    <n v="29"/>
    <n v="4.7"/>
    <x v="0"/>
    <x v="0"/>
    <x v="4"/>
    <x v="0"/>
  </r>
  <r>
    <s v="Call_7478"/>
    <x v="12"/>
    <n v="46"/>
    <x v="1"/>
    <x v="65"/>
    <n v="165"/>
    <n v="3.3"/>
    <x v="0"/>
    <x v="0"/>
    <x v="2"/>
    <x v="1"/>
  </r>
  <r>
    <s v="Call_7479"/>
    <x v="14"/>
    <n v="121"/>
    <x v="3"/>
    <x v="66"/>
    <n v="32"/>
    <n v="3.7"/>
    <x v="0"/>
    <x v="1"/>
    <x v="1"/>
    <x v="2"/>
  </r>
  <r>
    <s v="Call_7480"/>
    <x v="13"/>
    <n v="61"/>
    <x v="2"/>
    <x v="66"/>
    <n v="160"/>
    <n v="4.9000000000000004"/>
    <x v="0"/>
    <x v="1"/>
    <x v="0"/>
    <x v="0"/>
  </r>
  <r>
    <s v="Call_7481"/>
    <x v="7"/>
    <n v="144"/>
    <x v="0"/>
    <x v="66"/>
    <n v="140"/>
    <n v="3.5"/>
    <x v="0"/>
    <x v="1"/>
    <x v="1"/>
    <x v="2"/>
  </r>
  <r>
    <s v="Call_7482"/>
    <x v="12"/>
    <n v="145"/>
    <x v="0"/>
    <x v="66"/>
    <n v="136"/>
    <n v="4.4000000000000004"/>
    <x v="0"/>
    <x v="1"/>
    <x v="1"/>
    <x v="2"/>
  </r>
  <r>
    <s v="Call_7483"/>
    <x v="2"/>
    <n v="85"/>
    <x v="4"/>
    <x v="66"/>
    <n v="66"/>
    <n v="2.8"/>
    <x v="0"/>
    <x v="1"/>
    <x v="0"/>
    <x v="1"/>
  </r>
  <r>
    <s v="Call_7484"/>
    <x v="12"/>
    <n v="13"/>
    <x v="2"/>
    <x v="67"/>
    <n v="63"/>
    <n v="4.0999999999999996"/>
    <x v="0"/>
    <x v="2"/>
    <x v="3"/>
    <x v="2"/>
  </r>
  <r>
    <s v="Call_7485"/>
    <x v="0"/>
    <n v="142"/>
    <x v="3"/>
    <x v="67"/>
    <n v="44"/>
    <n v="3.5"/>
    <x v="0"/>
    <x v="2"/>
    <x v="1"/>
    <x v="2"/>
  </r>
  <r>
    <s v="Call_7486"/>
    <x v="7"/>
    <n v="28"/>
    <x v="1"/>
    <x v="67"/>
    <n v="78"/>
    <n v="3.8"/>
    <x v="0"/>
    <x v="2"/>
    <x v="3"/>
    <x v="2"/>
  </r>
  <r>
    <s v="Call_7487"/>
    <x v="7"/>
    <n v="119"/>
    <x v="3"/>
    <x v="67"/>
    <n v="20"/>
    <n v="3.9"/>
    <x v="0"/>
    <x v="2"/>
    <x v="0"/>
    <x v="2"/>
  </r>
  <r>
    <s v="Call_7488"/>
    <x v="14"/>
    <n v="65"/>
    <x v="4"/>
    <x v="67"/>
    <n v="84"/>
    <n v="2.5"/>
    <x v="0"/>
    <x v="2"/>
    <x v="0"/>
    <x v="1"/>
  </r>
  <r>
    <s v="Call_7489"/>
    <x v="8"/>
    <n v="68"/>
    <x v="4"/>
    <x v="67"/>
    <n v="32"/>
    <n v="4.9000000000000004"/>
    <x v="0"/>
    <x v="2"/>
    <x v="0"/>
    <x v="0"/>
  </r>
  <r>
    <s v="Call_7490"/>
    <x v="9"/>
    <n v="72"/>
    <x v="1"/>
    <x v="67"/>
    <n v="132"/>
    <n v="3.4"/>
    <x v="0"/>
    <x v="2"/>
    <x v="0"/>
    <x v="1"/>
  </r>
  <r>
    <s v="Call_7491"/>
    <x v="9"/>
    <n v="63"/>
    <x v="0"/>
    <x v="67"/>
    <n v="105"/>
    <n v="3.3"/>
    <x v="0"/>
    <x v="2"/>
    <x v="0"/>
    <x v="1"/>
  </r>
  <r>
    <s v="Call_7492"/>
    <x v="1"/>
    <n v="139"/>
    <x v="3"/>
    <x v="68"/>
    <n v="48"/>
    <n v="4.7"/>
    <x v="0"/>
    <x v="3"/>
    <x v="1"/>
    <x v="0"/>
  </r>
  <r>
    <s v="Call_7493"/>
    <x v="7"/>
    <n v="59"/>
    <x v="3"/>
    <x v="68"/>
    <n v="64"/>
    <n v="4"/>
    <x v="0"/>
    <x v="3"/>
    <x v="2"/>
    <x v="2"/>
  </r>
  <r>
    <s v="Call_7494"/>
    <x v="10"/>
    <n v="138"/>
    <x v="0"/>
    <x v="68"/>
    <n v="44"/>
    <n v="3.8"/>
    <x v="0"/>
    <x v="3"/>
    <x v="1"/>
    <x v="2"/>
  </r>
  <r>
    <s v="Call_7495"/>
    <x v="1"/>
    <n v="47"/>
    <x v="1"/>
    <x v="68"/>
    <n v="120"/>
    <n v="3.1"/>
    <x v="0"/>
    <x v="3"/>
    <x v="2"/>
    <x v="1"/>
  </r>
  <r>
    <s v="Call_7496"/>
    <x v="10"/>
    <n v="74"/>
    <x v="1"/>
    <x v="68"/>
    <n v="144"/>
    <n v="4.8"/>
    <x v="0"/>
    <x v="3"/>
    <x v="0"/>
    <x v="0"/>
  </r>
  <r>
    <s v="Call_7497"/>
    <x v="9"/>
    <n v="65"/>
    <x v="1"/>
    <x v="68"/>
    <n v="87"/>
    <n v="2.7"/>
    <x v="0"/>
    <x v="3"/>
    <x v="0"/>
    <x v="1"/>
  </r>
  <r>
    <s v="Call_7498"/>
    <x v="4"/>
    <n v="123"/>
    <x v="4"/>
    <x v="68"/>
    <n v="36"/>
    <n v="3.6"/>
    <x v="0"/>
    <x v="3"/>
    <x v="1"/>
    <x v="2"/>
  </r>
  <r>
    <s v="Call_7499"/>
    <x v="9"/>
    <n v="90"/>
    <x v="3"/>
    <x v="69"/>
    <n v="72"/>
    <n v="4.7"/>
    <x v="0"/>
    <x v="4"/>
    <x v="0"/>
    <x v="0"/>
  </r>
  <r>
    <s v="Call_7500"/>
    <x v="13"/>
    <n v="127"/>
    <x v="0"/>
    <x v="69"/>
    <n v="150"/>
    <n v="4.4000000000000004"/>
    <x v="0"/>
    <x v="4"/>
    <x v="1"/>
    <x v="2"/>
  </r>
  <r>
    <s v="Call_7501"/>
    <x v="3"/>
    <n v="60"/>
    <x v="1"/>
    <x v="69"/>
    <n v="68"/>
    <n v="4.3"/>
    <x v="0"/>
    <x v="4"/>
    <x v="2"/>
    <x v="2"/>
  </r>
  <r>
    <s v="Call_7502"/>
    <x v="1"/>
    <n v="94"/>
    <x v="0"/>
    <x v="69"/>
    <n v="99"/>
    <n v="4.9000000000000004"/>
    <x v="0"/>
    <x v="4"/>
    <x v="0"/>
    <x v="0"/>
  </r>
  <r>
    <s v="Call_7503"/>
    <x v="4"/>
    <n v="54"/>
    <x v="1"/>
    <x v="69"/>
    <n v="26"/>
    <n v="4.8"/>
    <x v="0"/>
    <x v="4"/>
    <x v="2"/>
    <x v="0"/>
  </r>
  <r>
    <s v="Call_7504"/>
    <x v="9"/>
    <n v="104"/>
    <x v="1"/>
    <x v="69"/>
    <n v="88"/>
    <n v="3.2"/>
    <x v="0"/>
    <x v="4"/>
    <x v="0"/>
    <x v="1"/>
  </r>
  <r>
    <s v="Call_7505"/>
    <x v="5"/>
    <n v="100"/>
    <x v="1"/>
    <x v="69"/>
    <n v="124"/>
    <n v="3.4"/>
    <x v="0"/>
    <x v="4"/>
    <x v="0"/>
    <x v="1"/>
  </r>
  <r>
    <s v="Call_7506"/>
    <x v="10"/>
    <n v="84"/>
    <x v="1"/>
    <x v="69"/>
    <n v="72"/>
    <n v="3.5"/>
    <x v="0"/>
    <x v="4"/>
    <x v="0"/>
    <x v="2"/>
  </r>
  <r>
    <s v="Call_7507"/>
    <x v="0"/>
    <n v="92"/>
    <x v="2"/>
    <x v="70"/>
    <n v="125"/>
    <n v="4.9000000000000004"/>
    <x v="0"/>
    <x v="5"/>
    <x v="0"/>
    <x v="0"/>
  </r>
  <r>
    <s v="Call_7508"/>
    <x v="6"/>
    <n v="64"/>
    <x v="0"/>
    <x v="70"/>
    <n v="22"/>
    <n v="4.0999999999999996"/>
    <x v="0"/>
    <x v="5"/>
    <x v="0"/>
    <x v="2"/>
  </r>
  <r>
    <s v="Call_7509"/>
    <x v="2"/>
    <n v="89"/>
    <x v="3"/>
    <x v="71"/>
    <n v="70"/>
    <n v="4.9000000000000004"/>
    <x v="0"/>
    <x v="6"/>
    <x v="0"/>
    <x v="0"/>
  </r>
  <r>
    <s v="Call_7510"/>
    <x v="11"/>
    <n v="40"/>
    <x v="1"/>
    <x v="71"/>
    <n v="24"/>
    <n v="4.3"/>
    <x v="0"/>
    <x v="6"/>
    <x v="2"/>
    <x v="2"/>
  </r>
  <r>
    <s v="Call_7511"/>
    <x v="7"/>
    <n v="75"/>
    <x v="4"/>
    <x v="71"/>
    <n v="32"/>
    <n v="4.0999999999999996"/>
    <x v="0"/>
    <x v="6"/>
    <x v="0"/>
    <x v="2"/>
  </r>
  <r>
    <s v="Call_7512"/>
    <x v="13"/>
    <n v="106"/>
    <x v="2"/>
    <x v="71"/>
    <n v="112"/>
    <n v="4.4000000000000004"/>
    <x v="0"/>
    <x v="6"/>
    <x v="0"/>
    <x v="2"/>
  </r>
  <r>
    <s v="Call_7513"/>
    <x v="6"/>
    <n v="58"/>
    <x v="1"/>
    <x v="72"/>
    <n v="43"/>
    <n v="4.5"/>
    <x v="0"/>
    <x v="0"/>
    <x v="2"/>
    <x v="0"/>
  </r>
  <r>
    <s v="Call_7514"/>
    <x v="10"/>
    <n v="84"/>
    <x v="2"/>
    <x v="72"/>
    <n v="22"/>
    <n v="3.5"/>
    <x v="0"/>
    <x v="0"/>
    <x v="0"/>
    <x v="2"/>
  </r>
  <r>
    <s v="Call_7515"/>
    <x v="9"/>
    <n v="140"/>
    <x v="2"/>
    <x v="72"/>
    <n v="93"/>
    <n v="4.4000000000000004"/>
    <x v="0"/>
    <x v="0"/>
    <x v="1"/>
    <x v="2"/>
  </r>
  <r>
    <s v="Call_7516"/>
    <x v="6"/>
    <n v="67"/>
    <x v="2"/>
    <x v="72"/>
    <n v="45"/>
    <n v="3.5"/>
    <x v="0"/>
    <x v="0"/>
    <x v="0"/>
    <x v="2"/>
  </r>
  <r>
    <s v="Call_7517"/>
    <x v="1"/>
    <n v="126"/>
    <x v="2"/>
    <x v="73"/>
    <n v="96"/>
    <n v="3.8"/>
    <x v="0"/>
    <x v="1"/>
    <x v="1"/>
    <x v="2"/>
  </r>
  <r>
    <s v="Call_7518"/>
    <x v="1"/>
    <n v="89"/>
    <x v="1"/>
    <x v="73"/>
    <n v="96"/>
    <n v="3.3"/>
    <x v="0"/>
    <x v="1"/>
    <x v="0"/>
    <x v="1"/>
  </r>
  <r>
    <s v="Call_7519"/>
    <x v="2"/>
    <n v="56"/>
    <x v="0"/>
    <x v="73"/>
    <n v="31"/>
    <n v="4.4000000000000004"/>
    <x v="0"/>
    <x v="1"/>
    <x v="2"/>
    <x v="2"/>
  </r>
  <r>
    <s v="Call_7520"/>
    <x v="4"/>
    <n v="48"/>
    <x v="1"/>
    <x v="73"/>
    <n v="200"/>
    <n v="3.9"/>
    <x v="0"/>
    <x v="1"/>
    <x v="2"/>
    <x v="2"/>
  </r>
  <r>
    <s v="Call_7521"/>
    <x v="1"/>
    <n v="55"/>
    <x v="0"/>
    <x v="73"/>
    <n v="99"/>
    <n v="2.7"/>
    <x v="0"/>
    <x v="1"/>
    <x v="2"/>
    <x v="1"/>
  </r>
  <r>
    <s v="Call_7522"/>
    <x v="3"/>
    <n v="88"/>
    <x v="4"/>
    <x v="73"/>
    <n v="144"/>
    <n v="2.9"/>
    <x v="0"/>
    <x v="1"/>
    <x v="0"/>
    <x v="1"/>
  </r>
  <r>
    <s v="Call_7523"/>
    <x v="2"/>
    <n v="102"/>
    <x v="2"/>
    <x v="74"/>
    <n v="81"/>
    <n v="4"/>
    <x v="0"/>
    <x v="2"/>
    <x v="0"/>
    <x v="2"/>
  </r>
  <r>
    <s v="Call_7524"/>
    <x v="3"/>
    <n v="155"/>
    <x v="4"/>
    <x v="74"/>
    <n v="70"/>
    <n v="4.4000000000000004"/>
    <x v="0"/>
    <x v="2"/>
    <x v="1"/>
    <x v="2"/>
  </r>
  <r>
    <s v="Call_7525"/>
    <x v="1"/>
    <n v="63"/>
    <x v="4"/>
    <x v="74"/>
    <n v="148"/>
    <n v="5"/>
    <x v="0"/>
    <x v="2"/>
    <x v="0"/>
    <x v="0"/>
  </r>
  <r>
    <s v="Call_7526"/>
    <x v="5"/>
    <n v="59"/>
    <x v="2"/>
    <x v="74"/>
    <n v="215"/>
    <n v="4.0999999999999996"/>
    <x v="0"/>
    <x v="2"/>
    <x v="2"/>
    <x v="2"/>
  </r>
  <r>
    <s v="Call_7527"/>
    <x v="5"/>
    <n v="144"/>
    <x v="1"/>
    <x v="74"/>
    <n v="124"/>
    <n v="4.4000000000000004"/>
    <x v="0"/>
    <x v="2"/>
    <x v="1"/>
    <x v="2"/>
  </r>
  <r>
    <s v="Call_7528"/>
    <x v="10"/>
    <n v="113"/>
    <x v="3"/>
    <x v="74"/>
    <n v="168"/>
    <n v="4.0999999999999996"/>
    <x v="0"/>
    <x v="2"/>
    <x v="0"/>
    <x v="2"/>
  </r>
  <r>
    <s v="Call_7529"/>
    <x v="12"/>
    <n v="154"/>
    <x v="0"/>
    <x v="74"/>
    <n v="90"/>
    <n v="4.5"/>
    <x v="0"/>
    <x v="2"/>
    <x v="1"/>
    <x v="0"/>
  </r>
  <r>
    <s v="Call_7530"/>
    <x v="12"/>
    <n v="58"/>
    <x v="2"/>
    <x v="75"/>
    <n v="176"/>
    <n v="4.2"/>
    <x v="0"/>
    <x v="3"/>
    <x v="2"/>
    <x v="2"/>
  </r>
  <r>
    <s v="Call_7531"/>
    <x v="4"/>
    <n v="63"/>
    <x v="4"/>
    <x v="75"/>
    <n v="87"/>
    <n v="4.5999999999999996"/>
    <x v="0"/>
    <x v="3"/>
    <x v="0"/>
    <x v="0"/>
  </r>
  <r>
    <s v="Call_7532"/>
    <x v="9"/>
    <n v="59"/>
    <x v="1"/>
    <x v="75"/>
    <n v="128"/>
    <n v="4.5"/>
    <x v="0"/>
    <x v="3"/>
    <x v="2"/>
    <x v="0"/>
  </r>
  <r>
    <s v="Call_7533"/>
    <x v="14"/>
    <n v="129"/>
    <x v="4"/>
    <x v="75"/>
    <n v="120"/>
    <n v="4.0999999999999996"/>
    <x v="0"/>
    <x v="3"/>
    <x v="1"/>
    <x v="2"/>
  </r>
  <r>
    <s v="Call_7534"/>
    <x v="8"/>
    <n v="101"/>
    <x v="3"/>
    <x v="75"/>
    <n v="130"/>
    <n v="4.8"/>
    <x v="0"/>
    <x v="3"/>
    <x v="0"/>
    <x v="0"/>
  </r>
  <r>
    <s v="Call_7535"/>
    <x v="11"/>
    <n v="154"/>
    <x v="1"/>
    <x v="75"/>
    <n v="172"/>
    <n v="3.1"/>
    <x v="0"/>
    <x v="3"/>
    <x v="1"/>
    <x v="1"/>
  </r>
  <r>
    <s v="Call_7536"/>
    <x v="6"/>
    <n v="131"/>
    <x v="1"/>
    <x v="75"/>
    <n v="58"/>
    <n v="4.9000000000000004"/>
    <x v="0"/>
    <x v="3"/>
    <x v="1"/>
    <x v="0"/>
  </r>
  <r>
    <s v="Call_7537"/>
    <x v="5"/>
    <n v="111"/>
    <x v="3"/>
    <x v="76"/>
    <n v="86"/>
    <n v="4.0999999999999996"/>
    <x v="0"/>
    <x v="4"/>
    <x v="0"/>
    <x v="2"/>
  </r>
  <r>
    <s v="Call_7538"/>
    <x v="12"/>
    <n v="142"/>
    <x v="3"/>
    <x v="77"/>
    <n v="31"/>
    <n v="4.4000000000000004"/>
    <x v="0"/>
    <x v="5"/>
    <x v="1"/>
    <x v="2"/>
  </r>
  <r>
    <s v="Call_7539"/>
    <x v="2"/>
    <n v="93"/>
    <x v="4"/>
    <x v="77"/>
    <n v="72"/>
    <n v="4.4000000000000004"/>
    <x v="0"/>
    <x v="5"/>
    <x v="0"/>
    <x v="2"/>
  </r>
  <r>
    <s v="Call_7540"/>
    <x v="12"/>
    <n v="125"/>
    <x v="0"/>
    <x v="78"/>
    <n v="27"/>
    <n v="3"/>
    <x v="0"/>
    <x v="6"/>
    <x v="1"/>
    <x v="1"/>
  </r>
  <r>
    <s v="Call_7541"/>
    <x v="14"/>
    <n v="76"/>
    <x v="1"/>
    <x v="78"/>
    <n v="110"/>
    <n v="4.4000000000000004"/>
    <x v="0"/>
    <x v="6"/>
    <x v="0"/>
    <x v="2"/>
  </r>
  <r>
    <s v="Call_7542"/>
    <x v="10"/>
    <n v="69"/>
    <x v="4"/>
    <x v="78"/>
    <n v="126"/>
    <n v="3.7"/>
    <x v="0"/>
    <x v="6"/>
    <x v="0"/>
    <x v="2"/>
  </r>
  <r>
    <s v="Call_7543"/>
    <x v="9"/>
    <n v="149"/>
    <x v="0"/>
    <x v="78"/>
    <n v="60"/>
    <n v="3.9"/>
    <x v="0"/>
    <x v="6"/>
    <x v="1"/>
    <x v="2"/>
  </r>
  <r>
    <s v="Call_7544"/>
    <x v="12"/>
    <n v="57"/>
    <x v="4"/>
    <x v="78"/>
    <n v="35"/>
    <n v="3.5"/>
    <x v="0"/>
    <x v="6"/>
    <x v="2"/>
    <x v="2"/>
  </r>
  <r>
    <s v="Call_7545"/>
    <x v="1"/>
    <n v="113"/>
    <x v="1"/>
    <x v="78"/>
    <n v="81"/>
    <n v="3.5"/>
    <x v="0"/>
    <x v="6"/>
    <x v="0"/>
    <x v="2"/>
  </r>
  <r>
    <s v="Call_7546"/>
    <x v="0"/>
    <n v="160"/>
    <x v="0"/>
    <x v="78"/>
    <n v="116"/>
    <n v="3.4"/>
    <x v="0"/>
    <x v="6"/>
    <x v="1"/>
    <x v="1"/>
  </r>
  <r>
    <s v="Call_7547"/>
    <x v="4"/>
    <n v="158"/>
    <x v="2"/>
    <x v="78"/>
    <n v="60"/>
    <n v="4.5"/>
    <x v="0"/>
    <x v="6"/>
    <x v="1"/>
    <x v="0"/>
  </r>
  <r>
    <s v="Call_7548"/>
    <x v="10"/>
    <n v="77"/>
    <x v="0"/>
    <x v="79"/>
    <n v="130"/>
    <n v="4.2"/>
    <x v="0"/>
    <x v="0"/>
    <x v="0"/>
    <x v="2"/>
  </r>
  <r>
    <s v="Call_7549"/>
    <x v="7"/>
    <n v="118"/>
    <x v="3"/>
    <x v="79"/>
    <n v="99"/>
    <n v="5"/>
    <x v="0"/>
    <x v="0"/>
    <x v="0"/>
    <x v="0"/>
  </r>
  <r>
    <s v="Call_7550"/>
    <x v="11"/>
    <n v="75"/>
    <x v="1"/>
    <x v="79"/>
    <n v="135"/>
    <n v="4.7"/>
    <x v="0"/>
    <x v="0"/>
    <x v="0"/>
    <x v="0"/>
  </r>
  <r>
    <s v="Call_7551"/>
    <x v="1"/>
    <n v="103"/>
    <x v="0"/>
    <x v="79"/>
    <n v="42"/>
    <n v="2.8"/>
    <x v="0"/>
    <x v="0"/>
    <x v="0"/>
    <x v="1"/>
  </r>
  <r>
    <s v="Call_7552"/>
    <x v="10"/>
    <n v="116"/>
    <x v="3"/>
    <x v="80"/>
    <n v="63"/>
    <n v="3.4"/>
    <x v="0"/>
    <x v="1"/>
    <x v="0"/>
    <x v="1"/>
  </r>
  <r>
    <s v="Call_7553"/>
    <x v="5"/>
    <n v="61"/>
    <x v="2"/>
    <x v="80"/>
    <n v="140"/>
    <n v="1.8"/>
    <x v="0"/>
    <x v="1"/>
    <x v="0"/>
    <x v="3"/>
  </r>
  <r>
    <s v="Call_7554"/>
    <x v="12"/>
    <n v="126"/>
    <x v="1"/>
    <x v="80"/>
    <n v="128"/>
    <n v="4.2"/>
    <x v="0"/>
    <x v="1"/>
    <x v="1"/>
    <x v="2"/>
  </r>
  <r>
    <s v="Call_7555"/>
    <x v="8"/>
    <n v="141"/>
    <x v="4"/>
    <x v="80"/>
    <n v="80"/>
    <n v="4.4000000000000004"/>
    <x v="0"/>
    <x v="1"/>
    <x v="1"/>
    <x v="2"/>
  </r>
  <r>
    <s v="Call_7556"/>
    <x v="4"/>
    <n v="95"/>
    <x v="3"/>
    <x v="80"/>
    <n v="28"/>
    <n v="2.7"/>
    <x v="0"/>
    <x v="1"/>
    <x v="0"/>
    <x v="1"/>
  </r>
  <r>
    <s v="Call_7557"/>
    <x v="11"/>
    <n v="39"/>
    <x v="2"/>
    <x v="81"/>
    <n v="81"/>
    <n v="5"/>
    <x v="0"/>
    <x v="2"/>
    <x v="2"/>
    <x v="0"/>
  </r>
  <r>
    <s v="Call_7558"/>
    <x v="1"/>
    <n v="127"/>
    <x v="1"/>
    <x v="81"/>
    <n v="99"/>
    <n v="3.9"/>
    <x v="0"/>
    <x v="2"/>
    <x v="1"/>
    <x v="2"/>
  </r>
  <r>
    <s v="Call_7559"/>
    <x v="5"/>
    <n v="78"/>
    <x v="1"/>
    <x v="81"/>
    <n v="43"/>
    <n v="3.8"/>
    <x v="0"/>
    <x v="2"/>
    <x v="0"/>
    <x v="2"/>
  </r>
  <r>
    <s v="Call_7560"/>
    <x v="7"/>
    <n v="40"/>
    <x v="1"/>
    <x v="81"/>
    <n v="34"/>
    <n v="4.5999999999999996"/>
    <x v="0"/>
    <x v="2"/>
    <x v="2"/>
    <x v="0"/>
  </r>
  <r>
    <s v="Call_7561"/>
    <x v="5"/>
    <n v="56"/>
    <x v="2"/>
    <x v="81"/>
    <n v="225"/>
    <n v="4.5999999999999996"/>
    <x v="0"/>
    <x v="2"/>
    <x v="2"/>
    <x v="0"/>
  </r>
  <r>
    <s v="Call_7562"/>
    <x v="11"/>
    <n v="59"/>
    <x v="4"/>
    <x v="81"/>
    <n v="210"/>
    <n v="4.5"/>
    <x v="0"/>
    <x v="2"/>
    <x v="2"/>
    <x v="0"/>
  </r>
  <r>
    <s v="Call_7563"/>
    <x v="12"/>
    <n v="30"/>
    <x v="1"/>
    <x v="81"/>
    <n v="168"/>
    <n v="4.2"/>
    <x v="0"/>
    <x v="2"/>
    <x v="3"/>
    <x v="2"/>
  </r>
  <r>
    <s v="Call_7564"/>
    <x v="7"/>
    <n v="63"/>
    <x v="0"/>
    <x v="82"/>
    <n v="82"/>
    <n v="4.5"/>
    <x v="0"/>
    <x v="3"/>
    <x v="0"/>
    <x v="0"/>
  </r>
  <r>
    <s v="Call_7565"/>
    <x v="2"/>
    <n v="56"/>
    <x v="3"/>
    <x v="82"/>
    <n v="88"/>
    <n v="4.0999999999999996"/>
    <x v="0"/>
    <x v="3"/>
    <x v="2"/>
    <x v="2"/>
  </r>
  <r>
    <s v="Call_7566"/>
    <x v="14"/>
    <n v="95"/>
    <x v="0"/>
    <x v="82"/>
    <n v="111"/>
    <n v="3.3"/>
    <x v="0"/>
    <x v="3"/>
    <x v="0"/>
    <x v="1"/>
  </r>
  <r>
    <s v="Call_7567"/>
    <x v="13"/>
    <n v="128"/>
    <x v="4"/>
    <x v="82"/>
    <n v="60"/>
    <n v="3.8"/>
    <x v="0"/>
    <x v="3"/>
    <x v="1"/>
    <x v="2"/>
  </r>
  <r>
    <s v="Call_7568"/>
    <x v="4"/>
    <n v="49"/>
    <x v="0"/>
    <x v="82"/>
    <n v="80"/>
    <n v="3"/>
    <x v="0"/>
    <x v="3"/>
    <x v="2"/>
    <x v="1"/>
  </r>
  <r>
    <s v="Call_7569"/>
    <x v="13"/>
    <n v="89"/>
    <x v="2"/>
    <x v="83"/>
    <n v="90"/>
    <n v="4.5999999999999996"/>
    <x v="0"/>
    <x v="5"/>
    <x v="0"/>
    <x v="0"/>
  </r>
  <r>
    <s v="Call_7570"/>
    <x v="9"/>
    <n v="87"/>
    <x v="0"/>
    <x v="83"/>
    <n v="225"/>
    <n v="2.9"/>
    <x v="0"/>
    <x v="5"/>
    <x v="0"/>
    <x v="1"/>
  </r>
  <r>
    <s v="Call_7571"/>
    <x v="0"/>
    <n v="60"/>
    <x v="1"/>
    <x v="84"/>
    <n v="215"/>
    <n v="3.2"/>
    <x v="0"/>
    <x v="6"/>
    <x v="2"/>
    <x v="1"/>
  </r>
  <r>
    <s v="Call_7572"/>
    <x v="3"/>
    <n v="42"/>
    <x v="2"/>
    <x v="84"/>
    <n v="45"/>
    <n v="1.5"/>
    <x v="0"/>
    <x v="6"/>
    <x v="2"/>
    <x v="3"/>
  </r>
  <r>
    <s v="Call_7573"/>
    <x v="6"/>
    <n v="99"/>
    <x v="1"/>
    <x v="84"/>
    <n v="74"/>
    <n v="4"/>
    <x v="0"/>
    <x v="6"/>
    <x v="0"/>
    <x v="2"/>
  </r>
  <r>
    <s v="Call_7574"/>
    <x v="2"/>
    <n v="20"/>
    <x v="2"/>
    <x v="84"/>
    <n v="60"/>
    <n v="3.6"/>
    <x v="0"/>
    <x v="6"/>
    <x v="3"/>
    <x v="2"/>
  </r>
  <r>
    <s v="Call_7575"/>
    <x v="7"/>
    <n v="65"/>
    <x v="1"/>
    <x v="84"/>
    <n v="64"/>
    <n v="3.7"/>
    <x v="0"/>
    <x v="6"/>
    <x v="0"/>
    <x v="2"/>
  </r>
  <r>
    <s v="Call_7576"/>
    <x v="12"/>
    <n v="71"/>
    <x v="0"/>
    <x v="85"/>
    <n v="110"/>
    <n v="4.8"/>
    <x v="0"/>
    <x v="0"/>
    <x v="0"/>
    <x v="0"/>
  </r>
  <r>
    <s v="Call_7577"/>
    <x v="1"/>
    <n v="95"/>
    <x v="4"/>
    <x v="85"/>
    <n v="52"/>
    <n v="1.2"/>
    <x v="0"/>
    <x v="0"/>
    <x v="0"/>
    <x v="5"/>
  </r>
  <r>
    <s v="Call_7578"/>
    <x v="2"/>
    <n v="81"/>
    <x v="3"/>
    <x v="86"/>
    <n v="160"/>
    <n v="4.7"/>
    <x v="0"/>
    <x v="1"/>
    <x v="0"/>
    <x v="0"/>
  </r>
  <r>
    <s v="Call_7579"/>
    <x v="10"/>
    <n v="137"/>
    <x v="3"/>
    <x v="86"/>
    <n v="215"/>
    <n v="4.7"/>
    <x v="0"/>
    <x v="1"/>
    <x v="1"/>
    <x v="0"/>
  </r>
  <r>
    <s v="Call_7580"/>
    <x v="10"/>
    <n v="40"/>
    <x v="4"/>
    <x v="86"/>
    <n v="220"/>
    <n v="4.5"/>
    <x v="0"/>
    <x v="1"/>
    <x v="2"/>
    <x v="0"/>
  </r>
  <r>
    <s v="Call_7581"/>
    <x v="6"/>
    <n v="111"/>
    <x v="1"/>
    <x v="87"/>
    <n v="175"/>
    <n v="3.5"/>
    <x v="0"/>
    <x v="2"/>
    <x v="0"/>
    <x v="2"/>
  </r>
  <r>
    <s v="Call_7582"/>
    <x v="12"/>
    <n v="106"/>
    <x v="1"/>
    <x v="87"/>
    <n v="145"/>
    <n v="4.0999999999999996"/>
    <x v="0"/>
    <x v="2"/>
    <x v="0"/>
    <x v="2"/>
  </r>
  <r>
    <s v="Call_7583"/>
    <x v="3"/>
    <n v="133"/>
    <x v="2"/>
    <x v="87"/>
    <n v="72"/>
    <n v="4.4000000000000004"/>
    <x v="0"/>
    <x v="2"/>
    <x v="1"/>
    <x v="2"/>
  </r>
  <r>
    <s v="Call_7584"/>
    <x v="5"/>
    <n v="38"/>
    <x v="1"/>
    <x v="88"/>
    <n v="81"/>
    <n v="3.6"/>
    <x v="0"/>
    <x v="3"/>
    <x v="2"/>
    <x v="2"/>
  </r>
  <r>
    <s v="Call_7585"/>
    <x v="11"/>
    <n v="130"/>
    <x v="4"/>
    <x v="88"/>
    <n v="54"/>
    <n v="4.0999999999999996"/>
    <x v="0"/>
    <x v="3"/>
    <x v="1"/>
    <x v="2"/>
  </r>
  <r>
    <s v="Call_7586"/>
    <x v="7"/>
    <n v="23"/>
    <x v="2"/>
    <x v="88"/>
    <n v="105"/>
    <n v="4.8"/>
    <x v="0"/>
    <x v="3"/>
    <x v="3"/>
    <x v="0"/>
  </r>
  <r>
    <s v="Call_7587"/>
    <x v="11"/>
    <n v="124"/>
    <x v="1"/>
    <x v="89"/>
    <n v="176"/>
    <n v="3.9"/>
    <x v="0"/>
    <x v="4"/>
    <x v="1"/>
    <x v="2"/>
  </r>
  <r>
    <s v="Call_7588"/>
    <x v="2"/>
    <n v="107"/>
    <x v="1"/>
    <x v="89"/>
    <n v="115"/>
    <n v="3.8"/>
    <x v="0"/>
    <x v="4"/>
    <x v="0"/>
    <x v="2"/>
  </r>
  <r>
    <s v="Call_7589"/>
    <x v="10"/>
    <n v="60"/>
    <x v="0"/>
    <x v="89"/>
    <n v="116"/>
    <n v="3.9"/>
    <x v="0"/>
    <x v="4"/>
    <x v="2"/>
    <x v="2"/>
  </r>
  <r>
    <s v="Call_7590"/>
    <x v="10"/>
    <n v="158"/>
    <x v="4"/>
    <x v="89"/>
    <n v="100"/>
    <n v="4.0999999999999996"/>
    <x v="0"/>
    <x v="4"/>
    <x v="1"/>
    <x v="2"/>
  </r>
  <r>
    <s v="Call_7591"/>
    <x v="9"/>
    <n v="110"/>
    <x v="4"/>
    <x v="90"/>
    <n v="36"/>
    <n v="2.2000000000000002"/>
    <x v="0"/>
    <x v="5"/>
    <x v="0"/>
    <x v="3"/>
  </r>
  <r>
    <s v="Call_7592"/>
    <x v="13"/>
    <n v="70"/>
    <x v="4"/>
    <x v="90"/>
    <n v="114"/>
    <n v="5"/>
    <x v="0"/>
    <x v="5"/>
    <x v="0"/>
    <x v="0"/>
  </r>
  <r>
    <s v="Call_7593"/>
    <x v="13"/>
    <n v="150"/>
    <x v="0"/>
    <x v="90"/>
    <n v="24"/>
    <n v="3.8"/>
    <x v="0"/>
    <x v="5"/>
    <x v="1"/>
    <x v="2"/>
  </r>
  <r>
    <s v="Call_7594"/>
    <x v="5"/>
    <n v="36"/>
    <x v="1"/>
    <x v="90"/>
    <n v="135"/>
    <n v="4.5999999999999996"/>
    <x v="0"/>
    <x v="5"/>
    <x v="2"/>
    <x v="0"/>
  </r>
  <r>
    <s v="Call_7595"/>
    <x v="11"/>
    <n v="74"/>
    <x v="1"/>
    <x v="90"/>
    <n v="30"/>
    <n v="4"/>
    <x v="0"/>
    <x v="5"/>
    <x v="0"/>
    <x v="2"/>
  </r>
  <r>
    <s v="Call_7596"/>
    <x v="1"/>
    <n v="75"/>
    <x v="1"/>
    <x v="90"/>
    <n v="84"/>
    <n v="2.8"/>
    <x v="0"/>
    <x v="5"/>
    <x v="0"/>
    <x v="1"/>
  </r>
  <r>
    <s v="Call_7597"/>
    <x v="14"/>
    <n v="70"/>
    <x v="3"/>
    <x v="90"/>
    <n v="42"/>
    <n v="4.4000000000000004"/>
    <x v="0"/>
    <x v="5"/>
    <x v="0"/>
    <x v="2"/>
  </r>
  <r>
    <s v="Call_7598"/>
    <x v="9"/>
    <n v="23"/>
    <x v="4"/>
    <x v="90"/>
    <n v="117"/>
    <n v="2.4"/>
    <x v="0"/>
    <x v="5"/>
    <x v="3"/>
    <x v="3"/>
  </r>
  <r>
    <s v="Call_7599"/>
    <x v="6"/>
    <n v="104"/>
    <x v="2"/>
    <x v="90"/>
    <n v="164"/>
    <n v="4"/>
    <x v="0"/>
    <x v="5"/>
    <x v="0"/>
    <x v="2"/>
  </r>
  <r>
    <s v="Call_7600"/>
    <x v="13"/>
    <n v="95"/>
    <x v="3"/>
    <x v="91"/>
    <n v="123"/>
    <n v="4.4000000000000004"/>
    <x v="0"/>
    <x v="6"/>
    <x v="0"/>
    <x v="2"/>
  </r>
  <r>
    <s v="Call_7601"/>
    <x v="4"/>
    <n v="49"/>
    <x v="0"/>
    <x v="91"/>
    <n v="172"/>
    <n v="2.9"/>
    <x v="0"/>
    <x v="6"/>
    <x v="2"/>
    <x v="1"/>
  </r>
  <r>
    <s v="Call_7602"/>
    <x v="12"/>
    <n v="8"/>
    <x v="4"/>
    <x v="91"/>
    <n v="20"/>
    <n v="4.8"/>
    <x v="0"/>
    <x v="6"/>
    <x v="4"/>
    <x v="0"/>
  </r>
  <r>
    <s v="Call_7603"/>
    <x v="13"/>
    <n v="157"/>
    <x v="0"/>
    <x v="91"/>
    <n v="72"/>
    <n v="3.7"/>
    <x v="0"/>
    <x v="6"/>
    <x v="1"/>
    <x v="2"/>
  </r>
  <r>
    <s v="Call_7604"/>
    <x v="2"/>
    <n v="74"/>
    <x v="1"/>
    <x v="91"/>
    <n v="32"/>
    <n v="4.8"/>
    <x v="0"/>
    <x v="6"/>
    <x v="0"/>
    <x v="0"/>
  </r>
  <r>
    <s v="Call_7605"/>
    <x v="9"/>
    <n v="72"/>
    <x v="3"/>
    <x v="91"/>
    <n v="140"/>
    <n v="3.2"/>
    <x v="0"/>
    <x v="6"/>
    <x v="0"/>
    <x v="1"/>
  </r>
  <r>
    <s v="Call_7606"/>
    <x v="2"/>
    <n v="79"/>
    <x v="1"/>
    <x v="92"/>
    <n v="120"/>
    <n v="4.9000000000000004"/>
    <x v="0"/>
    <x v="0"/>
    <x v="0"/>
    <x v="0"/>
  </r>
  <r>
    <s v="Call_7607"/>
    <x v="11"/>
    <n v="23"/>
    <x v="1"/>
    <x v="92"/>
    <n v="86"/>
    <n v="2.2000000000000002"/>
    <x v="0"/>
    <x v="0"/>
    <x v="3"/>
    <x v="3"/>
  </r>
  <r>
    <s v="Call_7608"/>
    <x v="1"/>
    <n v="69"/>
    <x v="1"/>
    <x v="92"/>
    <n v="132"/>
    <n v="5"/>
    <x v="0"/>
    <x v="0"/>
    <x v="0"/>
    <x v="0"/>
  </r>
  <r>
    <s v="Call_7609"/>
    <x v="10"/>
    <n v="64"/>
    <x v="1"/>
    <x v="92"/>
    <n v="80"/>
    <n v="3.3"/>
    <x v="0"/>
    <x v="0"/>
    <x v="0"/>
    <x v="1"/>
  </r>
  <r>
    <s v="Call_7610"/>
    <x v="8"/>
    <n v="47"/>
    <x v="0"/>
    <x v="92"/>
    <n v="132"/>
    <n v="3.7"/>
    <x v="0"/>
    <x v="0"/>
    <x v="2"/>
    <x v="2"/>
  </r>
  <r>
    <s v="Call_7611"/>
    <x v="2"/>
    <n v="55"/>
    <x v="3"/>
    <x v="92"/>
    <n v="27"/>
    <n v="3.7"/>
    <x v="0"/>
    <x v="0"/>
    <x v="2"/>
    <x v="2"/>
  </r>
  <r>
    <s v="Call_7612"/>
    <x v="6"/>
    <n v="104"/>
    <x v="3"/>
    <x v="93"/>
    <n v="68"/>
    <n v="3.6"/>
    <x v="0"/>
    <x v="1"/>
    <x v="0"/>
    <x v="2"/>
  </r>
  <r>
    <s v="Call_7613"/>
    <x v="8"/>
    <n v="116"/>
    <x v="1"/>
    <x v="93"/>
    <n v="22"/>
    <n v="4.7"/>
    <x v="0"/>
    <x v="1"/>
    <x v="0"/>
    <x v="0"/>
  </r>
  <r>
    <s v="Call_7614"/>
    <x v="11"/>
    <n v="99"/>
    <x v="3"/>
    <x v="93"/>
    <n v="42"/>
    <n v="3.1"/>
    <x v="0"/>
    <x v="1"/>
    <x v="0"/>
    <x v="1"/>
  </r>
  <r>
    <s v="Call_7615"/>
    <x v="6"/>
    <n v="84"/>
    <x v="3"/>
    <x v="94"/>
    <n v="38"/>
    <n v="3.3"/>
    <x v="0"/>
    <x v="2"/>
    <x v="0"/>
    <x v="1"/>
  </r>
  <r>
    <s v="Call_7616"/>
    <x v="12"/>
    <n v="159"/>
    <x v="3"/>
    <x v="94"/>
    <n v="42"/>
    <n v="4.5"/>
    <x v="0"/>
    <x v="2"/>
    <x v="1"/>
    <x v="0"/>
  </r>
  <r>
    <s v="Call_7617"/>
    <x v="5"/>
    <n v="25"/>
    <x v="0"/>
    <x v="94"/>
    <n v="75"/>
    <n v="3.9"/>
    <x v="0"/>
    <x v="2"/>
    <x v="3"/>
    <x v="2"/>
  </r>
  <r>
    <s v="Call_7618"/>
    <x v="12"/>
    <n v="53"/>
    <x v="4"/>
    <x v="95"/>
    <n v="23"/>
    <n v="4.9000000000000004"/>
    <x v="0"/>
    <x v="3"/>
    <x v="2"/>
    <x v="0"/>
  </r>
  <r>
    <s v="Call_7619"/>
    <x v="12"/>
    <n v="89"/>
    <x v="0"/>
    <x v="95"/>
    <n v="200"/>
    <n v="4.8"/>
    <x v="0"/>
    <x v="3"/>
    <x v="0"/>
    <x v="0"/>
  </r>
  <r>
    <s v="Call_7620"/>
    <x v="3"/>
    <n v="73"/>
    <x v="1"/>
    <x v="96"/>
    <n v="45"/>
    <n v="3.6"/>
    <x v="0"/>
    <x v="4"/>
    <x v="0"/>
    <x v="2"/>
  </r>
  <r>
    <s v="Call_7621"/>
    <x v="11"/>
    <n v="50"/>
    <x v="1"/>
    <x v="96"/>
    <n v="105"/>
    <n v="3.5"/>
    <x v="0"/>
    <x v="4"/>
    <x v="2"/>
    <x v="2"/>
  </r>
  <r>
    <s v="Call_7622"/>
    <x v="4"/>
    <n v="98"/>
    <x v="1"/>
    <x v="96"/>
    <n v="22"/>
    <n v="3.8"/>
    <x v="0"/>
    <x v="4"/>
    <x v="0"/>
    <x v="2"/>
  </r>
  <r>
    <s v="Call_7623"/>
    <x v="7"/>
    <n v="114"/>
    <x v="3"/>
    <x v="97"/>
    <n v="126"/>
    <n v="4.4000000000000004"/>
    <x v="0"/>
    <x v="5"/>
    <x v="0"/>
    <x v="2"/>
  </r>
  <r>
    <s v="Call_7624"/>
    <x v="10"/>
    <n v="67"/>
    <x v="3"/>
    <x v="97"/>
    <n v="35"/>
    <n v="3"/>
    <x v="0"/>
    <x v="5"/>
    <x v="0"/>
    <x v="1"/>
  </r>
  <r>
    <s v="Call_7625"/>
    <x v="2"/>
    <n v="91"/>
    <x v="1"/>
    <x v="97"/>
    <n v="84"/>
    <n v="4.5"/>
    <x v="0"/>
    <x v="5"/>
    <x v="0"/>
    <x v="0"/>
  </r>
  <r>
    <s v="Call_7626"/>
    <x v="14"/>
    <n v="67"/>
    <x v="1"/>
    <x v="98"/>
    <n v="172"/>
    <n v="4.5"/>
    <x v="0"/>
    <x v="6"/>
    <x v="0"/>
    <x v="0"/>
  </r>
  <r>
    <s v="Call_7627"/>
    <x v="7"/>
    <n v="139"/>
    <x v="0"/>
    <x v="98"/>
    <n v="114"/>
    <n v="4"/>
    <x v="0"/>
    <x v="6"/>
    <x v="1"/>
    <x v="2"/>
  </r>
  <r>
    <s v="Call_7628"/>
    <x v="14"/>
    <n v="102"/>
    <x v="0"/>
    <x v="98"/>
    <n v="60"/>
    <n v="3.8"/>
    <x v="0"/>
    <x v="6"/>
    <x v="0"/>
    <x v="2"/>
  </r>
  <r>
    <s v="Call_7629"/>
    <x v="13"/>
    <n v="108"/>
    <x v="2"/>
    <x v="98"/>
    <n v="26"/>
    <n v="3.3"/>
    <x v="0"/>
    <x v="6"/>
    <x v="0"/>
    <x v="1"/>
  </r>
  <r>
    <s v="Call_7630"/>
    <x v="5"/>
    <n v="66"/>
    <x v="1"/>
    <x v="98"/>
    <n v="210"/>
    <n v="4.3"/>
    <x v="0"/>
    <x v="6"/>
    <x v="0"/>
    <x v="2"/>
  </r>
  <r>
    <s v="Call_7631"/>
    <x v="9"/>
    <n v="85"/>
    <x v="0"/>
    <x v="98"/>
    <n v="129"/>
    <n v="4.2"/>
    <x v="0"/>
    <x v="6"/>
    <x v="0"/>
    <x v="2"/>
  </r>
  <r>
    <s v="Call_7632"/>
    <x v="10"/>
    <n v="55"/>
    <x v="2"/>
    <x v="98"/>
    <n v="215"/>
    <n v="4.3"/>
    <x v="0"/>
    <x v="6"/>
    <x v="2"/>
    <x v="2"/>
  </r>
  <r>
    <s v="Call_7633"/>
    <x v="13"/>
    <n v="17"/>
    <x v="4"/>
    <x v="98"/>
    <n v="69"/>
    <n v="4.5999999999999996"/>
    <x v="0"/>
    <x v="6"/>
    <x v="3"/>
    <x v="0"/>
  </r>
  <r>
    <s v="Call_7634"/>
    <x v="10"/>
    <n v="128"/>
    <x v="4"/>
    <x v="98"/>
    <n v="140"/>
    <n v="3"/>
    <x v="0"/>
    <x v="6"/>
    <x v="1"/>
    <x v="1"/>
  </r>
  <r>
    <s v="Call_7635"/>
    <x v="11"/>
    <n v="45"/>
    <x v="2"/>
    <x v="99"/>
    <n v="156"/>
    <n v="2.7"/>
    <x v="0"/>
    <x v="0"/>
    <x v="2"/>
    <x v="1"/>
  </r>
  <r>
    <s v="Call_7636"/>
    <x v="13"/>
    <n v="41"/>
    <x v="4"/>
    <x v="99"/>
    <n v="164"/>
    <n v="3.1"/>
    <x v="0"/>
    <x v="0"/>
    <x v="2"/>
    <x v="1"/>
  </r>
  <r>
    <s v="Call_7637"/>
    <x v="8"/>
    <n v="49"/>
    <x v="4"/>
    <x v="99"/>
    <n v="195"/>
    <n v="2.6"/>
    <x v="0"/>
    <x v="0"/>
    <x v="2"/>
    <x v="1"/>
  </r>
  <r>
    <s v="Call_7638"/>
    <x v="1"/>
    <n v="21"/>
    <x v="3"/>
    <x v="99"/>
    <n v="74"/>
    <n v="4.5999999999999996"/>
    <x v="0"/>
    <x v="0"/>
    <x v="3"/>
    <x v="0"/>
  </r>
  <r>
    <s v="Call_7639"/>
    <x v="12"/>
    <n v="133"/>
    <x v="2"/>
    <x v="99"/>
    <n v="100"/>
    <n v="4"/>
    <x v="0"/>
    <x v="0"/>
    <x v="1"/>
    <x v="2"/>
  </r>
  <r>
    <s v="Call_7640"/>
    <x v="0"/>
    <n v="135"/>
    <x v="1"/>
    <x v="99"/>
    <n v="185"/>
    <n v="4.5"/>
    <x v="0"/>
    <x v="0"/>
    <x v="1"/>
    <x v="0"/>
  </r>
  <r>
    <s v="Call_7641"/>
    <x v="7"/>
    <n v="69"/>
    <x v="2"/>
    <x v="99"/>
    <n v="130"/>
    <n v="1.9"/>
    <x v="0"/>
    <x v="0"/>
    <x v="0"/>
    <x v="3"/>
  </r>
  <r>
    <s v="Call_7642"/>
    <x v="6"/>
    <n v="110"/>
    <x v="3"/>
    <x v="100"/>
    <n v="21"/>
    <n v="2.6"/>
    <x v="0"/>
    <x v="1"/>
    <x v="0"/>
    <x v="1"/>
  </r>
  <r>
    <s v="Call_7643"/>
    <x v="14"/>
    <n v="64"/>
    <x v="0"/>
    <x v="100"/>
    <n v="88"/>
    <n v="4.3"/>
    <x v="0"/>
    <x v="1"/>
    <x v="0"/>
    <x v="2"/>
  </r>
  <r>
    <s v="Call_7644"/>
    <x v="2"/>
    <n v="105"/>
    <x v="4"/>
    <x v="100"/>
    <n v="35"/>
    <n v="4.4000000000000004"/>
    <x v="0"/>
    <x v="1"/>
    <x v="0"/>
    <x v="2"/>
  </r>
  <r>
    <s v="Call_7645"/>
    <x v="14"/>
    <n v="165"/>
    <x v="1"/>
    <x v="100"/>
    <n v="68"/>
    <n v="4.3"/>
    <x v="0"/>
    <x v="1"/>
    <x v="1"/>
    <x v="2"/>
  </r>
  <r>
    <s v="Call_7646"/>
    <x v="11"/>
    <n v="125"/>
    <x v="1"/>
    <x v="100"/>
    <n v="148"/>
    <n v="4.5"/>
    <x v="0"/>
    <x v="1"/>
    <x v="1"/>
    <x v="0"/>
  </r>
  <r>
    <s v="Call_7647"/>
    <x v="2"/>
    <n v="88"/>
    <x v="0"/>
    <x v="101"/>
    <n v="81"/>
    <n v="4.2"/>
    <x v="0"/>
    <x v="2"/>
    <x v="0"/>
    <x v="2"/>
  </r>
  <r>
    <s v="Call_7648"/>
    <x v="7"/>
    <n v="6"/>
    <x v="0"/>
    <x v="101"/>
    <n v="75"/>
    <n v="3.9"/>
    <x v="0"/>
    <x v="2"/>
    <x v="4"/>
    <x v="2"/>
  </r>
  <r>
    <s v="Call_7649"/>
    <x v="9"/>
    <n v="69"/>
    <x v="2"/>
    <x v="102"/>
    <n v="32"/>
    <n v="3.6"/>
    <x v="0"/>
    <x v="3"/>
    <x v="0"/>
    <x v="2"/>
  </r>
  <r>
    <s v="Call_7650"/>
    <x v="13"/>
    <n v="107"/>
    <x v="2"/>
    <x v="102"/>
    <n v="156"/>
    <n v="3.8"/>
    <x v="0"/>
    <x v="3"/>
    <x v="0"/>
    <x v="2"/>
  </r>
  <r>
    <s v="Call_7651"/>
    <x v="1"/>
    <n v="90"/>
    <x v="1"/>
    <x v="102"/>
    <n v="99"/>
    <n v="4.9000000000000004"/>
    <x v="0"/>
    <x v="3"/>
    <x v="0"/>
    <x v="0"/>
  </r>
  <r>
    <s v="Call_7652"/>
    <x v="0"/>
    <n v="120"/>
    <x v="4"/>
    <x v="102"/>
    <n v="26"/>
    <n v="4"/>
    <x v="0"/>
    <x v="3"/>
    <x v="0"/>
    <x v="2"/>
  </r>
  <r>
    <s v="Call_7653"/>
    <x v="4"/>
    <n v="47"/>
    <x v="2"/>
    <x v="102"/>
    <n v="84"/>
    <n v="4.0999999999999996"/>
    <x v="0"/>
    <x v="3"/>
    <x v="2"/>
    <x v="2"/>
  </r>
  <r>
    <s v="Call_7654"/>
    <x v="3"/>
    <n v="60"/>
    <x v="4"/>
    <x v="102"/>
    <n v="84"/>
    <n v="4.8"/>
    <x v="0"/>
    <x v="3"/>
    <x v="2"/>
    <x v="0"/>
  </r>
  <r>
    <s v="Call_7655"/>
    <x v="10"/>
    <n v="64"/>
    <x v="1"/>
    <x v="102"/>
    <n v="170"/>
    <n v="2.2999999999999998"/>
    <x v="0"/>
    <x v="3"/>
    <x v="0"/>
    <x v="3"/>
  </r>
  <r>
    <s v="Call_7656"/>
    <x v="14"/>
    <n v="62"/>
    <x v="2"/>
    <x v="102"/>
    <n v="35"/>
    <n v="4.4000000000000004"/>
    <x v="0"/>
    <x v="3"/>
    <x v="0"/>
    <x v="2"/>
  </r>
  <r>
    <s v="Call_7657"/>
    <x v="6"/>
    <n v="88"/>
    <x v="2"/>
    <x v="103"/>
    <n v="35"/>
    <n v="3.8"/>
    <x v="0"/>
    <x v="4"/>
    <x v="0"/>
    <x v="2"/>
  </r>
  <r>
    <s v="Call_7658"/>
    <x v="11"/>
    <n v="116"/>
    <x v="2"/>
    <x v="103"/>
    <n v="132"/>
    <n v="5"/>
    <x v="0"/>
    <x v="4"/>
    <x v="0"/>
    <x v="0"/>
  </r>
  <r>
    <s v="Call_7659"/>
    <x v="1"/>
    <n v="82"/>
    <x v="0"/>
    <x v="104"/>
    <n v="144"/>
    <n v="3.3"/>
    <x v="0"/>
    <x v="5"/>
    <x v="0"/>
    <x v="1"/>
  </r>
  <r>
    <s v="Call_7660"/>
    <x v="14"/>
    <n v="99"/>
    <x v="1"/>
    <x v="104"/>
    <n v="48"/>
    <n v="5"/>
    <x v="0"/>
    <x v="5"/>
    <x v="0"/>
    <x v="0"/>
  </r>
  <r>
    <s v="Call_7661"/>
    <x v="14"/>
    <n v="55"/>
    <x v="0"/>
    <x v="104"/>
    <n v="200"/>
    <n v="2.2999999999999998"/>
    <x v="0"/>
    <x v="5"/>
    <x v="2"/>
    <x v="3"/>
  </r>
  <r>
    <s v="Call_7662"/>
    <x v="10"/>
    <n v="61"/>
    <x v="4"/>
    <x v="104"/>
    <n v="38"/>
    <n v="4.8"/>
    <x v="0"/>
    <x v="5"/>
    <x v="0"/>
    <x v="0"/>
  </r>
  <r>
    <s v="Call_7663"/>
    <x v="11"/>
    <n v="36"/>
    <x v="3"/>
    <x v="104"/>
    <n v="81"/>
    <n v="3.7"/>
    <x v="0"/>
    <x v="5"/>
    <x v="2"/>
    <x v="2"/>
  </r>
  <r>
    <s v="Call_7664"/>
    <x v="1"/>
    <n v="123"/>
    <x v="2"/>
    <x v="104"/>
    <n v="120"/>
    <n v="4.2"/>
    <x v="0"/>
    <x v="5"/>
    <x v="1"/>
    <x v="2"/>
  </r>
  <r>
    <s v="Call_7665"/>
    <x v="8"/>
    <n v="24"/>
    <x v="4"/>
    <x v="104"/>
    <n v="74"/>
    <n v="4.8"/>
    <x v="0"/>
    <x v="5"/>
    <x v="3"/>
    <x v="0"/>
  </r>
  <r>
    <s v="Call_7666"/>
    <x v="1"/>
    <n v="43"/>
    <x v="2"/>
    <x v="105"/>
    <n v="128"/>
    <n v="4.7"/>
    <x v="0"/>
    <x v="6"/>
    <x v="2"/>
    <x v="0"/>
  </r>
  <r>
    <s v="Call_7667"/>
    <x v="3"/>
    <n v="95"/>
    <x v="1"/>
    <x v="105"/>
    <n v="21"/>
    <n v="3.9"/>
    <x v="0"/>
    <x v="6"/>
    <x v="0"/>
    <x v="2"/>
  </r>
  <r>
    <s v="Call_7668"/>
    <x v="14"/>
    <n v="53"/>
    <x v="2"/>
    <x v="105"/>
    <n v="110"/>
    <n v="4.3"/>
    <x v="0"/>
    <x v="6"/>
    <x v="2"/>
    <x v="2"/>
  </r>
  <r>
    <s v="Call_7669"/>
    <x v="1"/>
    <n v="113"/>
    <x v="2"/>
    <x v="105"/>
    <n v="145"/>
    <n v="4"/>
    <x v="0"/>
    <x v="6"/>
    <x v="0"/>
    <x v="2"/>
  </r>
  <r>
    <s v="Call_7670"/>
    <x v="14"/>
    <n v="89"/>
    <x v="3"/>
    <x v="105"/>
    <n v="129"/>
    <n v="4"/>
    <x v="0"/>
    <x v="6"/>
    <x v="0"/>
    <x v="2"/>
  </r>
  <r>
    <s v="Call_7671"/>
    <x v="6"/>
    <n v="84"/>
    <x v="0"/>
    <x v="105"/>
    <n v="156"/>
    <n v="3.2"/>
    <x v="0"/>
    <x v="6"/>
    <x v="0"/>
    <x v="1"/>
  </r>
  <r>
    <s v="Call_7672"/>
    <x v="8"/>
    <n v="130"/>
    <x v="2"/>
    <x v="106"/>
    <n v="120"/>
    <n v="3.8"/>
    <x v="0"/>
    <x v="0"/>
    <x v="1"/>
    <x v="2"/>
  </r>
  <r>
    <s v="Call_7673"/>
    <x v="3"/>
    <n v="163"/>
    <x v="3"/>
    <x v="106"/>
    <n v="62"/>
    <n v="3.4"/>
    <x v="0"/>
    <x v="0"/>
    <x v="1"/>
    <x v="1"/>
  </r>
  <r>
    <s v="Call_7674"/>
    <x v="9"/>
    <n v="127"/>
    <x v="2"/>
    <x v="106"/>
    <n v="160"/>
    <n v="3.2"/>
    <x v="0"/>
    <x v="0"/>
    <x v="1"/>
    <x v="1"/>
  </r>
  <r>
    <s v="Call_7675"/>
    <x v="1"/>
    <n v="50"/>
    <x v="2"/>
    <x v="106"/>
    <n v="56"/>
    <n v="4.7"/>
    <x v="0"/>
    <x v="0"/>
    <x v="2"/>
    <x v="0"/>
  </r>
  <r>
    <s v="Call_7676"/>
    <x v="5"/>
    <n v="88"/>
    <x v="4"/>
    <x v="106"/>
    <n v="72"/>
    <n v="4"/>
    <x v="0"/>
    <x v="0"/>
    <x v="0"/>
    <x v="2"/>
  </r>
  <r>
    <s v="Call_7677"/>
    <x v="1"/>
    <n v="139"/>
    <x v="1"/>
    <x v="107"/>
    <n v="81"/>
    <n v="4.8"/>
    <x v="0"/>
    <x v="1"/>
    <x v="1"/>
    <x v="0"/>
  </r>
  <r>
    <s v="Call_7678"/>
    <x v="3"/>
    <n v="111"/>
    <x v="2"/>
    <x v="107"/>
    <n v="144"/>
    <n v="3.9"/>
    <x v="0"/>
    <x v="1"/>
    <x v="0"/>
    <x v="2"/>
  </r>
  <r>
    <s v="Call_7679"/>
    <x v="2"/>
    <n v="115"/>
    <x v="1"/>
    <x v="107"/>
    <n v="111"/>
    <n v="4.3"/>
    <x v="0"/>
    <x v="1"/>
    <x v="0"/>
    <x v="2"/>
  </r>
  <r>
    <s v="Call_7680"/>
    <x v="14"/>
    <n v="26"/>
    <x v="3"/>
    <x v="107"/>
    <n v="43"/>
    <n v="4.2"/>
    <x v="0"/>
    <x v="1"/>
    <x v="3"/>
    <x v="2"/>
  </r>
  <r>
    <s v="Call_7681"/>
    <x v="6"/>
    <n v="131"/>
    <x v="4"/>
    <x v="107"/>
    <n v="41"/>
    <n v="4.9000000000000004"/>
    <x v="0"/>
    <x v="1"/>
    <x v="1"/>
    <x v="0"/>
  </r>
  <r>
    <s v="Call_7682"/>
    <x v="2"/>
    <n v="27"/>
    <x v="4"/>
    <x v="107"/>
    <n v="74"/>
    <n v="4"/>
    <x v="0"/>
    <x v="1"/>
    <x v="3"/>
    <x v="2"/>
  </r>
  <r>
    <s v="Call_7683"/>
    <x v="12"/>
    <n v="75"/>
    <x v="2"/>
    <x v="107"/>
    <n v="43"/>
    <n v="4.9000000000000004"/>
    <x v="0"/>
    <x v="1"/>
    <x v="0"/>
    <x v="0"/>
  </r>
  <r>
    <s v="Call_7684"/>
    <x v="10"/>
    <n v="123"/>
    <x v="4"/>
    <x v="107"/>
    <n v="128"/>
    <n v="3.6"/>
    <x v="0"/>
    <x v="1"/>
    <x v="1"/>
    <x v="2"/>
  </r>
  <r>
    <s v="Call_7685"/>
    <x v="0"/>
    <n v="129"/>
    <x v="4"/>
    <x v="108"/>
    <n v="144"/>
    <n v="4.0999999999999996"/>
    <x v="0"/>
    <x v="2"/>
    <x v="1"/>
    <x v="2"/>
  </r>
  <r>
    <s v="Call_7686"/>
    <x v="12"/>
    <n v="124"/>
    <x v="1"/>
    <x v="108"/>
    <n v="132"/>
    <n v="4.9000000000000004"/>
    <x v="0"/>
    <x v="2"/>
    <x v="1"/>
    <x v="0"/>
  </r>
  <r>
    <s v="Call_7687"/>
    <x v="2"/>
    <n v="108"/>
    <x v="1"/>
    <x v="108"/>
    <n v="180"/>
    <n v="3.9"/>
    <x v="0"/>
    <x v="2"/>
    <x v="0"/>
    <x v="2"/>
  </r>
  <r>
    <s v="Call_7688"/>
    <x v="4"/>
    <n v="15"/>
    <x v="1"/>
    <x v="108"/>
    <n v="31"/>
    <n v="4.0999999999999996"/>
    <x v="0"/>
    <x v="2"/>
    <x v="3"/>
    <x v="2"/>
  </r>
  <r>
    <s v="Call_7689"/>
    <x v="2"/>
    <n v="66"/>
    <x v="1"/>
    <x v="108"/>
    <n v="102"/>
    <n v="3.8"/>
    <x v="0"/>
    <x v="2"/>
    <x v="0"/>
    <x v="2"/>
  </r>
  <r>
    <s v="Call_7690"/>
    <x v="5"/>
    <n v="126"/>
    <x v="2"/>
    <x v="109"/>
    <n v="175"/>
    <n v="4.8"/>
    <x v="0"/>
    <x v="3"/>
    <x v="1"/>
    <x v="0"/>
  </r>
  <r>
    <s v="Call_7691"/>
    <x v="12"/>
    <n v="26"/>
    <x v="0"/>
    <x v="109"/>
    <n v="87"/>
    <n v="4.7"/>
    <x v="0"/>
    <x v="3"/>
    <x v="3"/>
    <x v="0"/>
  </r>
  <r>
    <s v="Call_7692"/>
    <x v="8"/>
    <n v="105"/>
    <x v="2"/>
    <x v="109"/>
    <n v="66"/>
    <n v="4.2"/>
    <x v="0"/>
    <x v="3"/>
    <x v="0"/>
    <x v="2"/>
  </r>
  <r>
    <s v="Call_7693"/>
    <x v="8"/>
    <n v="31"/>
    <x v="2"/>
    <x v="109"/>
    <n v="25"/>
    <n v="3.2"/>
    <x v="0"/>
    <x v="3"/>
    <x v="2"/>
    <x v="1"/>
  </r>
  <r>
    <s v="Call_7694"/>
    <x v="2"/>
    <n v="109"/>
    <x v="1"/>
    <x v="109"/>
    <n v="126"/>
    <n v="3.4"/>
    <x v="0"/>
    <x v="3"/>
    <x v="0"/>
    <x v="1"/>
  </r>
  <r>
    <s v="Call_7695"/>
    <x v="0"/>
    <n v="113"/>
    <x v="3"/>
    <x v="110"/>
    <n v="42"/>
    <n v="4.5999999999999996"/>
    <x v="0"/>
    <x v="4"/>
    <x v="0"/>
    <x v="0"/>
  </r>
  <r>
    <s v="Call_7696"/>
    <x v="5"/>
    <n v="101"/>
    <x v="0"/>
    <x v="110"/>
    <n v="225"/>
    <n v="1.9"/>
    <x v="0"/>
    <x v="4"/>
    <x v="0"/>
    <x v="3"/>
  </r>
  <r>
    <s v="Call_7697"/>
    <x v="3"/>
    <n v="156"/>
    <x v="0"/>
    <x v="110"/>
    <n v="42"/>
    <n v="3.3"/>
    <x v="0"/>
    <x v="4"/>
    <x v="1"/>
    <x v="1"/>
  </r>
  <r>
    <s v="Call_7698"/>
    <x v="2"/>
    <n v="145"/>
    <x v="3"/>
    <x v="111"/>
    <n v="110"/>
    <n v="3.1"/>
    <x v="0"/>
    <x v="5"/>
    <x v="1"/>
    <x v="1"/>
  </r>
  <r>
    <s v="Call_7699"/>
    <x v="10"/>
    <n v="36"/>
    <x v="1"/>
    <x v="111"/>
    <n v="225"/>
    <n v="4.8"/>
    <x v="0"/>
    <x v="5"/>
    <x v="2"/>
    <x v="0"/>
  </r>
  <r>
    <s v="Call_7700"/>
    <x v="8"/>
    <n v="135"/>
    <x v="4"/>
    <x v="112"/>
    <n v="125"/>
    <n v="3.3"/>
    <x v="0"/>
    <x v="6"/>
    <x v="1"/>
    <x v="1"/>
  </r>
  <r>
    <s v="Call_7701"/>
    <x v="5"/>
    <n v="81"/>
    <x v="1"/>
    <x v="112"/>
    <n v="78"/>
    <n v="2.9"/>
    <x v="0"/>
    <x v="6"/>
    <x v="0"/>
    <x v="1"/>
  </r>
  <r>
    <s v="Call_7702"/>
    <x v="5"/>
    <n v="81"/>
    <x v="3"/>
    <x v="112"/>
    <n v="40"/>
    <n v="2.4"/>
    <x v="0"/>
    <x v="6"/>
    <x v="0"/>
    <x v="3"/>
  </r>
  <r>
    <s v="Call_7703"/>
    <x v="9"/>
    <n v="93"/>
    <x v="2"/>
    <x v="112"/>
    <n v="150"/>
    <n v="4.5999999999999996"/>
    <x v="0"/>
    <x v="6"/>
    <x v="0"/>
    <x v="0"/>
  </r>
  <r>
    <s v="Call_7704"/>
    <x v="2"/>
    <n v="14"/>
    <x v="1"/>
    <x v="112"/>
    <n v="96"/>
    <n v="4.8"/>
    <x v="0"/>
    <x v="6"/>
    <x v="3"/>
    <x v="0"/>
  </r>
  <r>
    <s v="Call_7705"/>
    <x v="8"/>
    <n v="95"/>
    <x v="3"/>
    <x v="113"/>
    <n v="75"/>
    <n v="4.8"/>
    <x v="0"/>
    <x v="0"/>
    <x v="0"/>
    <x v="0"/>
  </r>
  <r>
    <s v="Call_7706"/>
    <x v="9"/>
    <n v="81"/>
    <x v="3"/>
    <x v="113"/>
    <n v="60"/>
    <n v="3.6"/>
    <x v="0"/>
    <x v="0"/>
    <x v="0"/>
    <x v="2"/>
  </r>
  <r>
    <s v="Call_7707"/>
    <x v="14"/>
    <n v="60"/>
    <x v="1"/>
    <x v="114"/>
    <n v="41"/>
    <n v="4.8"/>
    <x v="0"/>
    <x v="1"/>
    <x v="2"/>
    <x v="0"/>
  </r>
  <r>
    <s v="Call_7708"/>
    <x v="7"/>
    <n v="137"/>
    <x v="2"/>
    <x v="114"/>
    <n v="20"/>
    <n v="4.2"/>
    <x v="0"/>
    <x v="1"/>
    <x v="1"/>
    <x v="2"/>
  </r>
  <r>
    <s v="Call_7709"/>
    <x v="1"/>
    <n v="112"/>
    <x v="4"/>
    <x v="114"/>
    <n v="84"/>
    <n v="2.6"/>
    <x v="0"/>
    <x v="1"/>
    <x v="0"/>
    <x v="1"/>
  </r>
  <r>
    <s v="Call_7710"/>
    <x v="8"/>
    <n v="76"/>
    <x v="0"/>
    <x v="114"/>
    <n v="140"/>
    <n v="3.7"/>
    <x v="0"/>
    <x v="1"/>
    <x v="0"/>
    <x v="2"/>
  </r>
  <r>
    <s v="Call_7711"/>
    <x v="11"/>
    <n v="73"/>
    <x v="1"/>
    <x v="114"/>
    <n v="66"/>
    <n v="4.8"/>
    <x v="0"/>
    <x v="1"/>
    <x v="0"/>
    <x v="0"/>
  </r>
  <r>
    <s v="Call_7712"/>
    <x v="6"/>
    <n v="119"/>
    <x v="2"/>
    <x v="114"/>
    <n v="105"/>
    <n v="4.7"/>
    <x v="0"/>
    <x v="1"/>
    <x v="0"/>
    <x v="0"/>
  </r>
  <r>
    <s v="Call_7713"/>
    <x v="0"/>
    <n v="135"/>
    <x v="3"/>
    <x v="115"/>
    <n v="104"/>
    <n v="4.0999999999999996"/>
    <x v="0"/>
    <x v="2"/>
    <x v="1"/>
    <x v="2"/>
  </r>
  <r>
    <s v="Call_7714"/>
    <x v="7"/>
    <n v="41"/>
    <x v="4"/>
    <x v="115"/>
    <n v="123"/>
    <n v="3.2"/>
    <x v="0"/>
    <x v="2"/>
    <x v="2"/>
    <x v="1"/>
  </r>
  <r>
    <s v="Call_7715"/>
    <x v="2"/>
    <n v="35"/>
    <x v="3"/>
    <x v="116"/>
    <n v="215"/>
    <n v="4.3"/>
    <x v="0"/>
    <x v="3"/>
    <x v="2"/>
    <x v="2"/>
  </r>
  <r>
    <s v="Call_7716"/>
    <x v="0"/>
    <n v="96"/>
    <x v="1"/>
    <x v="116"/>
    <n v="46"/>
    <n v="0.7"/>
    <x v="0"/>
    <x v="3"/>
    <x v="0"/>
    <x v="5"/>
  </r>
  <r>
    <s v="Call_7717"/>
    <x v="9"/>
    <n v="61"/>
    <x v="4"/>
    <x v="116"/>
    <n v="115"/>
    <n v="3.7"/>
    <x v="0"/>
    <x v="3"/>
    <x v="0"/>
    <x v="2"/>
  </r>
  <r>
    <s v="Call_7718"/>
    <x v="0"/>
    <n v="91"/>
    <x v="4"/>
    <x v="116"/>
    <n v="124"/>
    <n v="3.9"/>
    <x v="0"/>
    <x v="3"/>
    <x v="0"/>
    <x v="2"/>
  </r>
  <r>
    <s v="Call_7719"/>
    <x v="13"/>
    <n v="30"/>
    <x v="4"/>
    <x v="117"/>
    <n v="205"/>
    <n v="4.5"/>
    <x v="0"/>
    <x v="4"/>
    <x v="3"/>
    <x v="0"/>
  </r>
  <r>
    <s v="Call_7720"/>
    <x v="14"/>
    <n v="111"/>
    <x v="2"/>
    <x v="117"/>
    <n v="90"/>
    <n v="2.8"/>
    <x v="0"/>
    <x v="4"/>
    <x v="0"/>
    <x v="1"/>
  </r>
  <r>
    <s v="Call_7721"/>
    <x v="9"/>
    <n v="81"/>
    <x v="1"/>
    <x v="117"/>
    <n v="92"/>
    <n v="4.9000000000000004"/>
    <x v="0"/>
    <x v="4"/>
    <x v="0"/>
    <x v="0"/>
  </r>
  <r>
    <s v="Call_7722"/>
    <x v="8"/>
    <n v="40"/>
    <x v="3"/>
    <x v="118"/>
    <n v="108"/>
    <n v="4.2"/>
    <x v="0"/>
    <x v="6"/>
    <x v="2"/>
    <x v="2"/>
  </r>
  <r>
    <s v="Call_7723"/>
    <x v="14"/>
    <n v="143"/>
    <x v="3"/>
    <x v="118"/>
    <n v="54"/>
    <n v="4.4000000000000004"/>
    <x v="0"/>
    <x v="6"/>
    <x v="1"/>
    <x v="2"/>
  </r>
  <r>
    <s v="Call_7724"/>
    <x v="8"/>
    <n v="70"/>
    <x v="3"/>
    <x v="119"/>
    <n v="44"/>
    <n v="3.5"/>
    <x v="0"/>
    <x v="0"/>
    <x v="0"/>
    <x v="2"/>
  </r>
  <r>
    <s v="Call_7725"/>
    <x v="11"/>
    <n v="137"/>
    <x v="3"/>
    <x v="119"/>
    <n v="44"/>
    <n v="4.7"/>
    <x v="0"/>
    <x v="0"/>
    <x v="1"/>
    <x v="0"/>
  </r>
  <r>
    <s v="Call_7726"/>
    <x v="0"/>
    <n v="52"/>
    <x v="1"/>
    <x v="120"/>
    <n v="37"/>
    <n v="4.9000000000000004"/>
    <x v="0"/>
    <x v="1"/>
    <x v="2"/>
    <x v="0"/>
  </r>
  <r>
    <s v="Call_7727"/>
    <x v="1"/>
    <n v="31"/>
    <x v="2"/>
    <x v="120"/>
    <n v="180"/>
    <n v="4.5"/>
    <x v="0"/>
    <x v="1"/>
    <x v="2"/>
    <x v="0"/>
  </r>
  <r>
    <s v="Call_7728"/>
    <x v="0"/>
    <n v="114"/>
    <x v="4"/>
    <x v="120"/>
    <n v="105"/>
    <n v="4.9000000000000004"/>
    <x v="0"/>
    <x v="1"/>
    <x v="0"/>
    <x v="0"/>
  </r>
  <r>
    <s v="Call_7729"/>
    <x v="11"/>
    <n v="73"/>
    <x v="0"/>
    <x v="120"/>
    <n v="87"/>
    <n v="3.6"/>
    <x v="0"/>
    <x v="1"/>
    <x v="0"/>
    <x v="2"/>
  </r>
  <r>
    <s v="Call_7730"/>
    <x v="9"/>
    <n v="25"/>
    <x v="2"/>
    <x v="120"/>
    <n v="52"/>
    <n v="3.8"/>
    <x v="0"/>
    <x v="1"/>
    <x v="3"/>
    <x v="2"/>
  </r>
  <r>
    <s v="Call_7731"/>
    <x v="4"/>
    <n v="44"/>
    <x v="4"/>
    <x v="120"/>
    <n v="63"/>
    <n v="3.5"/>
    <x v="0"/>
    <x v="1"/>
    <x v="2"/>
    <x v="2"/>
  </r>
  <r>
    <s v="Call_7732"/>
    <x v="10"/>
    <n v="34"/>
    <x v="1"/>
    <x v="121"/>
    <n v="195"/>
    <n v="4.8"/>
    <x v="0"/>
    <x v="2"/>
    <x v="2"/>
    <x v="0"/>
  </r>
  <r>
    <s v="Call_7733"/>
    <x v="14"/>
    <n v="89"/>
    <x v="3"/>
    <x v="122"/>
    <n v="176"/>
    <n v="4.5"/>
    <x v="0"/>
    <x v="3"/>
    <x v="0"/>
    <x v="0"/>
  </r>
  <r>
    <s v="Call_7734"/>
    <x v="6"/>
    <n v="54"/>
    <x v="2"/>
    <x v="123"/>
    <n v="31"/>
    <n v="3.3"/>
    <x v="0"/>
    <x v="4"/>
    <x v="2"/>
    <x v="1"/>
  </r>
  <r>
    <s v="Call_7735"/>
    <x v="2"/>
    <n v="25"/>
    <x v="2"/>
    <x v="124"/>
    <n v="27"/>
    <n v="3.2"/>
    <x v="0"/>
    <x v="5"/>
    <x v="3"/>
    <x v="1"/>
  </r>
  <r>
    <s v="Call_7736"/>
    <x v="7"/>
    <n v="91"/>
    <x v="3"/>
    <x v="124"/>
    <n v="76"/>
    <n v="4.9000000000000004"/>
    <x v="0"/>
    <x v="5"/>
    <x v="0"/>
    <x v="0"/>
  </r>
  <r>
    <s v="Call_7737"/>
    <x v="4"/>
    <n v="144"/>
    <x v="4"/>
    <x v="124"/>
    <n v="62"/>
    <n v="4.8"/>
    <x v="0"/>
    <x v="5"/>
    <x v="1"/>
    <x v="0"/>
  </r>
  <r>
    <s v="Call_7738"/>
    <x v="7"/>
    <n v="81"/>
    <x v="1"/>
    <x v="125"/>
    <n v="100"/>
    <n v="1.3"/>
    <x v="0"/>
    <x v="0"/>
    <x v="0"/>
    <x v="5"/>
  </r>
  <r>
    <s v="Call_7739"/>
    <x v="13"/>
    <n v="92"/>
    <x v="2"/>
    <x v="125"/>
    <n v="44"/>
    <n v="3.1"/>
    <x v="0"/>
    <x v="0"/>
    <x v="0"/>
    <x v="1"/>
  </r>
  <r>
    <s v="Call_7740"/>
    <x v="2"/>
    <n v="115"/>
    <x v="3"/>
    <x v="125"/>
    <n v="168"/>
    <n v="3.4"/>
    <x v="0"/>
    <x v="0"/>
    <x v="0"/>
    <x v="1"/>
  </r>
  <r>
    <s v="Call_7741"/>
    <x v="5"/>
    <n v="56"/>
    <x v="3"/>
    <x v="126"/>
    <n v="200"/>
    <n v="4.5999999999999996"/>
    <x v="0"/>
    <x v="1"/>
    <x v="2"/>
    <x v="0"/>
  </r>
  <r>
    <s v="Call_7742"/>
    <x v="1"/>
    <n v="154"/>
    <x v="2"/>
    <x v="126"/>
    <n v="84"/>
    <n v="4.3"/>
    <x v="0"/>
    <x v="1"/>
    <x v="1"/>
    <x v="2"/>
  </r>
  <r>
    <s v="Call_7743"/>
    <x v="14"/>
    <n v="51"/>
    <x v="3"/>
    <x v="127"/>
    <n v="117"/>
    <n v="2.7"/>
    <x v="0"/>
    <x v="2"/>
    <x v="2"/>
    <x v="1"/>
  </r>
  <r>
    <s v="Call_7744"/>
    <x v="10"/>
    <n v="21"/>
    <x v="1"/>
    <x v="127"/>
    <n v="63"/>
    <n v="4.2"/>
    <x v="0"/>
    <x v="2"/>
    <x v="3"/>
    <x v="2"/>
  </r>
  <r>
    <s v="Call_7745"/>
    <x v="2"/>
    <n v="80"/>
    <x v="3"/>
    <x v="128"/>
    <n v="145"/>
    <n v="4.9000000000000004"/>
    <x v="0"/>
    <x v="3"/>
    <x v="0"/>
    <x v="0"/>
  </r>
  <r>
    <s v="Call_7746"/>
    <x v="14"/>
    <n v="139"/>
    <x v="2"/>
    <x v="128"/>
    <n v="220"/>
    <n v="3.2"/>
    <x v="0"/>
    <x v="3"/>
    <x v="1"/>
    <x v="1"/>
  </r>
  <r>
    <s v="Call_7747"/>
    <x v="8"/>
    <n v="50"/>
    <x v="1"/>
    <x v="128"/>
    <n v="26"/>
    <n v="4.7"/>
    <x v="0"/>
    <x v="3"/>
    <x v="2"/>
    <x v="0"/>
  </r>
  <r>
    <s v="Call_7748"/>
    <x v="2"/>
    <n v="88"/>
    <x v="3"/>
    <x v="128"/>
    <n v="78"/>
    <n v="4.3"/>
    <x v="0"/>
    <x v="3"/>
    <x v="0"/>
    <x v="2"/>
  </r>
  <r>
    <s v="Call_7749"/>
    <x v="6"/>
    <n v="19"/>
    <x v="4"/>
    <x v="129"/>
    <n v="132"/>
    <n v="4.3"/>
    <x v="0"/>
    <x v="4"/>
    <x v="3"/>
    <x v="2"/>
  </r>
  <r>
    <s v="Call_7750"/>
    <x v="9"/>
    <n v="104"/>
    <x v="4"/>
    <x v="130"/>
    <n v="68"/>
    <n v="3.7"/>
    <x v="0"/>
    <x v="5"/>
    <x v="0"/>
    <x v="2"/>
  </r>
  <r>
    <s v="Call_7751"/>
    <x v="1"/>
    <n v="67"/>
    <x v="2"/>
    <x v="131"/>
    <n v="129"/>
    <n v="4.7"/>
    <x v="0"/>
    <x v="0"/>
    <x v="0"/>
    <x v="0"/>
  </r>
  <r>
    <s v="Call_7752"/>
    <x v="12"/>
    <n v="107"/>
    <x v="4"/>
    <x v="131"/>
    <n v="115"/>
    <n v="4.9000000000000004"/>
    <x v="0"/>
    <x v="0"/>
    <x v="0"/>
    <x v="0"/>
  </r>
  <r>
    <s v="Call_7753"/>
    <x v="12"/>
    <n v="93"/>
    <x v="4"/>
    <x v="131"/>
    <n v="128"/>
    <n v="3.9"/>
    <x v="0"/>
    <x v="0"/>
    <x v="0"/>
    <x v="2"/>
  </r>
  <r>
    <s v="Call_7754"/>
    <x v="12"/>
    <n v="117"/>
    <x v="2"/>
    <x v="131"/>
    <n v="90"/>
    <n v="4.5"/>
    <x v="0"/>
    <x v="0"/>
    <x v="0"/>
    <x v="0"/>
  </r>
  <r>
    <s v="Call_7755"/>
    <x v="8"/>
    <n v="76"/>
    <x v="3"/>
    <x v="132"/>
    <n v="39"/>
    <n v="4.5999999999999996"/>
    <x v="0"/>
    <x v="1"/>
    <x v="0"/>
    <x v="0"/>
  </r>
  <r>
    <s v="Call_7756"/>
    <x v="6"/>
    <n v="64"/>
    <x v="4"/>
    <x v="132"/>
    <n v="132"/>
    <n v="3.3"/>
    <x v="0"/>
    <x v="1"/>
    <x v="0"/>
    <x v="1"/>
  </r>
  <r>
    <s v="Call_7757"/>
    <x v="4"/>
    <n v="33"/>
    <x v="4"/>
    <x v="132"/>
    <n v="170"/>
    <n v="3.8"/>
    <x v="0"/>
    <x v="1"/>
    <x v="2"/>
    <x v="2"/>
  </r>
  <r>
    <s v="Call_7758"/>
    <x v="12"/>
    <n v="115"/>
    <x v="2"/>
    <x v="132"/>
    <n v="42"/>
    <n v="4.7"/>
    <x v="0"/>
    <x v="1"/>
    <x v="0"/>
    <x v="0"/>
  </r>
  <r>
    <s v="Call_7759"/>
    <x v="3"/>
    <n v="155"/>
    <x v="3"/>
    <x v="133"/>
    <n v="37"/>
    <n v="4"/>
    <x v="0"/>
    <x v="2"/>
    <x v="1"/>
    <x v="2"/>
  </r>
  <r>
    <s v="Call_7760"/>
    <x v="1"/>
    <n v="117"/>
    <x v="3"/>
    <x v="133"/>
    <n v="88"/>
    <n v="4.7"/>
    <x v="0"/>
    <x v="2"/>
    <x v="0"/>
    <x v="0"/>
  </r>
  <r>
    <s v="Call_7761"/>
    <x v="14"/>
    <n v="63"/>
    <x v="3"/>
    <x v="133"/>
    <n v="80"/>
    <n v="2.5"/>
    <x v="0"/>
    <x v="2"/>
    <x v="0"/>
    <x v="1"/>
  </r>
  <r>
    <s v="Call_7762"/>
    <x v="6"/>
    <n v="59"/>
    <x v="0"/>
    <x v="134"/>
    <n v="123"/>
    <n v="3.6"/>
    <x v="0"/>
    <x v="3"/>
    <x v="2"/>
    <x v="2"/>
  </r>
  <r>
    <s v="Call_7763"/>
    <x v="10"/>
    <n v="133"/>
    <x v="4"/>
    <x v="134"/>
    <n v="31"/>
    <n v="3.7"/>
    <x v="0"/>
    <x v="3"/>
    <x v="1"/>
    <x v="2"/>
  </r>
  <r>
    <s v="Call_7764"/>
    <x v="13"/>
    <n v="101"/>
    <x v="1"/>
    <x v="134"/>
    <n v="205"/>
    <n v="3.9"/>
    <x v="0"/>
    <x v="3"/>
    <x v="0"/>
    <x v="2"/>
  </r>
  <r>
    <s v="Call_7765"/>
    <x v="7"/>
    <n v="151"/>
    <x v="3"/>
    <x v="135"/>
    <n v="123"/>
    <n v="3.7"/>
    <x v="0"/>
    <x v="4"/>
    <x v="1"/>
    <x v="2"/>
  </r>
  <r>
    <s v="Call_7766"/>
    <x v="4"/>
    <n v="146"/>
    <x v="4"/>
    <x v="135"/>
    <n v="123"/>
    <n v="4.3"/>
    <x v="0"/>
    <x v="4"/>
    <x v="1"/>
    <x v="2"/>
  </r>
  <r>
    <s v="Call_7767"/>
    <x v="14"/>
    <n v="148"/>
    <x v="4"/>
    <x v="135"/>
    <n v="36"/>
    <n v="2.9"/>
    <x v="0"/>
    <x v="4"/>
    <x v="1"/>
    <x v="1"/>
  </r>
  <r>
    <s v="Call_7768"/>
    <x v="7"/>
    <n v="81"/>
    <x v="4"/>
    <x v="135"/>
    <n v="116"/>
    <n v="4.3"/>
    <x v="0"/>
    <x v="4"/>
    <x v="0"/>
    <x v="2"/>
  </r>
  <r>
    <s v="Call_7769"/>
    <x v="9"/>
    <n v="115"/>
    <x v="4"/>
    <x v="135"/>
    <n v="40"/>
    <n v="4.9000000000000004"/>
    <x v="0"/>
    <x v="4"/>
    <x v="0"/>
    <x v="0"/>
  </r>
  <r>
    <s v="Call_7770"/>
    <x v="9"/>
    <n v="117"/>
    <x v="3"/>
    <x v="135"/>
    <n v="40"/>
    <n v="4"/>
    <x v="0"/>
    <x v="4"/>
    <x v="0"/>
    <x v="2"/>
  </r>
  <r>
    <s v="Call_7771"/>
    <x v="13"/>
    <n v="110"/>
    <x v="2"/>
    <x v="136"/>
    <n v="82"/>
    <n v="4"/>
    <x v="0"/>
    <x v="5"/>
    <x v="0"/>
    <x v="2"/>
  </r>
  <r>
    <s v="Call_7772"/>
    <x v="8"/>
    <n v="103"/>
    <x v="0"/>
    <x v="136"/>
    <n v="62"/>
    <n v="3.4"/>
    <x v="0"/>
    <x v="5"/>
    <x v="0"/>
    <x v="1"/>
  </r>
  <r>
    <s v="Call_7773"/>
    <x v="3"/>
    <n v="45"/>
    <x v="0"/>
    <x v="136"/>
    <n v="135"/>
    <n v="3.9"/>
    <x v="0"/>
    <x v="5"/>
    <x v="2"/>
    <x v="2"/>
  </r>
  <r>
    <s v="Call_7774"/>
    <x v="13"/>
    <n v="110"/>
    <x v="1"/>
    <x v="136"/>
    <n v="155"/>
    <n v="2.1"/>
    <x v="0"/>
    <x v="5"/>
    <x v="0"/>
    <x v="3"/>
  </r>
  <r>
    <s v="Call_7775"/>
    <x v="6"/>
    <n v="43"/>
    <x v="2"/>
    <x v="136"/>
    <n v="37"/>
    <n v="4.9000000000000004"/>
    <x v="0"/>
    <x v="5"/>
    <x v="2"/>
    <x v="0"/>
  </r>
  <r>
    <s v="Call_7776"/>
    <x v="13"/>
    <n v="104"/>
    <x v="3"/>
    <x v="137"/>
    <n v="56"/>
    <n v="3.4"/>
    <x v="0"/>
    <x v="6"/>
    <x v="0"/>
    <x v="1"/>
  </r>
  <r>
    <s v="Call_7777"/>
    <x v="13"/>
    <n v="101"/>
    <x v="3"/>
    <x v="137"/>
    <n v="185"/>
    <n v="5"/>
    <x v="0"/>
    <x v="6"/>
    <x v="0"/>
    <x v="0"/>
  </r>
  <r>
    <s v="Call_7778"/>
    <x v="0"/>
    <n v="55"/>
    <x v="2"/>
    <x v="138"/>
    <n v="145"/>
    <n v="4.5"/>
    <x v="0"/>
    <x v="0"/>
    <x v="2"/>
    <x v="0"/>
  </r>
  <r>
    <s v="Call_7779"/>
    <x v="7"/>
    <n v="40"/>
    <x v="0"/>
    <x v="138"/>
    <n v="116"/>
    <n v="2.6"/>
    <x v="0"/>
    <x v="0"/>
    <x v="2"/>
    <x v="1"/>
  </r>
  <r>
    <s v="Call_7780"/>
    <x v="6"/>
    <n v="122"/>
    <x v="4"/>
    <x v="138"/>
    <n v="45"/>
    <n v="4.2"/>
    <x v="0"/>
    <x v="0"/>
    <x v="1"/>
    <x v="2"/>
  </r>
  <r>
    <s v="Call_7781"/>
    <x v="4"/>
    <n v="98"/>
    <x v="3"/>
    <x v="139"/>
    <n v="35"/>
    <n v="4.5"/>
    <x v="0"/>
    <x v="1"/>
    <x v="0"/>
    <x v="0"/>
  </r>
  <r>
    <s v="Call_7782"/>
    <x v="9"/>
    <n v="110"/>
    <x v="0"/>
    <x v="139"/>
    <n v="100"/>
    <n v="4.4000000000000004"/>
    <x v="0"/>
    <x v="1"/>
    <x v="0"/>
    <x v="2"/>
  </r>
  <r>
    <s v="Call_7783"/>
    <x v="9"/>
    <n v="62"/>
    <x v="2"/>
    <x v="140"/>
    <n v="125"/>
    <n v="3.5"/>
    <x v="0"/>
    <x v="2"/>
    <x v="0"/>
    <x v="2"/>
  </r>
  <r>
    <s v="Call_7784"/>
    <x v="6"/>
    <n v="134"/>
    <x v="4"/>
    <x v="140"/>
    <n v="120"/>
    <n v="3"/>
    <x v="0"/>
    <x v="2"/>
    <x v="1"/>
    <x v="1"/>
  </r>
  <r>
    <s v="Call_7785"/>
    <x v="11"/>
    <n v="94"/>
    <x v="1"/>
    <x v="140"/>
    <n v="180"/>
    <n v="4.7"/>
    <x v="0"/>
    <x v="2"/>
    <x v="0"/>
    <x v="0"/>
  </r>
  <r>
    <s v="Call_7786"/>
    <x v="5"/>
    <n v="63"/>
    <x v="0"/>
    <x v="140"/>
    <n v="44"/>
    <n v="3"/>
    <x v="0"/>
    <x v="2"/>
    <x v="0"/>
    <x v="1"/>
  </r>
  <r>
    <s v="Call_7787"/>
    <x v="10"/>
    <n v="95"/>
    <x v="4"/>
    <x v="140"/>
    <n v="86"/>
    <n v="3.6"/>
    <x v="0"/>
    <x v="2"/>
    <x v="0"/>
    <x v="2"/>
  </r>
  <r>
    <s v="Call_7788"/>
    <x v="6"/>
    <n v="106"/>
    <x v="4"/>
    <x v="141"/>
    <n v="120"/>
    <n v="4.0999999999999996"/>
    <x v="0"/>
    <x v="3"/>
    <x v="0"/>
    <x v="2"/>
  </r>
  <r>
    <s v="Call_7789"/>
    <x v="3"/>
    <n v="94"/>
    <x v="1"/>
    <x v="141"/>
    <n v="100"/>
    <n v="3.7"/>
    <x v="0"/>
    <x v="3"/>
    <x v="0"/>
    <x v="2"/>
  </r>
  <r>
    <s v="Call_7790"/>
    <x v="3"/>
    <n v="51"/>
    <x v="1"/>
    <x v="142"/>
    <n v="108"/>
    <n v="4.5"/>
    <x v="1"/>
    <x v="4"/>
    <x v="2"/>
    <x v="0"/>
  </r>
  <r>
    <s v="Call_7791"/>
    <x v="14"/>
    <n v="39"/>
    <x v="1"/>
    <x v="142"/>
    <n v="46"/>
    <n v="4.5999999999999996"/>
    <x v="1"/>
    <x v="4"/>
    <x v="2"/>
    <x v="0"/>
  </r>
  <r>
    <s v="Call_7792"/>
    <x v="7"/>
    <n v="111"/>
    <x v="4"/>
    <x v="142"/>
    <n v="210"/>
    <n v="4.3"/>
    <x v="1"/>
    <x v="4"/>
    <x v="0"/>
    <x v="2"/>
  </r>
  <r>
    <s v="Call_7793"/>
    <x v="12"/>
    <n v="141"/>
    <x v="2"/>
    <x v="143"/>
    <n v="54"/>
    <n v="4.8"/>
    <x v="1"/>
    <x v="6"/>
    <x v="1"/>
    <x v="0"/>
  </r>
  <r>
    <s v="Call_7794"/>
    <x v="5"/>
    <n v="147"/>
    <x v="4"/>
    <x v="143"/>
    <n v="115"/>
    <n v="4.7"/>
    <x v="1"/>
    <x v="6"/>
    <x v="1"/>
    <x v="0"/>
  </r>
  <r>
    <s v="Call_7795"/>
    <x v="11"/>
    <n v="49"/>
    <x v="1"/>
    <x v="144"/>
    <n v="100"/>
    <n v="2.2000000000000002"/>
    <x v="1"/>
    <x v="0"/>
    <x v="2"/>
    <x v="3"/>
  </r>
  <r>
    <s v="Call_7796"/>
    <x v="2"/>
    <n v="75"/>
    <x v="4"/>
    <x v="144"/>
    <n v="38"/>
    <n v="4.4000000000000004"/>
    <x v="1"/>
    <x v="0"/>
    <x v="0"/>
    <x v="2"/>
  </r>
  <r>
    <s v="Call_7797"/>
    <x v="12"/>
    <n v="48"/>
    <x v="2"/>
    <x v="145"/>
    <n v="120"/>
    <n v="4.0999999999999996"/>
    <x v="1"/>
    <x v="1"/>
    <x v="2"/>
    <x v="2"/>
  </r>
  <r>
    <s v="Call_7798"/>
    <x v="9"/>
    <n v="48"/>
    <x v="2"/>
    <x v="145"/>
    <n v="120"/>
    <n v="4.0999999999999996"/>
    <x v="1"/>
    <x v="1"/>
    <x v="2"/>
    <x v="2"/>
  </r>
  <r>
    <s v="Call_7799"/>
    <x v="1"/>
    <n v="138"/>
    <x v="1"/>
    <x v="145"/>
    <n v="29"/>
    <n v="4.4000000000000004"/>
    <x v="1"/>
    <x v="1"/>
    <x v="1"/>
    <x v="2"/>
  </r>
  <r>
    <s v="Call_7800"/>
    <x v="10"/>
    <n v="144"/>
    <x v="1"/>
    <x v="146"/>
    <n v="25"/>
    <n v="3.7"/>
    <x v="1"/>
    <x v="2"/>
    <x v="1"/>
    <x v="2"/>
  </r>
  <r>
    <s v="Call_7801"/>
    <x v="13"/>
    <n v="119"/>
    <x v="4"/>
    <x v="147"/>
    <n v="116"/>
    <n v="3.8"/>
    <x v="1"/>
    <x v="3"/>
    <x v="0"/>
    <x v="2"/>
  </r>
  <r>
    <s v="Call_7802"/>
    <x v="1"/>
    <n v="101"/>
    <x v="2"/>
    <x v="148"/>
    <n v="132"/>
    <n v="4.3"/>
    <x v="1"/>
    <x v="4"/>
    <x v="0"/>
    <x v="2"/>
  </r>
  <r>
    <s v="Call_7803"/>
    <x v="10"/>
    <n v="59"/>
    <x v="4"/>
    <x v="149"/>
    <n v="90"/>
    <n v="3.5"/>
    <x v="1"/>
    <x v="5"/>
    <x v="2"/>
    <x v="2"/>
  </r>
  <r>
    <s v="Call_7804"/>
    <x v="7"/>
    <n v="125"/>
    <x v="0"/>
    <x v="149"/>
    <n v="87"/>
    <n v="4.0999999999999996"/>
    <x v="1"/>
    <x v="5"/>
    <x v="1"/>
    <x v="2"/>
  </r>
  <r>
    <s v="Call_7805"/>
    <x v="6"/>
    <n v="147"/>
    <x v="4"/>
    <x v="149"/>
    <n v="140"/>
    <n v="4.2"/>
    <x v="1"/>
    <x v="5"/>
    <x v="1"/>
    <x v="2"/>
  </r>
  <r>
    <s v="Call_7806"/>
    <x v="8"/>
    <n v="76"/>
    <x v="4"/>
    <x v="149"/>
    <n v="164"/>
    <n v="4.5"/>
    <x v="1"/>
    <x v="5"/>
    <x v="0"/>
    <x v="0"/>
  </r>
  <r>
    <s v="Call_7807"/>
    <x v="5"/>
    <n v="99"/>
    <x v="2"/>
    <x v="150"/>
    <n v="180"/>
    <n v="3.8"/>
    <x v="1"/>
    <x v="6"/>
    <x v="0"/>
    <x v="2"/>
  </r>
  <r>
    <s v="Call_7808"/>
    <x v="14"/>
    <n v="111"/>
    <x v="3"/>
    <x v="151"/>
    <n v="22"/>
    <n v="4.0999999999999996"/>
    <x v="1"/>
    <x v="0"/>
    <x v="0"/>
    <x v="2"/>
  </r>
  <r>
    <s v="Call_7809"/>
    <x v="4"/>
    <n v="147"/>
    <x v="0"/>
    <x v="151"/>
    <n v="82"/>
    <n v="4.4000000000000004"/>
    <x v="1"/>
    <x v="0"/>
    <x v="1"/>
    <x v="2"/>
  </r>
  <r>
    <s v="Call_7810"/>
    <x v="0"/>
    <n v="141"/>
    <x v="2"/>
    <x v="151"/>
    <n v="100"/>
    <n v="4.5999999999999996"/>
    <x v="1"/>
    <x v="0"/>
    <x v="1"/>
    <x v="0"/>
  </r>
  <r>
    <s v="Call_7811"/>
    <x v="8"/>
    <n v="71"/>
    <x v="4"/>
    <x v="152"/>
    <n v="52"/>
    <n v="3.4"/>
    <x v="1"/>
    <x v="1"/>
    <x v="0"/>
    <x v="1"/>
  </r>
  <r>
    <s v="Call_7812"/>
    <x v="8"/>
    <n v="121"/>
    <x v="0"/>
    <x v="153"/>
    <n v="84"/>
    <n v="4.5999999999999996"/>
    <x v="1"/>
    <x v="2"/>
    <x v="1"/>
    <x v="0"/>
  </r>
  <r>
    <s v="Call_7813"/>
    <x v="8"/>
    <n v="60"/>
    <x v="0"/>
    <x v="153"/>
    <n v="37"/>
    <n v="3.9"/>
    <x v="1"/>
    <x v="2"/>
    <x v="2"/>
    <x v="2"/>
  </r>
  <r>
    <s v="Call_7814"/>
    <x v="11"/>
    <n v="158"/>
    <x v="2"/>
    <x v="154"/>
    <n v="190"/>
    <n v="4"/>
    <x v="1"/>
    <x v="3"/>
    <x v="1"/>
    <x v="2"/>
  </r>
  <r>
    <s v="Call_7815"/>
    <x v="6"/>
    <n v="159"/>
    <x v="1"/>
    <x v="154"/>
    <n v="66"/>
    <n v="3.4"/>
    <x v="1"/>
    <x v="3"/>
    <x v="1"/>
    <x v="1"/>
  </r>
  <r>
    <s v="Call_7816"/>
    <x v="1"/>
    <n v="70"/>
    <x v="4"/>
    <x v="155"/>
    <n v="116"/>
    <n v="3.2"/>
    <x v="1"/>
    <x v="4"/>
    <x v="0"/>
    <x v="1"/>
  </r>
  <r>
    <s v="Call_7817"/>
    <x v="12"/>
    <n v="78"/>
    <x v="3"/>
    <x v="155"/>
    <n v="28"/>
    <n v="3.9"/>
    <x v="1"/>
    <x v="4"/>
    <x v="0"/>
    <x v="2"/>
  </r>
  <r>
    <s v="Call_7818"/>
    <x v="4"/>
    <n v="103"/>
    <x v="4"/>
    <x v="155"/>
    <n v="120"/>
    <n v="5"/>
    <x v="1"/>
    <x v="4"/>
    <x v="0"/>
    <x v="0"/>
  </r>
  <r>
    <s v="Call_7819"/>
    <x v="2"/>
    <n v="108"/>
    <x v="2"/>
    <x v="155"/>
    <n v="56"/>
    <n v="3.5"/>
    <x v="1"/>
    <x v="4"/>
    <x v="0"/>
    <x v="2"/>
  </r>
  <r>
    <s v="Call_7820"/>
    <x v="2"/>
    <n v="44"/>
    <x v="0"/>
    <x v="155"/>
    <n v="170"/>
    <n v="3.8"/>
    <x v="1"/>
    <x v="4"/>
    <x v="2"/>
    <x v="2"/>
  </r>
  <r>
    <s v="Call_7821"/>
    <x v="12"/>
    <n v="127"/>
    <x v="2"/>
    <x v="156"/>
    <n v="200"/>
    <n v="4.8"/>
    <x v="1"/>
    <x v="5"/>
    <x v="1"/>
    <x v="0"/>
  </r>
  <r>
    <s v="Call_7822"/>
    <x v="4"/>
    <n v="132"/>
    <x v="4"/>
    <x v="157"/>
    <n v="50"/>
    <n v="4.2"/>
    <x v="1"/>
    <x v="6"/>
    <x v="1"/>
    <x v="2"/>
  </r>
  <r>
    <s v="Call_7823"/>
    <x v="0"/>
    <n v="106"/>
    <x v="3"/>
    <x v="157"/>
    <n v="112"/>
    <n v="3.7"/>
    <x v="1"/>
    <x v="6"/>
    <x v="0"/>
    <x v="2"/>
  </r>
  <r>
    <s v="Call_7824"/>
    <x v="14"/>
    <n v="107"/>
    <x v="4"/>
    <x v="158"/>
    <n v="39"/>
    <n v="4.8"/>
    <x v="1"/>
    <x v="0"/>
    <x v="0"/>
    <x v="0"/>
  </r>
  <r>
    <s v="Call_7825"/>
    <x v="6"/>
    <n v="85"/>
    <x v="3"/>
    <x v="158"/>
    <n v="38"/>
    <n v="4.8"/>
    <x v="1"/>
    <x v="0"/>
    <x v="0"/>
    <x v="0"/>
  </r>
  <r>
    <s v="Call_7826"/>
    <x v="5"/>
    <n v="49"/>
    <x v="4"/>
    <x v="159"/>
    <n v="84"/>
    <n v="2.9"/>
    <x v="1"/>
    <x v="1"/>
    <x v="2"/>
    <x v="1"/>
  </r>
  <r>
    <s v="Call_7827"/>
    <x v="8"/>
    <n v="117"/>
    <x v="2"/>
    <x v="160"/>
    <n v="82"/>
    <n v="3.5"/>
    <x v="1"/>
    <x v="2"/>
    <x v="0"/>
    <x v="2"/>
  </r>
  <r>
    <s v="Call_7828"/>
    <x v="14"/>
    <n v="136"/>
    <x v="3"/>
    <x v="160"/>
    <n v="37"/>
    <n v="0.9"/>
    <x v="1"/>
    <x v="2"/>
    <x v="1"/>
    <x v="5"/>
  </r>
  <r>
    <s v="Call_7829"/>
    <x v="2"/>
    <n v="130"/>
    <x v="1"/>
    <x v="161"/>
    <n v="87"/>
    <n v="3.4"/>
    <x v="1"/>
    <x v="3"/>
    <x v="1"/>
    <x v="1"/>
  </r>
  <r>
    <s v="Call_7830"/>
    <x v="2"/>
    <n v="73"/>
    <x v="1"/>
    <x v="161"/>
    <n v="75"/>
    <n v="2.7"/>
    <x v="1"/>
    <x v="3"/>
    <x v="0"/>
    <x v="1"/>
  </r>
  <r>
    <s v="Call_7831"/>
    <x v="5"/>
    <n v="80"/>
    <x v="4"/>
    <x v="161"/>
    <n v="32"/>
    <n v="4.7"/>
    <x v="1"/>
    <x v="3"/>
    <x v="0"/>
    <x v="0"/>
  </r>
  <r>
    <s v="Call_7832"/>
    <x v="13"/>
    <n v="44"/>
    <x v="2"/>
    <x v="161"/>
    <n v="33"/>
    <n v="3"/>
    <x v="1"/>
    <x v="3"/>
    <x v="2"/>
    <x v="1"/>
  </r>
  <r>
    <s v="Call_7833"/>
    <x v="13"/>
    <n v="102"/>
    <x v="0"/>
    <x v="161"/>
    <n v="76"/>
    <n v="4.2"/>
    <x v="1"/>
    <x v="3"/>
    <x v="0"/>
    <x v="2"/>
  </r>
  <r>
    <s v="Call_7834"/>
    <x v="11"/>
    <n v="74"/>
    <x v="0"/>
    <x v="161"/>
    <n v="117"/>
    <n v="4.8"/>
    <x v="1"/>
    <x v="3"/>
    <x v="0"/>
    <x v="0"/>
  </r>
  <r>
    <s v="Call_7835"/>
    <x v="5"/>
    <n v="52"/>
    <x v="2"/>
    <x v="162"/>
    <n v="70"/>
    <n v="4.0999999999999996"/>
    <x v="1"/>
    <x v="5"/>
    <x v="2"/>
    <x v="2"/>
  </r>
  <r>
    <s v="Call_7836"/>
    <x v="5"/>
    <n v="74"/>
    <x v="1"/>
    <x v="162"/>
    <n v="37"/>
    <n v="2.7"/>
    <x v="1"/>
    <x v="5"/>
    <x v="0"/>
    <x v="1"/>
  </r>
  <r>
    <s v="Call_7837"/>
    <x v="2"/>
    <n v="96"/>
    <x v="0"/>
    <x v="162"/>
    <n v="46"/>
    <n v="2.9"/>
    <x v="1"/>
    <x v="5"/>
    <x v="0"/>
    <x v="1"/>
  </r>
  <r>
    <s v="Call_7838"/>
    <x v="7"/>
    <n v="104"/>
    <x v="4"/>
    <x v="162"/>
    <n v="136"/>
    <n v="5"/>
    <x v="1"/>
    <x v="5"/>
    <x v="0"/>
    <x v="0"/>
  </r>
  <r>
    <s v="Call_7839"/>
    <x v="2"/>
    <n v="123"/>
    <x v="0"/>
    <x v="163"/>
    <n v="44"/>
    <n v="4.5999999999999996"/>
    <x v="1"/>
    <x v="6"/>
    <x v="1"/>
    <x v="0"/>
  </r>
  <r>
    <s v="Call_7840"/>
    <x v="9"/>
    <n v="100"/>
    <x v="3"/>
    <x v="163"/>
    <n v="69"/>
    <n v="3"/>
    <x v="1"/>
    <x v="6"/>
    <x v="0"/>
    <x v="1"/>
  </r>
  <r>
    <s v="Call_7841"/>
    <x v="7"/>
    <n v="35"/>
    <x v="2"/>
    <x v="164"/>
    <n v="86"/>
    <n v="4.5999999999999996"/>
    <x v="1"/>
    <x v="0"/>
    <x v="2"/>
    <x v="0"/>
  </r>
  <r>
    <s v="Call_7842"/>
    <x v="5"/>
    <n v="123"/>
    <x v="4"/>
    <x v="164"/>
    <n v="68"/>
    <n v="4.5"/>
    <x v="1"/>
    <x v="0"/>
    <x v="1"/>
    <x v="0"/>
  </r>
  <r>
    <s v="Call_7843"/>
    <x v="8"/>
    <n v="133"/>
    <x v="2"/>
    <x v="165"/>
    <n v="21"/>
    <n v="3.7"/>
    <x v="1"/>
    <x v="1"/>
    <x v="1"/>
    <x v="2"/>
  </r>
  <r>
    <s v="Call_7844"/>
    <x v="2"/>
    <n v="126"/>
    <x v="1"/>
    <x v="165"/>
    <n v="190"/>
    <n v="2.4"/>
    <x v="1"/>
    <x v="1"/>
    <x v="1"/>
    <x v="3"/>
  </r>
  <r>
    <s v="Call_7845"/>
    <x v="5"/>
    <n v="39"/>
    <x v="0"/>
    <x v="165"/>
    <n v="176"/>
    <n v="4.3"/>
    <x v="1"/>
    <x v="1"/>
    <x v="2"/>
    <x v="2"/>
  </r>
  <r>
    <s v="Call_7846"/>
    <x v="11"/>
    <n v="31"/>
    <x v="4"/>
    <x v="165"/>
    <n v="172"/>
    <n v="3.9"/>
    <x v="1"/>
    <x v="1"/>
    <x v="2"/>
    <x v="2"/>
  </r>
  <r>
    <s v="Call_7847"/>
    <x v="4"/>
    <n v="25"/>
    <x v="2"/>
    <x v="165"/>
    <n v="84"/>
    <n v="4.5"/>
    <x v="1"/>
    <x v="1"/>
    <x v="3"/>
    <x v="0"/>
  </r>
  <r>
    <s v="Call_7848"/>
    <x v="1"/>
    <n v="132"/>
    <x v="3"/>
    <x v="166"/>
    <n v="42"/>
    <n v="5"/>
    <x v="1"/>
    <x v="2"/>
    <x v="1"/>
    <x v="0"/>
  </r>
  <r>
    <s v="Call_7849"/>
    <x v="7"/>
    <n v="63"/>
    <x v="1"/>
    <x v="166"/>
    <n v="70"/>
    <n v="1.6"/>
    <x v="1"/>
    <x v="2"/>
    <x v="0"/>
    <x v="3"/>
  </r>
  <r>
    <s v="Call_7850"/>
    <x v="9"/>
    <n v="135"/>
    <x v="3"/>
    <x v="166"/>
    <n v="60"/>
    <n v="4.3"/>
    <x v="1"/>
    <x v="2"/>
    <x v="1"/>
    <x v="2"/>
  </r>
  <r>
    <s v="Call_7851"/>
    <x v="6"/>
    <n v="101"/>
    <x v="1"/>
    <x v="166"/>
    <n v="84"/>
    <n v="3.5"/>
    <x v="1"/>
    <x v="2"/>
    <x v="0"/>
    <x v="2"/>
  </r>
  <r>
    <s v="Call_7852"/>
    <x v="8"/>
    <n v="80"/>
    <x v="0"/>
    <x v="167"/>
    <n v="68"/>
    <n v="3.1"/>
    <x v="1"/>
    <x v="3"/>
    <x v="0"/>
    <x v="1"/>
  </r>
  <r>
    <s v="Call_7853"/>
    <x v="13"/>
    <n v="28"/>
    <x v="0"/>
    <x v="167"/>
    <n v="44"/>
    <n v="2.9"/>
    <x v="1"/>
    <x v="3"/>
    <x v="3"/>
    <x v="1"/>
  </r>
  <r>
    <s v="Call_7854"/>
    <x v="6"/>
    <n v="102"/>
    <x v="3"/>
    <x v="168"/>
    <n v="99"/>
    <n v="3.2"/>
    <x v="1"/>
    <x v="4"/>
    <x v="0"/>
    <x v="1"/>
  </r>
  <r>
    <s v="Call_7855"/>
    <x v="7"/>
    <n v="60"/>
    <x v="3"/>
    <x v="169"/>
    <n v="66"/>
    <n v="3.2"/>
    <x v="1"/>
    <x v="5"/>
    <x v="2"/>
    <x v="1"/>
  </r>
  <r>
    <s v="Call_7856"/>
    <x v="3"/>
    <n v="103"/>
    <x v="3"/>
    <x v="169"/>
    <n v="102"/>
    <n v="4.5"/>
    <x v="1"/>
    <x v="5"/>
    <x v="0"/>
    <x v="0"/>
  </r>
  <r>
    <s v="Call_7857"/>
    <x v="8"/>
    <n v="90"/>
    <x v="0"/>
    <x v="170"/>
    <n v="129"/>
    <n v="3.9"/>
    <x v="1"/>
    <x v="6"/>
    <x v="0"/>
    <x v="2"/>
  </r>
  <r>
    <s v="Call_7858"/>
    <x v="12"/>
    <n v="88"/>
    <x v="3"/>
    <x v="170"/>
    <n v="80"/>
    <n v="4.2"/>
    <x v="1"/>
    <x v="6"/>
    <x v="0"/>
    <x v="2"/>
  </r>
  <r>
    <s v="Call_7859"/>
    <x v="3"/>
    <n v="37"/>
    <x v="3"/>
    <x v="170"/>
    <n v="54"/>
    <n v="1.8"/>
    <x v="1"/>
    <x v="6"/>
    <x v="2"/>
    <x v="3"/>
  </r>
  <r>
    <s v="Call_7860"/>
    <x v="13"/>
    <n v="142"/>
    <x v="0"/>
    <x v="170"/>
    <n v="116"/>
    <n v="4.2"/>
    <x v="1"/>
    <x v="6"/>
    <x v="1"/>
    <x v="2"/>
  </r>
  <r>
    <s v="Call_7861"/>
    <x v="13"/>
    <n v="153"/>
    <x v="2"/>
    <x v="170"/>
    <n v="102"/>
    <n v="3.1"/>
    <x v="1"/>
    <x v="6"/>
    <x v="1"/>
    <x v="1"/>
  </r>
  <r>
    <s v="Call_7862"/>
    <x v="10"/>
    <n v="128"/>
    <x v="1"/>
    <x v="170"/>
    <n v="140"/>
    <n v="4.3"/>
    <x v="1"/>
    <x v="6"/>
    <x v="1"/>
    <x v="2"/>
  </r>
  <r>
    <s v="Call_7863"/>
    <x v="7"/>
    <n v="110"/>
    <x v="1"/>
    <x v="171"/>
    <n v="104"/>
    <n v="4.4000000000000004"/>
    <x v="1"/>
    <x v="0"/>
    <x v="0"/>
    <x v="2"/>
  </r>
  <r>
    <s v="Call_7864"/>
    <x v="10"/>
    <n v="139"/>
    <x v="3"/>
    <x v="171"/>
    <n v="81"/>
    <n v="4.4000000000000004"/>
    <x v="1"/>
    <x v="0"/>
    <x v="1"/>
    <x v="2"/>
  </r>
  <r>
    <s v="Call_7865"/>
    <x v="6"/>
    <n v="109"/>
    <x v="4"/>
    <x v="172"/>
    <n v="140"/>
    <n v="2.4"/>
    <x v="1"/>
    <x v="2"/>
    <x v="0"/>
    <x v="3"/>
  </r>
  <r>
    <s v="Call_7866"/>
    <x v="1"/>
    <n v="57"/>
    <x v="0"/>
    <x v="173"/>
    <n v="120"/>
    <n v="3.5"/>
    <x v="1"/>
    <x v="3"/>
    <x v="2"/>
    <x v="2"/>
  </r>
  <r>
    <s v="Call_7867"/>
    <x v="6"/>
    <n v="68"/>
    <x v="3"/>
    <x v="173"/>
    <n v="41"/>
    <n v="3.1"/>
    <x v="1"/>
    <x v="3"/>
    <x v="0"/>
    <x v="1"/>
  </r>
  <r>
    <s v="Call_7868"/>
    <x v="4"/>
    <n v="128"/>
    <x v="3"/>
    <x v="173"/>
    <n v="116"/>
    <n v="2.2999999999999998"/>
    <x v="1"/>
    <x v="3"/>
    <x v="1"/>
    <x v="3"/>
  </r>
  <r>
    <s v="Call_7869"/>
    <x v="0"/>
    <n v="102"/>
    <x v="0"/>
    <x v="174"/>
    <n v="70"/>
    <n v="2.8"/>
    <x v="1"/>
    <x v="4"/>
    <x v="0"/>
    <x v="1"/>
  </r>
  <r>
    <s v="Call_7870"/>
    <x v="10"/>
    <n v="52"/>
    <x v="2"/>
    <x v="174"/>
    <n v="42"/>
    <n v="4.5"/>
    <x v="1"/>
    <x v="4"/>
    <x v="2"/>
    <x v="0"/>
  </r>
  <r>
    <s v="Call_7871"/>
    <x v="4"/>
    <n v="55"/>
    <x v="1"/>
    <x v="175"/>
    <n v="112"/>
    <n v="4.5"/>
    <x v="1"/>
    <x v="5"/>
    <x v="2"/>
    <x v="0"/>
  </r>
  <r>
    <s v="Call_7872"/>
    <x v="3"/>
    <n v="107"/>
    <x v="3"/>
    <x v="175"/>
    <n v="20"/>
    <n v="4.5"/>
    <x v="1"/>
    <x v="5"/>
    <x v="0"/>
    <x v="0"/>
  </r>
  <r>
    <s v="Call_7873"/>
    <x v="8"/>
    <n v="88"/>
    <x v="2"/>
    <x v="176"/>
    <n v="110"/>
    <n v="4.8"/>
    <x v="1"/>
    <x v="6"/>
    <x v="0"/>
    <x v="0"/>
  </r>
  <r>
    <s v="Call_7874"/>
    <x v="5"/>
    <n v="49"/>
    <x v="2"/>
    <x v="176"/>
    <n v="39"/>
    <n v="4.5999999999999996"/>
    <x v="1"/>
    <x v="6"/>
    <x v="2"/>
    <x v="0"/>
  </r>
  <r>
    <s v="Call_7875"/>
    <x v="8"/>
    <n v="72"/>
    <x v="0"/>
    <x v="176"/>
    <n v="76"/>
    <n v="4.5"/>
    <x v="1"/>
    <x v="6"/>
    <x v="0"/>
    <x v="0"/>
  </r>
  <r>
    <s v="Call_7876"/>
    <x v="1"/>
    <n v="50"/>
    <x v="0"/>
    <x v="176"/>
    <n v="40"/>
    <n v="5"/>
    <x v="1"/>
    <x v="6"/>
    <x v="2"/>
    <x v="0"/>
  </r>
  <r>
    <s v="Call_7877"/>
    <x v="8"/>
    <n v="52"/>
    <x v="3"/>
    <x v="176"/>
    <n v="42"/>
    <n v="4.8"/>
    <x v="1"/>
    <x v="6"/>
    <x v="2"/>
    <x v="0"/>
  </r>
  <r>
    <s v="Call_7878"/>
    <x v="2"/>
    <n v="85"/>
    <x v="4"/>
    <x v="177"/>
    <n v="215"/>
    <n v="3.5"/>
    <x v="1"/>
    <x v="0"/>
    <x v="0"/>
    <x v="2"/>
  </r>
  <r>
    <s v="Call_7879"/>
    <x v="9"/>
    <n v="98"/>
    <x v="4"/>
    <x v="178"/>
    <n v="130"/>
    <n v="3.4"/>
    <x v="1"/>
    <x v="1"/>
    <x v="0"/>
    <x v="1"/>
  </r>
  <r>
    <s v="Call_7880"/>
    <x v="11"/>
    <n v="52"/>
    <x v="4"/>
    <x v="178"/>
    <n v="190"/>
    <n v="3.3"/>
    <x v="1"/>
    <x v="1"/>
    <x v="2"/>
    <x v="1"/>
  </r>
  <r>
    <s v="Call_7881"/>
    <x v="4"/>
    <n v="154"/>
    <x v="2"/>
    <x v="178"/>
    <n v="164"/>
    <n v="4.9000000000000004"/>
    <x v="1"/>
    <x v="1"/>
    <x v="1"/>
    <x v="0"/>
  </r>
  <r>
    <s v="Call_7882"/>
    <x v="14"/>
    <n v="131"/>
    <x v="1"/>
    <x v="179"/>
    <n v="76"/>
    <n v="4.5"/>
    <x v="1"/>
    <x v="2"/>
    <x v="1"/>
    <x v="0"/>
  </r>
  <r>
    <s v="Call_7883"/>
    <x v="2"/>
    <n v="73"/>
    <x v="1"/>
    <x v="180"/>
    <n v="87"/>
    <n v="4.8"/>
    <x v="1"/>
    <x v="3"/>
    <x v="0"/>
    <x v="0"/>
  </r>
  <r>
    <s v="Call_7884"/>
    <x v="7"/>
    <n v="45"/>
    <x v="4"/>
    <x v="180"/>
    <n v="84"/>
    <n v="4.8"/>
    <x v="1"/>
    <x v="3"/>
    <x v="2"/>
    <x v="0"/>
  </r>
  <r>
    <s v="Call_7885"/>
    <x v="10"/>
    <n v="114"/>
    <x v="3"/>
    <x v="180"/>
    <n v="114"/>
    <n v="3.9"/>
    <x v="1"/>
    <x v="3"/>
    <x v="0"/>
    <x v="2"/>
  </r>
  <r>
    <s v="Call_7886"/>
    <x v="9"/>
    <n v="69"/>
    <x v="1"/>
    <x v="181"/>
    <n v="56"/>
    <n v="3.9"/>
    <x v="1"/>
    <x v="4"/>
    <x v="0"/>
    <x v="2"/>
  </r>
  <r>
    <s v="Call_7887"/>
    <x v="14"/>
    <n v="33"/>
    <x v="2"/>
    <x v="181"/>
    <n v="27"/>
    <n v="3.7"/>
    <x v="1"/>
    <x v="4"/>
    <x v="2"/>
    <x v="2"/>
  </r>
  <r>
    <s v="Call_7888"/>
    <x v="1"/>
    <n v="31"/>
    <x v="0"/>
    <x v="182"/>
    <n v="84"/>
    <n v="4.8"/>
    <x v="1"/>
    <x v="5"/>
    <x v="2"/>
    <x v="0"/>
  </r>
  <r>
    <s v="Call_7889"/>
    <x v="7"/>
    <n v="168"/>
    <x v="2"/>
    <x v="182"/>
    <n v="72"/>
    <n v="3.5"/>
    <x v="1"/>
    <x v="5"/>
    <x v="1"/>
    <x v="2"/>
  </r>
  <r>
    <s v="Call_7890"/>
    <x v="2"/>
    <n v="111"/>
    <x v="3"/>
    <x v="183"/>
    <n v="126"/>
    <n v="4.2"/>
    <x v="1"/>
    <x v="6"/>
    <x v="0"/>
    <x v="2"/>
  </r>
  <r>
    <s v="Call_7891"/>
    <x v="1"/>
    <n v="80"/>
    <x v="2"/>
    <x v="184"/>
    <n v="88"/>
    <n v="4.9000000000000004"/>
    <x v="1"/>
    <x v="0"/>
    <x v="0"/>
    <x v="0"/>
  </r>
  <r>
    <s v="Call_7892"/>
    <x v="0"/>
    <n v="37"/>
    <x v="2"/>
    <x v="184"/>
    <n v="124"/>
    <n v="4.5999999999999996"/>
    <x v="1"/>
    <x v="0"/>
    <x v="2"/>
    <x v="0"/>
  </r>
  <r>
    <s v="Call_7893"/>
    <x v="13"/>
    <n v="137"/>
    <x v="2"/>
    <x v="185"/>
    <n v="84"/>
    <n v="2.6"/>
    <x v="1"/>
    <x v="1"/>
    <x v="1"/>
    <x v="1"/>
  </r>
  <r>
    <s v="Call_7894"/>
    <x v="9"/>
    <n v="123"/>
    <x v="3"/>
    <x v="185"/>
    <n v="80"/>
    <n v="2.7"/>
    <x v="1"/>
    <x v="1"/>
    <x v="1"/>
    <x v="1"/>
  </r>
  <r>
    <s v="Call_7895"/>
    <x v="12"/>
    <n v="105"/>
    <x v="3"/>
    <x v="186"/>
    <n v="176"/>
    <n v="4.7"/>
    <x v="1"/>
    <x v="2"/>
    <x v="0"/>
    <x v="0"/>
  </r>
  <r>
    <s v="Call_7896"/>
    <x v="0"/>
    <n v="76"/>
    <x v="4"/>
    <x v="187"/>
    <n v="84"/>
    <n v="3.9"/>
    <x v="1"/>
    <x v="3"/>
    <x v="0"/>
    <x v="2"/>
  </r>
  <r>
    <s v="Call_7897"/>
    <x v="1"/>
    <n v="144"/>
    <x v="4"/>
    <x v="187"/>
    <n v="164"/>
    <n v="2.8"/>
    <x v="1"/>
    <x v="3"/>
    <x v="1"/>
    <x v="1"/>
  </r>
  <r>
    <s v="Call_7898"/>
    <x v="14"/>
    <n v="109"/>
    <x v="0"/>
    <x v="187"/>
    <n v="132"/>
    <n v="3.1"/>
    <x v="1"/>
    <x v="3"/>
    <x v="0"/>
    <x v="1"/>
  </r>
  <r>
    <s v="Call_7899"/>
    <x v="9"/>
    <n v="172"/>
    <x v="2"/>
    <x v="188"/>
    <n v="27"/>
    <n v="4.2"/>
    <x v="1"/>
    <x v="4"/>
    <x v="1"/>
    <x v="2"/>
  </r>
  <r>
    <s v="Call_7900"/>
    <x v="1"/>
    <n v="56"/>
    <x v="3"/>
    <x v="188"/>
    <n v="27"/>
    <n v="4.3"/>
    <x v="1"/>
    <x v="4"/>
    <x v="2"/>
    <x v="2"/>
  </r>
  <r>
    <s v="Call_7901"/>
    <x v="1"/>
    <n v="121"/>
    <x v="1"/>
    <x v="188"/>
    <n v="20"/>
    <n v="2.7"/>
    <x v="1"/>
    <x v="4"/>
    <x v="1"/>
    <x v="1"/>
  </r>
  <r>
    <s v="Call_7902"/>
    <x v="9"/>
    <n v="41"/>
    <x v="3"/>
    <x v="189"/>
    <n v="112"/>
    <n v="2.2999999999999998"/>
    <x v="1"/>
    <x v="5"/>
    <x v="2"/>
    <x v="3"/>
  </r>
  <r>
    <s v="Call_7903"/>
    <x v="3"/>
    <n v="60"/>
    <x v="2"/>
    <x v="189"/>
    <n v="60"/>
    <n v="2.2999999999999998"/>
    <x v="1"/>
    <x v="5"/>
    <x v="2"/>
    <x v="3"/>
  </r>
  <r>
    <s v="Call_7904"/>
    <x v="3"/>
    <n v="144"/>
    <x v="2"/>
    <x v="190"/>
    <n v="102"/>
    <n v="2.9"/>
    <x v="1"/>
    <x v="6"/>
    <x v="1"/>
    <x v="1"/>
  </r>
  <r>
    <s v="Call_7905"/>
    <x v="4"/>
    <n v="67"/>
    <x v="2"/>
    <x v="190"/>
    <n v="38"/>
    <n v="4.2"/>
    <x v="1"/>
    <x v="6"/>
    <x v="0"/>
    <x v="2"/>
  </r>
  <r>
    <s v="Call_7906"/>
    <x v="9"/>
    <n v="162"/>
    <x v="0"/>
    <x v="190"/>
    <n v="82"/>
    <n v="4.5999999999999996"/>
    <x v="1"/>
    <x v="6"/>
    <x v="1"/>
    <x v="0"/>
  </r>
  <r>
    <s v="Call_7907"/>
    <x v="3"/>
    <n v="87"/>
    <x v="1"/>
    <x v="191"/>
    <n v="125"/>
    <n v="4.5"/>
    <x v="1"/>
    <x v="2"/>
    <x v="0"/>
    <x v="0"/>
  </r>
  <r>
    <s v="Call_7908"/>
    <x v="11"/>
    <n v="10"/>
    <x v="4"/>
    <x v="192"/>
    <n v="72"/>
    <n v="3.7"/>
    <x v="1"/>
    <x v="3"/>
    <x v="3"/>
    <x v="2"/>
  </r>
  <r>
    <s v="Call_7909"/>
    <x v="1"/>
    <n v="138"/>
    <x v="4"/>
    <x v="192"/>
    <n v="195"/>
    <n v="4.0999999999999996"/>
    <x v="1"/>
    <x v="3"/>
    <x v="1"/>
    <x v="2"/>
  </r>
  <r>
    <s v="Call_7910"/>
    <x v="9"/>
    <n v="31"/>
    <x v="4"/>
    <x v="193"/>
    <n v="160"/>
    <n v="3.4"/>
    <x v="1"/>
    <x v="4"/>
    <x v="2"/>
    <x v="1"/>
  </r>
  <r>
    <s v="Call_7911"/>
    <x v="12"/>
    <n v="75"/>
    <x v="0"/>
    <x v="193"/>
    <n v="78"/>
    <n v="3.3"/>
    <x v="1"/>
    <x v="4"/>
    <x v="0"/>
    <x v="1"/>
  </r>
  <r>
    <s v="Call_7912"/>
    <x v="0"/>
    <n v="65"/>
    <x v="0"/>
    <x v="194"/>
    <n v="70"/>
    <n v="4.4000000000000004"/>
    <x v="1"/>
    <x v="5"/>
    <x v="0"/>
    <x v="2"/>
  </r>
  <r>
    <s v="Call_7913"/>
    <x v="2"/>
    <n v="106"/>
    <x v="3"/>
    <x v="194"/>
    <n v="105"/>
    <n v="4.2"/>
    <x v="1"/>
    <x v="5"/>
    <x v="0"/>
    <x v="2"/>
  </r>
  <r>
    <s v="Call_7914"/>
    <x v="0"/>
    <n v="107"/>
    <x v="3"/>
    <x v="195"/>
    <n v="78"/>
    <n v="3.4"/>
    <x v="1"/>
    <x v="6"/>
    <x v="0"/>
    <x v="1"/>
  </r>
  <r>
    <s v="Call_7915"/>
    <x v="13"/>
    <n v="78"/>
    <x v="3"/>
    <x v="196"/>
    <n v="205"/>
    <n v="4.4000000000000004"/>
    <x v="1"/>
    <x v="1"/>
    <x v="0"/>
    <x v="2"/>
  </r>
  <r>
    <s v="Call_7916"/>
    <x v="8"/>
    <n v="122"/>
    <x v="3"/>
    <x v="196"/>
    <n v="78"/>
    <n v="2.7"/>
    <x v="1"/>
    <x v="1"/>
    <x v="1"/>
    <x v="1"/>
  </r>
  <r>
    <s v="Call_7917"/>
    <x v="1"/>
    <n v="58"/>
    <x v="4"/>
    <x v="196"/>
    <n v="38"/>
    <n v="4.5"/>
    <x v="1"/>
    <x v="1"/>
    <x v="2"/>
    <x v="0"/>
  </r>
  <r>
    <s v="Call_7918"/>
    <x v="13"/>
    <n v="33"/>
    <x v="2"/>
    <x v="196"/>
    <n v="92"/>
    <n v="1.7"/>
    <x v="1"/>
    <x v="1"/>
    <x v="2"/>
    <x v="3"/>
  </r>
  <r>
    <s v="Call_7919"/>
    <x v="14"/>
    <n v="164"/>
    <x v="0"/>
    <x v="196"/>
    <n v="36"/>
    <n v="4.7"/>
    <x v="1"/>
    <x v="1"/>
    <x v="1"/>
    <x v="0"/>
  </r>
  <r>
    <s v="Call_7920"/>
    <x v="12"/>
    <n v="163"/>
    <x v="1"/>
    <x v="196"/>
    <n v="76"/>
    <n v="4.4000000000000004"/>
    <x v="1"/>
    <x v="1"/>
    <x v="1"/>
    <x v="2"/>
  </r>
  <r>
    <s v="Call_7921"/>
    <x v="5"/>
    <n v="71"/>
    <x v="0"/>
    <x v="197"/>
    <n v="170"/>
    <n v="3.5"/>
    <x v="1"/>
    <x v="3"/>
    <x v="0"/>
    <x v="2"/>
  </r>
  <r>
    <s v="Call_7922"/>
    <x v="13"/>
    <n v="103"/>
    <x v="4"/>
    <x v="198"/>
    <n v="117"/>
    <n v="4.7"/>
    <x v="1"/>
    <x v="4"/>
    <x v="0"/>
    <x v="0"/>
  </r>
  <r>
    <s v="Call_7923"/>
    <x v="10"/>
    <n v="69"/>
    <x v="1"/>
    <x v="198"/>
    <n v="20"/>
    <n v="4.3"/>
    <x v="1"/>
    <x v="4"/>
    <x v="0"/>
    <x v="2"/>
  </r>
  <r>
    <s v="Call_7924"/>
    <x v="12"/>
    <n v="111"/>
    <x v="4"/>
    <x v="198"/>
    <n v="99"/>
    <n v="4.0999999999999996"/>
    <x v="1"/>
    <x v="4"/>
    <x v="0"/>
    <x v="2"/>
  </r>
  <r>
    <s v="Call_7925"/>
    <x v="6"/>
    <n v="97"/>
    <x v="1"/>
    <x v="199"/>
    <n v="105"/>
    <n v="2.9"/>
    <x v="1"/>
    <x v="5"/>
    <x v="0"/>
    <x v="1"/>
  </r>
  <r>
    <s v="Call_7926"/>
    <x v="7"/>
    <n v="144"/>
    <x v="3"/>
    <x v="199"/>
    <n v="195"/>
    <n v="3.4"/>
    <x v="1"/>
    <x v="5"/>
    <x v="1"/>
    <x v="1"/>
  </r>
  <r>
    <s v="Call_7927"/>
    <x v="2"/>
    <n v="56"/>
    <x v="1"/>
    <x v="200"/>
    <n v="152"/>
    <n v="4.5999999999999996"/>
    <x v="1"/>
    <x v="6"/>
    <x v="2"/>
    <x v="0"/>
  </r>
  <r>
    <s v="Call_7928"/>
    <x v="7"/>
    <n v="132"/>
    <x v="3"/>
    <x v="201"/>
    <n v="195"/>
    <n v="4.9000000000000004"/>
    <x v="1"/>
    <x v="0"/>
    <x v="1"/>
    <x v="0"/>
  </r>
  <r>
    <s v="Call_7929"/>
    <x v="5"/>
    <n v="72"/>
    <x v="2"/>
    <x v="201"/>
    <n v="70"/>
    <n v="3.6"/>
    <x v="1"/>
    <x v="0"/>
    <x v="0"/>
    <x v="2"/>
  </r>
  <r>
    <s v="Call_7930"/>
    <x v="12"/>
    <n v="18"/>
    <x v="2"/>
    <x v="201"/>
    <n v="22"/>
    <n v="3.5"/>
    <x v="1"/>
    <x v="0"/>
    <x v="3"/>
    <x v="2"/>
  </r>
  <r>
    <s v="Call_7931"/>
    <x v="4"/>
    <n v="115"/>
    <x v="4"/>
    <x v="202"/>
    <n v="40"/>
    <n v="3.3"/>
    <x v="1"/>
    <x v="1"/>
    <x v="0"/>
    <x v="1"/>
  </r>
  <r>
    <s v="Call_7932"/>
    <x v="4"/>
    <n v="124"/>
    <x v="1"/>
    <x v="203"/>
    <n v="54"/>
    <n v="3.8"/>
    <x v="1"/>
    <x v="2"/>
    <x v="1"/>
    <x v="2"/>
  </r>
  <r>
    <s v="Call_7933"/>
    <x v="1"/>
    <n v="130"/>
    <x v="1"/>
    <x v="203"/>
    <n v="60"/>
    <n v="2.5"/>
    <x v="1"/>
    <x v="2"/>
    <x v="1"/>
    <x v="1"/>
  </r>
  <r>
    <s v="Call_7934"/>
    <x v="11"/>
    <n v="120"/>
    <x v="0"/>
    <x v="204"/>
    <n v="58"/>
    <n v="4.5999999999999996"/>
    <x v="1"/>
    <x v="4"/>
    <x v="0"/>
    <x v="0"/>
  </r>
  <r>
    <s v="Call_7935"/>
    <x v="6"/>
    <n v="75"/>
    <x v="4"/>
    <x v="204"/>
    <n v="220"/>
    <n v="4.7"/>
    <x v="1"/>
    <x v="4"/>
    <x v="0"/>
    <x v="0"/>
  </r>
  <r>
    <s v="Call_7936"/>
    <x v="0"/>
    <n v="63"/>
    <x v="4"/>
    <x v="204"/>
    <n v="27"/>
    <n v="3.6"/>
    <x v="1"/>
    <x v="4"/>
    <x v="0"/>
    <x v="2"/>
  </r>
  <r>
    <s v="Call_7937"/>
    <x v="7"/>
    <n v="74"/>
    <x v="4"/>
    <x v="205"/>
    <n v="26"/>
    <n v="4.3"/>
    <x v="1"/>
    <x v="6"/>
    <x v="0"/>
    <x v="2"/>
  </r>
  <r>
    <s v="Call_7938"/>
    <x v="10"/>
    <n v="134"/>
    <x v="3"/>
    <x v="206"/>
    <n v="160"/>
    <n v="4.7"/>
    <x v="1"/>
    <x v="0"/>
    <x v="1"/>
    <x v="0"/>
  </r>
  <r>
    <s v="Call_7939"/>
    <x v="12"/>
    <n v="103"/>
    <x v="1"/>
    <x v="206"/>
    <n v="200"/>
    <n v="4.9000000000000004"/>
    <x v="1"/>
    <x v="0"/>
    <x v="0"/>
    <x v="0"/>
  </r>
  <r>
    <s v="Call_7940"/>
    <x v="12"/>
    <n v="155"/>
    <x v="0"/>
    <x v="207"/>
    <n v="135"/>
    <n v="4.9000000000000004"/>
    <x v="1"/>
    <x v="3"/>
    <x v="1"/>
    <x v="0"/>
  </r>
  <r>
    <s v="Call_7941"/>
    <x v="0"/>
    <n v="128"/>
    <x v="1"/>
    <x v="208"/>
    <n v="22"/>
    <n v="1.9"/>
    <x v="1"/>
    <x v="4"/>
    <x v="1"/>
    <x v="3"/>
  </r>
  <r>
    <s v="Call_7942"/>
    <x v="6"/>
    <n v="89"/>
    <x v="3"/>
    <x v="209"/>
    <n v="164"/>
    <n v="4.5"/>
    <x v="1"/>
    <x v="5"/>
    <x v="0"/>
    <x v="0"/>
  </r>
  <r>
    <s v="Call_7943"/>
    <x v="4"/>
    <n v="81"/>
    <x v="0"/>
    <x v="209"/>
    <n v="21"/>
    <n v="4.9000000000000004"/>
    <x v="1"/>
    <x v="5"/>
    <x v="0"/>
    <x v="0"/>
  </r>
  <r>
    <s v="Call_7944"/>
    <x v="6"/>
    <n v="66"/>
    <x v="3"/>
    <x v="210"/>
    <n v="120"/>
    <n v="4.5"/>
    <x v="1"/>
    <x v="6"/>
    <x v="0"/>
    <x v="0"/>
  </r>
  <r>
    <s v="Call_7945"/>
    <x v="5"/>
    <n v="61"/>
    <x v="2"/>
    <x v="210"/>
    <n v="93"/>
    <n v="2.7"/>
    <x v="1"/>
    <x v="6"/>
    <x v="0"/>
    <x v="1"/>
  </r>
  <r>
    <s v="Call_7946"/>
    <x v="4"/>
    <n v="128"/>
    <x v="2"/>
    <x v="210"/>
    <n v="135"/>
    <n v="2.1"/>
    <x v="1"/>
    <x v="6"/>
    <x v="1"/>
    <x v="3"/>
  </r>
  <r>
    <s v="Call_7947"/>
    <x v="12"/>
    <n v="30"/>
    <x v="0"/>
    <x v="210"/>
    <n v="210"/>
    <n v="4.2"/>
    <x v="1"/>
    <x v="6"/>
    <x v="3"/>
    <x v="2"/>
  </r>
  <r>
    <s v="Call_7948"/>
    <x v="14"/>
    <n v="63"/>
    <x v="2"/>
    <x v="211"/>
    <n v="29"/>
    <n v="4.7"/>
    <x v="1"/>
    <x v="0"/>
    <x v="0"/>
    <x v="0"/>
  </r>
  <r>
    <s v="Call_7949"/>
    <x v="8"/>
    <n v="64"/>
    <x v="4"/>
    <x v="211"/>
    <n v="111"/>
    <n v="3.9"/>
    <x v="1"/>
    <x v="0"/>
    <x v="0"/>
    <x v="2"/>
  </r>
  <r>
    <s v="Call_7950"/>
    <x v="3"/>
    <n v="151"/>
    <x v="1"/>
    <x v="212"/>
    <n v="63"/>
    <n v="4.0999999999999996"/>
    <x v="1"/>
    <x v="1"/>
    <x v="1"/>
    <x v="2"/>
  </r>
  <r>
    <s v="Call_7951"/>
    <x v="13"/>
    <n v="116"/>
    <x v="3"/>
    <x v="212"/>
    <n v="44"/>
    <n v="3.8"/>
    <x v="1"/>
    <x v="1"/>
    <x v="0"/>
    <x v="2"/>
  </r>
  <r>
    <s v="Call_7952"/>
    <x v="3"/>
    <n v="111"/>
    <x v="3"/>
    <x v="213"/>
    <n v="120"/>
    <n v="1.8"/>
    <x v="1"/>
    <x v="3"/>
    <x v="0"/>
    <x v="3"/>
  </r>
  <r>
    <s v="Call_7953"/>
    <x v="4"/>
    <n v="15"/>
    <x v="3"/>
    <x v="213"/>
    <n v="120"/>
    <n v="4.0999999999999996"/>
    <x v="1"/>
    <x v="3"/>
    <x v="3"/>
    <x v="2"/>
  </r>
  <r>
    <s v="Call_7954"/>
    <x v="8"/>
    <n v="18"/>
    <x v="1"/>
    <x v="214"/>
    <n v="40"/>
    <n v="4.4000000000000004"/>
    <x v="1"/>
    <x v="4"/>
    <x v="3"/>
    <x v="2"/>
  </r>
  <r>
    <s v="Call_7955"/>
    <x v="5"/>
    <n v="146"/>
    <x v="2"/>
    <x v="214"/>
    <n v="160"/>
    <n v="4.0999999999999996"/>
    <x v="1"/>
    <x v="4"/>
    <x v="1"/>
    <x v="2"/>
  </r>
  <r>
    <s v="Call_7956"/>
    <x v="12"/>
    <n v="73"/>
    <x v="3"/>
    <x v="215"/>
    <n v="44"/>
    <n v="3.8"/>
    <x v="1"/>
    <x v="5"/>
    <x v="0"/>
    <x v="2"/>
  </r>
  <r>
    <s v="Call_7957"/>
    <x v="3"/>
    <n v="108"/>
    <x v="1"/>
    <x v="215"/>
    <n v="80"/>
    <n v="4.3"/>
    <x v="1"/>
    <x v="5"/>
    <x v="0"/>
    <x v="2"/>
  </r>
  <r>
    <s v="Call_7958"/>
    <x v="10"/>
    <n v="52"/>
    <x v="1"/>
    <x v="216"/>
    <n v="66"/>
    <n v="4.5"/>
    <x v="1"/>
    <x v="6"/>
    <x v="2"/>
    <x v="0"/>
  </r>
  <r>
    <s v="Call_7959"/>
    <x v="13"/>
    <n v="165"/>
    <x v="4"/>
    <x v="216"/>
    <n v="82"/>
    <n v="3.4"/>
    <x v="1"/>
    <x v="6"/>
    <x v="1"/>
    <x v="1"/>
  </r>
  <r>
    <s v="Call_7960"/>
    <x v="5"/>
    <n v="104"/>
    <x v="3"/>
    <x v="216"/>
    <n v="66"/>
    <n v="4.8"/>
    <x v="1"/>
    <x v="6"/>
    <x v="0"/>
    <x v="0"/>
  </r>
  <r>
    <s v="Call_7961"/>
    <x v="12"/>
    <n v="131"/>
    <x v="2"/>
    <x v="216"/>
    <n v="92"/>
    <n v="4.9000000000000004"/>
    <x v="1"/>
    <x v="6"/>
    <x v="1"/>
    <x v="0"/>
  </r>
  <r>
    <s v="Call_7962"/>
    <x v="11"/>
    <n v="80"/>
    <x v="4"/>
    <x v="217"/>
    <n v="104"/>
    <n v="4.7"/>
    <x v="1"/>
    <x v="0"/>
    <x v="0"/>
    <x v="0"/>
  </r>
  <r>
    <s v="Call_7963"/>
    <x v="4"/>
    <n v="49"/>
    <x v="3"/>
    <x v="217"/>
    <n v="105"/>
    <n v="3.3"/>
    <x v="1"/>
    <x v="0"/>
    <x v="2"/>
    <x v="1"/>
  </r>
  <r>
    <s v="Call_7964"/>
    <x v="13"/>
    <n v="73"/>
    <x v="3"/>
    <x v="217"/>
    <n v="100"/>
    <n v="2.8"/>
    <x v="1"/>
    <x v="0"/>
    <x v="0"/>
    <x v="1"/>
  </r>
  <r>
    <s v="Call_7965"/>
    <x v="5"/>
    <n v="117"/>
    <x v="4"/>
    <x v="217"/>
    <n v="90"/>
    <n v="4.0999999999999996"/>
    <x v="1"/>
    <x v="0"/>
    <x v="0"/>
    <x v="2"/>
  </r>
  <r>
    <s v="Call_7966"/>
    <x v="2"/>
    <n v="38"/>
    <x v="0"/>
    <x v="217"/>
    <n v="110"/>
    <n v="3.5"/>
    <x v="1"/>
    <x v="0"/>
    <x v="2"/>
    <x v="2"/>
  </r>
  <r>
    <s v="Call_7967"/>
    <x v="10"/>
    <n v="109"/>
    <x v="4"/>
    <x v="218"/>
    <n v="68"/>
    <n v="2.2999999999999998"/>
    <x v="1"/>
    <x v="2"/>
    <x v="0"/>
    <x v="3"/>
  </r>
  <r>
    <s v="Call_7968"/>
    <x v="4"/>
    <n v="70"/>
    <x v="1"/>
    <x v="219"/>
    <n v="210"/>
    <n v="4.0999999999999996"/>
    <x v="1"/>
    <x v="3"/>
    <x v="0"/>
    <x v="2"/>
  </r>
  <r>
    <s v="Call_7969"/>
    <x v="1"/>
    <n v="51"/>
    <x v="0"/>
    <x v="219"/>
    <n v="111"/>
    <n v="4.3"/>
    <x v="1"/>
    <x v="3"/>
    <x v="2"/>
    <x v="2"/>
  </r>
  <r>
    <s v="Call_7970"/>
    <x v="1"/>
    <n v="100"/>
    <x v="1"/>
    <x v="220"/>
    <n v="45"/>
    <n v="4.9000000000000004"/>
    <x v="1"/>
    <x v="4"/>
    <x v="0"/>
    <x v="0"/>
  </r>
  <r>
    <s v="Call_7971"/>
    <x v="7"/>
    <n v="124"/>
    <x v="0"/>
    <x v="221"/>
    <n v="132"/>
    <n v="4"/>
    <x v="1"/>
    <x v="5"/>
    <x v="1"/>
    <x v="2"/>
  </r>
  <r>
    <s v="Call_7972"/>
    <x v="0"/>
    <n v="143"/>
    <x v="4"/>
    <x v="221"/>
    <n v="20"/>
    <n v="4.7"/>
    <x v="1"/>
    <x v="5"/>
    <x v="1"/>
    <x v="0"/>
  </r>
  <r>
    <s v="Call_7973"/>
    <x v="6"/>
    <n v="96"/>
    <x v="3"/>
    <x v="221"/>
    <n v="36"/>
    <n v="3.4"/>
    <x v="1"/>
    <x v="5"/>
    <x v="0"/>
    <x v="1"/>
  </r>
  <r>
    <s v="Call_7974"/>
    <x v="13"/>
    <n v="84"/>
    <x v="1"/>
    <x v="222"/>
    <n v="72"/>
    <n v="4"/>
    <x v="1"/>
    <x v="0"/>
    <x v="0"/>
    <x v="2"/>
  </r>
  <r>
    <s v="Call_7975"/>
    <x v="9"/>
    <n v="111"/>
    <x v="1"/>
    <x v="222"/>
    <n v="63"/>
    <n v="4.5"/>
    <x v="1"/>
    <x v="0"/>
    <x v="0"/>
    <x v="0"/>
  </r>
  <r>
    <s v="Call_7976"/>
    <x v="9"/>
    <n v="103"/>
    <x v="0"/>
    <x v="223"/>
    <n v="44"/>
    <n v="4.5"/>
    <x v="1"/>
    <x v="1"/>
    <x v="0"/>
    <x v="0"/>
  </r>
  <r>
    <s v="Call_7977"/>
    <x v="0"/>
    <n v="61"/>
    <x v="2"/>
    <x v="223"/>
    <n v="132"/>
    <n v="4.9000000000000004"/>
    <x v="1"/>
    <x v="1"/>
    <x v="0"/>
    <x v="0"/>
  </r>
  <r>
    <s v="Call_7978"/>
    <x v="12"/>
    <n v="113"/>
    <x v="3"/>
    <x v="223"/>
    <n v="46"/>
    <n v="4.4000000000000004"/>
    <x v="1"/>
    <x v="1"/>
    <x v="0"/>
    <x v="2"/>
  </r>
  <r>
    <s v="Call_7979"/>
    <x v="12"/>
    <n v="96"/>
    <x v="3"/>
    <x v="223"/>
    <n v="96"/>
    <n v="2.9"/>
    <x v="1"/>
    <x v="1"/>
    <x v="0"/>
    <x v="1"/>
  </r>
  <r>
    <s v="Call_7980"/>
    <x v="8"/>
    <n v="131"/>
    <x v="0"/>
    <x v="224"/>
    <n v="75"/>
    <n v="4.4000000000000004"/>
    <x v="1"/>
    <x v="2"/>
    <x v="1"/>
    <x v="2"/>
  </r>
  <r>
    <s v="Call_7981"/>
    <x v="5"/>
    <n v="52"/>
    <x v="3"/>
    <x v="225"/>
    <n v="88"/>
    <n v="4.3"/>
    <x v="1"/>
    <x v="3"/>
    <x v="2"/>
    <x v="2"/>
  </r>
  <r>
    <s v="Call_7982"/>
    <x v="1"/>
    <n v="100"/>
    <x v="0"/>
    <x v="225"/>
    <n v="24"/>
    <n v="4.7"/>
    <x v="1"/>
    <x v="3"/>
    <x v="0"/>
    <x v="0"/>
  </r>
  <r>
    <s v="Call_7983"/>
    <x v="3"/>
    <n v="58"/>
    <x v="4"/>
    <x v="225"/>
    <n v="96"/>
    <n v="3.2"/>
    <x v="1"/>
    <x v="3"/>
    <x v="2"/>
    <x v="1"/>
  </r>
  <r>
    <s v="Call_7984"/>
    <x v="4"/>
    <n v="144"/>
    <x v="4"/>
    <x v="226"/>
    <n v="124"/>
    <n v="2.2999999999999998"/>
    <x v="1"/>
    <x v="4"/>
    <x v="1"/>
    <x v="3"/>
  </r>
  <r>
    <s v="Call_7985"/>
    <x v="3"/>
    <n v="53"/>
    <x v="2"/>
    <x v="227"/>
    <n v="130"/>
    <n v="3.6"/>
    <x v="1"/>
    <x v="5"/>
    <x v="2"/>
    <x v="2"/>
  </r>
  <r>
    <s v="Call_7986"/>
    <x v="12"/>
    <n v="97"/>
    <x v="1"/>
    <x v="227"/>
    <n v="45"/>
    <n v="4.5999999999999996"/>
    <x v="1"/>
    <x v="5"/>
    <x v="0"/>
    <x v="0"/>
  </r>
  <r>
    <s v="Call_7987"/>
    <x v="2"/>
    <n v="64"/>
    <x v="4"/>
    <x v="227"/>
    <n v="66"/>
    <n v="4"/>
    <x v="1"/>
    <x v="5"/>
    <x v="0"/>
    <x v="2"/>
  </r>
  <r>
    <s v="Call_7988"/>
    <x v="0"/>
    <n v="106"/>
    <x v="0"/>
    <x v="227"/>
    <n v="58"/>
    <n v="4.7"/>
    <x v="1"/>
    <x v="5"/>
    <x v="0"/>
    <x v="0"/>
  </r>
  <r>
    <s v="Call_7989"/>
    <x v="13"/>
    <n v="36"/>
    <x v="4"/>
    <x v="228"/>
    <n v="152"/>
    <n v="4.3"/>
    <x v="1"/>
    <x v="6"/>
    <x v="2"/>
    <x v="2"/>
  </r>
  <r>
    <s v="Call_7990"/>
    <x v="4"/>
    <n v="74"/>
    <x v="3"/>
    <x v="228"/>
    <n v="75"/>
    <n v="2.8"/>
    <x v="1"/>
    <x v="6"/>
    <x v="0"/>
    <x v="1"/>
  </r>
  <r>
    <s v="Call_7991"/>
    <x v="10"/>
    <n v="143"/>
    <x v="1"/>
    <x v="228"/>
    <n v="78"/>
    <n v="4"/>
    <x v="1"/>
    <x v="6"/>
    <x v="1"/>
    <x v="2"/>
  </r>
  <r>
    <s v="Call_7992"/>
    <x v="0"/>
    <n v="94"/>
    <x v="2"/>
    <x v="228"/>
    <n v="69"/>
    <n v="3.9"/>
    <x v="1"/>
    <x v="6"/>
    <x v="0"/>
    <x v="2"/>
  </r>
  <r>
    <s v="Call_7993"/>
    <x v="11"/>
    <n v="124"/>
    <x v="0"/>
    <x v="229"/>
    <n v="46"/>
    <n v="3.1"/>
    <x v="1"/>
    <x v="0"/>
    <x v="1"/>
    <x v="1"/>
  </r>
  <r>
    <s v="Call_7994"/>
    <x v="13"/>
    <n v="156"/>
    <x v="4"/>
    <x v="229"/>
    <n v="64"/>
    <n v="2.7"/>
    <x v="1"/>
    <x v="0"/>
    <x v="1"/>
    <x v="1"/>
  </r>
  <r>
    <s v="Call_7995"/>
    <x v="6"/>
    <n v="107"/>
    <x v="1"/>
    <x v="229"/>
    <n v="38"/>
    <n v="4.7"/>
    <x v="1"/>
    <x v="0"/>
    <x v="0"/>
    <x v="0"/>
  </r>
  <r>
    <s v="Call_7996"/>
    <x v="0"/>
    <n v="58"/>
    <x v="1"/>
    <x v="230"/>
    <n v="90"/>
    <n v="4.3"/>
    <x v="1"/>
    <x v="2"/>
    <x v="2"/>
    <x v="2"/>
  </r>
  <r>
    <s v="Call_7997"/>
    <x v="7"/>
    <n v="66"/>
    <x v="1"/>
    <x v="230"/>
    <n v="32"/>
    <n v="3.8"/>
    <x v="1"/>
    <x v="2"/>
    <x v="0"/>
    <x v="2"/>
  </r>
  <r>
    <s v="Call_7998"/>
    <x v="8"/>
    <n v="75"/>
    <x v="4"/>
    <x v="230"/>
    <n v="120"/>
    <n v="4.4000000000000004"/>
    <x v="1"/>
    <x v="2"/>
    <x v="0"/>
    <x v="2"/>
  </r>
  <r>
    <s v="Call_7999"/>
    <x v="6"/>
    <n v="8"/>
    <x v="1"/>
    <x v="230"/>
    <n v="31"/>
    <n v="3.9"/>
    <x v="1"/>
    <x v="2"/>
    <x v="4"/>
    <x v="2"/>
  </r>
  <r>
    <s v="Call_8000"/>
    <x v="2"/>
    <n v="76"/>
    <x v="4"/>
    <x v="231"/>
    <n v="108"/>
    <n v="4.9000000000000004"/>
    <x v="1"/>
    <x v="3"/>
    <x v="0"/>
    <x v="0"/>
  </r>
  <r>
    <s v="Call_8001"/>
    <x v="0"/>
    <n v="110"/>
    <x v="4"/>
    <x v="231"/>
    <n v="180"/>
    <n v="4.2"/>
    <x v="1"/>
    <x v="3"/>
    <x v="0"/>
    <x v="2"/>
  </r>
  <r>
    <s v="Call_8002"/>
    <x v="7"/>
    <n v="50"/>
    <x v="2"/>
    <x v="232"/>
    <n v="124"/>
    <n v="4"/>
    <x v="1"/>
    <x v="4"/>
    <x v="2"/>
    <x v="2"/>
  </r>
  <r>
    <s v="Call_8003"/>
    <x v="5"/>
    <n v="78"/>
    <x v="2"/>
    <x v="232"/>
    <n v="23"/>
    <n v="4.2"/>
    <x v="1"/>
    <x v="4"/>
    <x v="0"/>
    <x v="2"/>
  </r>
  <r>
    <s v="Call_8004"/>
    <x v="12"/>
    <n v="59"/>
    <x v="0"/>
    <x v="233"/>
    <n v="24"/>
    <n v="4.8"/>
    <x v="1"/>
    <x v="5"/>
    <x v="2"/>
    <x v="0"/>
  </r>
  <r>
    <s v="Call_8005"/>
    <x v="5"/>
    <n v="126"/>
    <x v="1"/>
    <x v="234"/>
    <n v="52"/>
    <n v="1.1000000000000001"/>
    <x v="1"/>
    <x v="6"/>
    <x v="1"/>
    <x v="5"/>
  </r>
  <r>
    <s v="Call_8006"/>
    <x v="2"/>
    <n v="43"/>
    <x v="0"/>
    <x v="235"/>
    <n v="168"/>
    <n v="4"/>
    <x v="1"/>
    <x v="0"/>
    <x v="2"/>
    <x v="2"/>
  </r>
  <r>
    <s v="Call_8007"/>
    <x v="13"/>
    <n v="79"/>
    <x v="4"/>
    <x v="236"/>
    <n v="125"/>
    <n v="4.8"/>
    <x v="1"/>
    <x v="2"/>
    <x v="0"/>
    <x v="0"/>
  </r>
  <r>
    <s v="Call_8008"/>
    <x v="0"/>
    <n v="71"/>
    <x v="0"/>
    <x v="237"/>
    <n v="50"/>
    <n v="4.2"/>
    <x v="1"/>
    <x v="3"/>
    <x v="0"/>
    <x v="2"/>
  </r>
  <r>
    <s v="Call_8009"/>
    <x v="9"/>
    <n v="94"/>
    <x v="1"/>
    <x v="238"/>
    <n v="220"/>
    <n v="4.5999999999999996"/>
    <x v="1"/>
    <x v="4"/>
    <x v="0"/>
    <x v="0"/>
  </r>
  <r>
    <s v="Call_8010"/>
    <x v="6"/>
    <n v="108"/>
    <x v="0"/>
    <x v="238"/>
    <n v="180"/>
    <n v="4"/>
    <x v="1"/>
    <x v="4"/>
    <x v="0"/>
    <x v="2"/>
  </r>
  <r>
    <s v="Call_8011"/>
    <x v="2"/>
    <n v="76"/>
    <x v="1"/>
    <x v="238"/>
    <n v="110"/>
    <n v="3.9"/>
    <x v="1"/>
    <x v="4"/>
    <x v="0"/>
    <x v="2"/>
  </r>
  <r>
    <s v="Call_8012"/>
    <x v="12"/>
    <n v="136"/>
    <x v="0"/>
    <x v="238"/>
    <n v="36"/>
    <n v="2.8"/>
    <x v="1"/>
    <x v="4"/>
    <x v="1"/>
    <x v="1"/>
  </r>
  <r>
    <s v="Call_8013"/>
    <x v="1"/>
    <n v="129"/>
    <x v="2"/>
    <x v="239"/>
    <n v="93"/>
    <n v="4.7"/>
    <x v="1"/>
    <x v="5"/>
    <x v="1"/>
    <x v="0"/>
  </r>
  <r>
    <s v="Call_8014"/>
    <x v="6"/>
    <n v="120"/>
    <x v="0"/>
    <x v="239"/>
    <n v="38"/>
    <n v="4.2"/>
    <x v="1"/>
    <x v="5"/>
    <x v="0"/>
    <x v="2"/>
  </r>
  <r>
    <s v="Call_8015"/>
    <x v="2"/>
    <n v="108"/>
    <x v="2"/>
    <x v="240"/>
    <n v="66"/>
    <n v="3.9"/>
    <x v="1"/>
    <x v="6"/>
    <x v="0"/>
    <x v="2"/>
  </r>
  <r>
    <s v="Call_8016"/>
    <x v="5"/>
    <n v="79"/>
    <x v="0"/>
    <x v="240"/>
    <n v="215"/>
    <n v="4.5999999999999996"/>
    <x v="1"/>
    <x v="6"/>
    <x v="0"/>
    <x v="0"/>
  </r>
  <r>
    <s v="Call_8017"/>
    <x v="5"/>
    <n v="45"/>
    <x v="2"/>
    <x v="240"/>
    <n v="92"/>
    <n v="4.3"/>
    <x v="1"/>
    <x v="6"/>
    <x v="2"/>
    <x v="2"/>
  </r>
  <r>
    <s v="Call_8018"/>
    <x v="4"/>
    <n v="96"/>
    <x v="0"/>
    <x v="240"/>
    <n v="80"/>
    <n v="3.6"/>
    <x v="1"/>
    <x v="6"/>
    <x v="0"/>
    <x v="2"/>
  </r>
  <r>
    <s v="Call_8019"/>
    <x v="4"/>
    <n v="81"/>
    <x v="0"/>
    <x v="241"/>
    <n v="123"/>
    <n v="4.9000000000000004"/>
    <x v="1"/>
    <x v="0"/>
    <x v="0"/>
    <x v="0"/>
  </r>
  <r>
    <s v="Call_8020"/>
    <x v="12"/>
    <n v="95"/>
    <x v="3"/>
    <x v="241"/>
    <n v="23"/>
    <n v="2.4"/>
    <x v="1"/>
    <x v="0"/>
    <x v="0"/>
    <x v="3"/>
  </r>
  <r>
    <s v="Call_8021"/>
    <x v="11"/>
    <n v="159"/>
    <x v="1"/>
    <x v="241"/>
    <n v="63"/>
    <n v="4.2"/>
    <x v="1"/>
    <x v="0"/>
    <x v="1"/>
    <x v="2"/>
  </r>
  <r>
    <s v="Call_8022"/>
    <x v="14"/>
    <n v="109"/>
    <x v="4"/>
    <x v="241"/>
    <n v="52"/>
    <n v="3.9"/>
    <x v="1"/>
    <x v="0"/>
    <x v="0"/>
    <x v="2"/>
  </r>
  <r>
    <s v="Call_8023"/>
    <x v="5"/>
    <n v="107"/>
    <x v="4"/>
    <x v="241"/>
    <n v="60"/>
    <n v="4.2"/>
    <x v="1"/>
    <x v="0"/>
    <x v="0"/>
    <x v="2"/>
  </r>
  <r>
    <s v="Call_8024"/>
    <x v="4"/>
    <n v="67"/>
    <x v="2"/>
    <x v="242"/>
    <n v="87"/>
    <n v="3.9"/>
    <x v="1"/>
    <x v="1"/>
    <x v="0"/>
    <x v="2"/>
  </r>
  <r>
    <s v="Call_8025"/>
    <x v="8"/>
    <n v="96"/>
    <x v="0"/>
    <x v="243"/>
    <n v="42"/>
    <n v="4.5"/>
    <x v="1"/>
    <x v="2"/>
    <x v="0"/>
    <x v="0"/>
  </r>
  <r>
    <s v="Call_8026"/>
    <x v="10"/>
    <n v="142"/>
    <x v="1"/>
    <x v="244"/>
    <n v="37"/>
    <n v="3.8"/>
    <x v="1"/>
    <x v="3"/>
    <x v="1"/>
    <x v="2"/>
  </r>
  <r>
    <s v="Call_8027"/>
    <x v="10"/>
    <n v="71"/>
    <x v="3"/>
    <x v="244"/>
    <n v="135"/>
    <n v="3.9"/>
    <x v="1"/>
    <x v="3"/>
    <x v="0"/>
    <x v="2"/>
  </r>
  <r>
    <s v="Call_8028"/>
    <x v="8"/>
    <n v="152"/>
    <x v="3"/>
    <x v="244"/>
    <n v="88"/>
    <n v="4.7"/>
    <x v="1"/>
    <x v="3"/>
    <x v="1"/>
    <x v="0"/>
  </r>
  <r>
    <s v="Call_8029"/>
    <x v="13"/>
    <n v="108"/>
    <x v="1"/>
    <x v="244"/>
    <n v="190"/>
    <n v="3.2"/>
    <x v="1"/>
    <x v="3"/>
    <x v="0"/>
    <x v="1"/>
  </r>
  <r>
    <s v="Call_8030"/>
    <x v="13"/>
    <n v="156"/>
    <x v="3"/>
    <x v="244"/>
    <n v="81"/>
    <n v="5"/>
    <x v="1"/>
    <x v="3"/>
    <x v="1"/>
    <x v="0"/>
  </r>
  <r>
    <s v="Call_8031"/>
    <x v="10"/>
    <n v="126"/>
    <x v="1"/>
    <x v="244"/>
    <n v="44"/>
    <n v="3.7"/>
    <x v="1"/>
    <x v="3"/>
    <x v="1"/>
    <x v="2"/>
  </r>
  <r>
    <s v="Call_8032"/>
    <x v="2"/>
    <n v="135"/>
    <x v="3"/>
    <x v="245"/>
    <n v="92"/>
    <n v="3.9"/>
    <x v="1"/>
    <x v="4"/>
    <x v="1"/>
    <x v="2"/>
  </r>
  <r>
    <s v="Call_8033"/>
    <x v="10"/>
    <n v="110"/>
    <x v="0"/>
    <x v="246"/>
    <n v="90"/>
    <n v="3.1"/>
    <x v="1"/>
    <x v="5"/>
    <x v="0"/>
    <x v="1"/>
  </r>
  <r>
    <s v="Call_8034"/>
    <x v="11"/>
    <n v="64"/>
    <x v="3"/>
    <x v="246"/>
    <n v="112"/>
    <n v="2"/>
    <x v="1"/>
    <x v="5"/>
    <x v="0"/>
    <x v="3"/>
  </r>
  <r>
    <s v="Call_8035"/>
    <x v="9"/>
    <n v="127"/>
    <x v="1"/>
    <x v="246"/>
    <n v="112"/>
    <n v="4.5999999999999996"/>
    <x v="1"/>
    <x v="5"/>
    <x v="1"/>
    <x v="0"/>
  </r>
  <r>
    <s v="Call_8036"/>
    <x v="14"/>
    <n v="124"/>
    <x v="2"/>
    <x v="246"/>
    <n v="48"/>
    <n v="3.7"/>
    <x v="1"/>
    <x v="5"/>
    <x v="1"/>
    <x v="2"/>
  </r>
  <r>
    <s v="Call_8037"/>
    <x v="11"/>
    <n v="125"/>
    <x v="1"/>
    <x v="246"/>
    <n v="116"/>
    <n v="4.4000000000000004"/>
    <x v="1"/>
    <x v="5"/>
    <x v="1"/>
    <x v="2"/>
  </r>
  <r>
    <s v="Call_8038"/>
    <x v="1"/>
    <n v="70"/>
    <x v="1"/>
    <x v="246"/>
    <n v="29"/>
    <n v="2.1"/>
    <x v="1"/>
    <x v="5"/>
    <x v="0"/>
    <x v="3"/>
  </r>
  <r>
    <s v="Call_8039"/>
    <x v="9"/>
    <n v="93"/>
    <x v="3"/>
    <x v="247"/>
    <n v="170"/>
    <n v="2.2000000000000002"/>
    <x v="1"/>
    <x v="6"/>
    <x v="0"/>
    <x v="3"/>
  </r>
  <r>
    <s v="Call_8040"/>
    <x v="1"/>
    <n v="120"/>
    <x v="4"/>
    <x v="247"/>
    <n v="68"/>
    <n v="3.4"/>
    <x v="1"/>
    <x v="6"/>
    <x v="0"/>
    <x v="1"/>
  </r>
  <r>
    <s v="Call_8041"/>
    <x v="4"/>
    <n v="96"/>
    <x v="0"/>
    <x v="247"/>
    <n v="195"/>
    <n v="2.7"/>
    <x v="1"/>
    <x v="6"/>
    <x v="0"/>
    <x v="1"/>
  </r>
  <r>
    <s v="Call_8042"/>
    <x v="3"/>
    <n v="67"/>
    <x v="0"/>
    <x v="247"/>
    <n v="96"/>
    <n v="3.7"/>
    <x v="1"/>
    <x v="6"/>
    <x v="0"/>
    <x v="2"/>
  </r>
  <r>
    <s v="Call_8043"/>
    <x v="11"/>
    <n v="119"/>
    <x v="0"/>
    <x v="247"/>
    <n v="96"/>
    <n v="3.1"/>
    <x v="1"/>
    <x v="6"/>
    <x v="0"/>
    <x v="1"/>
  </r>
  <r>
    <s v="Call_8044"/>
    <x v="14"/>
    <n v="61"/>
    <x v="2"/>
    <x v="247"/>
    <n v="117"/>
    <n v="4.0999999999999996"/>
    <x v="1"/>
    <x v="6"/>
    <x v="0"/>
    <x v="2"/>
  </r>
  <r>
    <s v="Call_8045"/>
    <x v="4"/>
    <n v="29"/>
    <x v="3"/>
    <x v="247"/>
    <n v="80"/>
    <n v="4.8"/>
    <x v="1"/>
    <x v="6"/>
    <x v="3"/>
    <x v="0"/>
  </r>
  <r>
    <s v="Call_8046"/>
    <x v="8"/>
    <n v="134"/>
    <x v="4"/>
    <x v="247"/>
    <n v="117"/>
    <n v="4"/>
    <x v="1"/>
    <x v="6"/>
    <x v="1"/>
    <x v="2"/>
  </r>
  <r>
    <s v="Call_8047"/>
    <x v="10"/>
    <n v="113"/>
    <x v="0"/>
    <x v="248"/>
    <n v="40"/>
    <n v="3"/>
    <x v="1"/>
    <x v="0"/>
    <x v="0"/>
    <x v="1"/>
  </r>
  <r>
    <s v="Call_8048"/>
    <x v="13"/>
    <n v="12"/>
    <x v="4"/>
    <x v="248"/>
    <n v="117"/>
    <n v="4.8"/>
    <x v="1"/>
    <x v="0"/>
    <x v="3"/>
    <x v="0"/>
  </r>
  <r>
    <s v="Call_8049"/>
    <x v="7"/>
    <n v="78"/>
    <x v="3"/>
    <x v="248"/>
    <n v="135"/>
    <n v="4.0999999999999996"/>
    <x v="1"/>
    <x v="0"/>
    <x v="0"/>
    <x v="2"/>
  </r>
  <r>
    <s v="Call_8050"/>
    <x v="11"/>
    <n v="82"/>
    <x v="1"/>
    <x v="248"/>
    <n v="99"/>
    <n v="4.2"/>
    <x v="1"/>
    <x v="0"/>
    <x v="0"/>
    <x v="2"/>
  </r>
  <r>
    <s v="Call_8051"/>
    <x v="6"/>
    <n v="149"/>
    <x v="2"/>
    <x v="248"/>
    <n v="130"/>
    <n v="3.3"/>
    <x v="1"/>
    <x v="0"/>
    <x v="1"/>
    <x v="1"/>
  </r>
  <r>
    <s v="Call_8052"/>
    <x v="5"/>
    <n v="56"/>
    <x v="4"/>
    <x v="248"/>
    <n v="96"/>
    <n v="4.7"/>
    <x v="1"/>
    <x v="0"/>
    <x v="2"/>
    <x v="0"/>
  </r>
  <r>
    <s v="Call_8053"/>
    <x v="4"/>
    <n v="80"/>
    <x v="2"/>
    <x v="248"/>
    <n v="128"/>
    <n v="3.7"/>
    <x v="1"/>
    <x v="0"/>
    <x v="0"/>
    <x v="2"/>
  </r>
  <r>
    <s v="Call_8054"/>
    <x v="14"/>
    <n v="131"/>
    <x v="0"/>
    <x v="248"/>
    <n v="69"/>
    <n v="4.7"/>
    <x v="1"/>
    <x v="0"/>
    <x v="1"/>
    <x v="0"/>
  </r>
  <r>
    <s v="Call_8055"/>
    <x v="14"/>
    <n v="109"/>
    <x v="0"/>
    <x v="248"/>
    <n v="44"/>
    <n v="4.5999999999999996"/>
    <x v="1"/>
    <x v="0"/>
    <x v="0"/>
    <x v="0"/>
  </r>
  <r>
    <s v="Call_8056"/>
    <x v="5"/>
    <n v="142"/>
    <x v="0"/>
    <x v="248"/>
    <n v="44"/>
    <n v="4.8"/>
    <x v="1"/>
    <x v="0"/>
    <x v="1"/>
    <x v="0"/>
  </r>
  <r>
    <s v="Call_8057"/>
    <x v="9"/>
    <n v="114"/>
    <x v="4"/>
    <x v="249"/>
    <n v="135"/>
    <n v="2"/>
    <x v="1"/>
    <x v="1"/>
    <x v="0"/>
    <x v="3"/>
  </r>
  <r>
    <s v="Call_8058"/>
    <x v="3"/>
    <n v="93"/>
    <x v="2"/>
    <x v="249"/>
    <n v="45"/>
    <n v="3.9"/>
    <x v="1"/>
    <x v="1"/>
    <x v="0"/>
    <x v="2"/>
  </r>
  <r>
    <s v="Call_8059"/>
    <x v="13"/>
    <n v="43"/>
    <x v="2"/>
    <x v="249"/>
    <n v="87"/>
    <n v="3"/>
    <x v="1"/>
    <x v="1"/>
    <x v="2"/>
    <x v="1"/>
  </r>
  <r>
    <s v="Call_8060"/>
    <x v="8"/>
    <n v="78"/>
    <x v="3"/>
    <x v="250"/>
    <n v="84"/>
    <n v="4.5999999999999996"/>
    <x v="1"/>
    <x v="2"/>
    <x v="0"/>
    <x v="0"/>
  </r>
  <r>
    <s v="Call_8061"/>
    <x v="9"/>
    <n v="89"/>
    <x v="0"/>
    <x v="250"/>
    <n v="81"/>
    <n v="3.8"/>
    <x v="1"/>
    <x v="2"/>
    <x v="0"/>
    <x v="2"/>
  </r>
  <r>
    <s v="Call_8062"/>
    <x v="5"/>
    <n v="82"/>
    <x v="1"/>
    <x v="250"/>
    <n v="130"/>
    <n v="4.4000000000000004"/>
    <x v="1"/>
    <x v="2"/>
    <x v="0"/>
    <x v="2"/>
  </r>
  <r>
    <s v="Call_8063"/>
    <x v="4"/>
    <n v="86"/>
    <x v="0"/>
    <x v="251"/>
    <n v="92"/>
    <n v="2.4"/>
    <x v="1"/>
    <x v="3"/>
    <x v="0"/>
    <x v="3"/>
  </r>
  <r>
    <s v="Call_8064"/>
    <x v="12"/>
    <n v="57"/>
    <x v="3"/>
    <x v="251"/>
    <n v="48"/>
    <n v="4.5"/>
    <x v="1"/>
    <x v="3"/>
    <x v="2"/>
    <x v="0"/>
  </r>
  <r>
    <s v="Call_8065"/>
    <x v="3"/>
    <n v="103"/>
    <x v="4"/>
    <x v="251"/>
    <n v="160"/>
    <n v="4.5"/>
    <x v="1"/>
    <x v="3"/>
    <x v="0"/>
    <x v="0"/>
  </r>
  <r>
    <s v="Call_8066"/>
    <x v="7"/>
    <n v="138"/>
    <x v="3"/>
    <x v="252"/>
    <n v="155"/>
    <n v="2.7"/>
    <x v="1"/>
    <x v="4"/>
    <x v="1"/>
    <x v="1"/>
  </r>
  <r>
    <s v="Call_8067"/>
    <x v="6"/>
    <n v="88"/>
    <x v="1"/>
    <x v="252"/>
    <n v="100"/>
    <n v="4.9000000000000004"/>
    <x v="1"/>
    <x v="4"/>
    <x v="0"/>
    <x v="0"/>
  </r>
  <r>
    <s v="Call_8068"/>
    <x v="9"/>
    <n v="118"/>
    <x v="2"/>
    <x v="252"/>
    <n v="56"/>
    <n v="3.7"/>
    <x v="1"/>
    <x v="4"/>
    <x v="0"/>
    <x v="2"/>
  </r>
  <r>
    <s v="Call_8069"/>
    <x v="4"/>
    <n v="4"/>
    <x v="0"/>
    <x v="252"/>
    <n v="170"/>
    <n v="3.9"/>
    <x v="1"/>
    <x v="4"/>
    <x v="4"/>
    <x v="2"/>
  </r>
  <r>
    <s v="Call_8070"/>
    <x v="13"/>
    <n v="78"/>
    <x v="4"/>
    <x v="253"/>
    <n v="74"/>
    <n v="3.5"/>
    <x v="1"/>
    <x v="5"/>
    <x v="0"/>
    <x v="2"/>
  </r>
  <r>
    <s v="Call_8071"/>
    <x v="10"/>
    <n v="69"/>
    <x v="0"/>
    <x v="253"/>
    <n v="99"/>
    <n v="2.7"/>
    <x v="1"/>
    <x v="5"/>
    <x v="0"/>
    <x v="1"/>
  </r>
  <r>
    <s v="Call_8072"/>
    <x v="5"/>
    <n v="90"/>
    <x v="3"/>
    <x v="253"/>
    <n v="84"/>
    <n v="3.9"/>
    <x v="1"/>
    <x v="5"/>
    <x v="0"/>
    <x v="2"/>
  </r>
  <r>
    <s v="Call_8073"/>
    <x v="10"/>
    <n v="134"/>
    <x v="0"/>
    <x v="253"/>
    <n v="35"/>
    <n v="3.4"/>
    <x v="1"/>
    <x v="5"/>
    <x v="1"/>
    <x v="1"/>
  </r>
  <r>
    <s v="Call_8074"/>
    <x v="1"/>
    <n v="65"/>
    <x v="2"/>
    <x v="253"/>
    <n v="150"/>
    <n v="5"/>
    <x v="1"/>
    <x v="5"/>
    <x v="0"/>
    <x v="0"/>
  </r>
  <r>
    <s v="Call_8075"/>
    <x v="2"/>
    <n v="54"/>
    <x v="4"/>
    <x v="254"/>
    <n v="176"/>
    <n v="4.4000000000000004"/>
    <x v="1"/>
    <x v="6"/>
    <x v="2"/>
    <x v="2"/>
  </r>
  <r>
    <s v="Call_8076"/>
    <x v="2"/>
    <n v="90"/>
    <x v="4"/>
    <x v="254"/>
    <n v="84"/>
    <n v="4.3"/>
    <x v="1"/>
    <x v="6"/>
    <x v="0"/>
    <x v="2"/>
  </r>
  <r>
    <s v="Call_8077"/>
    <x v="5"/>
    <n v="66"/>
    <x v="4"/>
    <x v="254"/>
    <n v="136"/>
    <n v="4.7"/>
    <x v="1"/>
    <x v="6"/>
    <x v="0"/>
    <x v="0"/>
  </r>
  <r>
    <s v="Call_8078"/>
    <x v="4"/>
    <n v="150"/>
    <x v="4"/>
    <x v="255"/>
    <n v="70"/>
    <n v="4.0999999999999996"/>
    <x v="1"/>
    <x v="0"/>
    <x v="1"/>
    <x v="2"/>
  </r>
  <r>
    <s v="Call_8079"/>
    <x v="8"/>
    <n v="18"/>
    <x v="2"/>
    <x v="255"/>
    <n v="96"/>
    <n v="4.8"/>
    <x v="1"/>
    <x v="0"/>
    <x v="3"/>
    <x v="0"/>
  </r>
  <r>
    <s v="Call_8080"/>
    <x v="2"/>
    <n v="87"/>
    <x v="2"/>
    <x v="255"/>
    <n v="23"/>
    <n v="4.2"/>
    <x v="1"/>
    <x v="0"/>
    <x v="0"/>
    <x v="2"/>
  </r>
  <r>
    <s v="Call_8081"/>
    <x v="7"/>
    <n v="94"/>
    <x v="4"/>
    <x v="256"/>
    <n v="120"/>
    <n v="3.4"/>
    <x v="1"/>
    <x v="1"/>
    <x v="0"/>
    <x v="1"/>
  </r>
  <r>
    <s v="Call_8082"/>
    <x v="12"/>
    <n v="56"/>
    <x v="4"/>
    <x v="256"/>
    <n v="205"/>
    <n v="3.3"/>
    <x v="1"/>
    <x v="1"/>
    <x v="2"/>
    <x v="1"/>
  </r>
  <r>
    <s v="Call_8083"/>
    <x v="9"/>
    <n v="41"/>
    <x v="1"/>
    <x v="257"/>
    <n v="42"/>
    <n v="3.8"/>
    <x v="1"/>
    <x v="2"/>
    <x v="2"/>
    <x v="2"/>
  </r>
  <r>
    <s v="Call_8084"/>
    <x v="4"/>
    <n v="119"/>
    <x v="3"/>
    <x v="257"/>
    <n v="111"/>
    <n v="3.9"/>
    <x v="1"/>
    <x v="2"/>
    <x v="0"/>
    <x v="2"/>
  </r>
  <r>
    <s v="Call_8085"/>
    <x v="3"/>
    <n v="108"/>
    <x v="4"/>
    <x v="257"/>
    <n v="68"/>
    <n v="2.5"/>
    <x v="1"/>
    <x v="2"/>
    <x v="0"/>
    <x v="1"/>
  </r>
  <r>
    <s v="Call_8086"/>
    <x v="13"/>
    <n v="63"/>
    <x v="0"/>
    <x v="257"/>
    <n v="172"/>
    <n v="4.9000000000000004"/>
    <x v="1"/>
    <x v="2"/>
    <x v="0"/>
    <x v="0"/>
  </r>
  <r>
    <s v="Call_8087"/>
    <x v="11"/>
    <n v="59"/>
    <x v="4"/>
    <x v="257"/>
    <n v="152"/>
    <n v="4.8"/>
    <x v="1"/>
    <x v="2"/>
    <x v="2"/>
    <x v="0"/>
  </r>
  <r>
    <s v="Call_8088"/>
    <x v="11"/>
    <n v="90"/>
    <x v="1"/>
    <x v="257"/>
    <n v="48"/>
    <n v="4.7"/>
    <x v="1"/>
    <x v="2"/>
    <x v="0"/>
    <x v="0"/>
  </r>
  <r>
    <s v="Call_8089"/>
    <x v="6"/>
    <n v="55"/>
    <x v="1"/>
    <x v="257"/>
    <n v="25"/>
    <n v="4.7"/>
    <x v="1"/>
    <x v="2"/>
    <x v="2"/>
    <x v="0"/>
  </r>
  <r>
    <s v="Call_8090"/>
    <x v="3"/>
    <n v="84"/>
    <x v="3"/>
    <x v="258"/>
    <n v="54"/>
    <n v="3.3"/>
    <x v="1"/>
    <x v="3"/>
    <x v="0"/>
    <x v="1"/>
  </r>
  <r>
    <s v="Call_8091"/>
    <x v="3"/>
    <n v="150"/>
    <x v="2"/>
    <x v="258"/>
    <n v="108"/>
    <n v="4.7"/>
    <x v="1"/>
    <x v="3"/>
    <x v="1"/>
    <x v="0"/>
  </r>
  <r>
    <s v="Call_8092"/>
    <x v="14"/>
    <n v="69"/>
    <x v="4"/>
    <x v="258"/>
    <n v="36"/>
    <n v="4.5"/>
    <x v="1"/>
    <x v="3"/>
    <x v="0"/>
    <x v="0"/>
  </r>
  <r>
    <s v="Call_8093"/>
    <x v="0"/>
    <n v="120"/>
    <x v="1"/>
    <x v="259"/>
    <n v="140"/>
    <n v="4.5999999999999996"/>
    <x v="1"/>
    <x v="4"/>
    <x v="0"/>
    <x v="0"/>
  </r>
  <r>
    <s v="Call_8094"/>
    <x v="2"/>
    <n v="126"/>
    <x v="3"/>
    <x v="259"/>
    <n v="50"/>
    <n v="4.8"/>
    <x v="1"/>
    <x v="4"/>
    <x v="1"/>
    <x v="0"/>
  </r>
  <r>
    <s v="Call_8095"/>
    <x v="14"/>
    <n v="120"/>
    <x v="0"/>
    <x v="259"/>
    <n v="195"/>
    <n v="4.3"/>
    <x v="1"/>
    <x v="4"/>
    <x v="0"/>
    <x v="2"/>
  </r>
  <r>
    <s v="Call_8096"/>
    <x v="2"/>
    <n v="139"/>
    <x v="1"/>
    <x v="260"/>
    <n v="48"/>
    <n v="4.7"/>
    <x v="1"/>
    <x v="5"/>
    <x v="1"/>
    <x v="0"/>
  </r>
  <r>
    <s v="Call_8097"/>
    <x v="6"/>
    <n v="124"/>
    <x v="4"/>
    <x v="261"/>
    <n v="29"/>
    <n v="4.8"/>
    <x v="1"/>
    <x v="6"/>
    <x v="1"/>
    <x v="0"/>
  </r>
  <r>
    <s v="Call_8098"/>
    <x v="0"/>
    <n v="108"/>
    <x v="0"/>
    <x v="261"/>
    <n v="44"/>
    <n v="4.7"/>
    <x v="1"/>
    <x v="6"/>
    <x v="0"/>
    <x v="0"/>
  </r>
  <r>
    <s v="Call_8099"/>
    <x v="1"/>
    <n v="132"/>
    <x v="2"/>
    <x v="261"/>
    <n v="140"/>
    <n v="4.3"/>
    <x v="1"/>
    <x v="6"/>
    <x v="1"/>
    <x v="2"/>
  </r>
  <r>
    <s v="Call_8100"/>
    <x v="13"/>
    <n v="67"/>
    <x v="2"/>
    <x v="261"/>
    <n v="105"/>
    <n v="3.8"/>
    <x v="1"/>
    <x v="6"/>
    <x v="0"/>
    <x v="2"/>
  </r>
  <r>
    <s v="Call_8101"/>
    <x v="5"/>
    <n v="125"/>
    <x v="2"/>
    <x v="261"/>
    <n v="82"/>
    <n v="4.5999999999999996"/>
    <x v="1"/>
    <x v="6"/>
    <x v="1"/>
    <x v="0"/>
  </r>
  <r>
    <s v="Call_8102"/>
    <x v="0"/>
    <n v="23"/>
    <x v="0"/>
    <x v="261"/>
    <n v="24"/>
    <n v="2.9"/>
    <x v="1"/>
    <x v="6"/>
    <x v="3"/>
    <x v="1"/>
  </r>
  <r>
    <s v="Call_8103"/>
    <x v="4"/>
    <n v="131"/>
    <x v="4"/>
    <x v="262"/>
    <n v="205"/>
    <n v="4.8"/>
    <x v="1"/>
    <x v="0"/>
    <x v="1"/>
    <x v="0"/>
  </r>
  <r>
    <s v="Call_8104"/>
    <x v="1"/>
    <n v="56"/>
    <x v="1"/>
    <x v="262"/>
    <n v="225"/>
    <n v="4.9000000000000004"/>
    <x v="1"/>
    <x v="0"/>
    <x v="2"/>
    <x v="0"/>
  </r>
  <r>
    <s v="Call_8105"/>
    <x v="4"/>
    <n v="70"/>
    <x v="4"/>
    <x v="262"/>
    <n v="50"/>
    <n v="3.4"/>
    <x v="1"/>
    <x v="0"/>
    <x v="0"/>
    <x v="1"/>
  </r>
  <r>
    <s v="Call_8106"/>
    <x v="4"/>
    <n v="55"/>
    <x v="2"/>
    <x v="262"/>
    <n v="80"/>
    <n v="4.3"/>
    <x v="1"/>
    <x v="0"/>
    <x v="2"/>
    <x v="2"/>
  </r>
  <r>
    <s v="Call_8107"/>
    <x v="5"/>
    <n v="77"/>
    <x v="1"/>
    <x v="262"/>
    <n v="78"/>
    <n v="3.9"/>
    <x v="1"/>
    <x v="0"/>
    <x v="0"/>
    <x v="2"/>
  </r>
  <r>
    <s v="Call_8108"/>
    <x v="3"/>
    <n v="133"/>
    <x v="4"/>
    <x v="263"/>
    <n v="40"/>
    <n v="3.9"/>
    <x v="1"/>
    <x v="1"/>
    <x v="1"/>
    <x v="2"/>
  </r>
  <r>
    <s v="Call_8109"/>
    <x v="5"/>
    <n v="77"/>
    <x v="1"/>
    <x v="263"/>
    <n v="176"/>
    <n v="1.5"/>
    <x v="1"/>
    <x v="1"/>
    <x v="0"/>
    <x v="3"/>
  </r>
  <r>
    <s v="Call_8110"/>
    <x v="11"/>
    <n v="103"/>
    <x v="4"/>
    <x v="263"/>
    <n v="78"/>
    <n v="3"/>
    <x v="1"/>
    <x v="1"/>
    <x v="0"/>
    <x v="1"/>
  </r>
  <r>
    <s v="Call_8111"/>
    <x v="14"/>
    <n v="32"/>
    <x v="1"/>
    <x v="263"/>
    <n v="42"/>
    <n v="4.2"/>
    <x v="1"/>
    <x v="1"/>
    <x v="2"/>
    <x v="2"/>
  </r>
  <r>
    <s v="Call_8112"/>
    <x v="3"/>
    <n v="30"/>
    <x v="4"/>
    <x v="263"/>
    <n v="38"/>
    <n v="3.7"/>
    <x v="1"/>
    <x v="1"/>
    <x v="3"/>
    <x v="2"/>
  </r>
  <r>
    <s v="Call_8113"/>
    <x v="2"/>
    <n v="87"/>
    <x v="3"/>
    <x v="263"/>
    <n v="27"/>
    <n v="4.2"/>
    <x v="1"/>
    <x v="1"/>
    <x v="0"/>
    <x v="2"/>
  </r>
  <r>
    <s v="Call_8114"/>
    <x v="5"/>
    <n v="137"/>
    <x v="0"/>
    <x v="264"/>
    <n v="45"/>
    <n v="4.4000000000000004"/>
    <x v="1"/>
    <x v="2"/>
    <x v="1"/>
    <x v="2"/>
  </r>
  <r>
    <s v="Call_8115"/>
    <x v="7"/>
    <n v="96"/>
    <x v="4"/>
    <x v="264"/>
    <n v="215"/>
    <n v="4"/>
    <x v="1"/>
    <x v="2"/>
    <x v="0"/>
    <x v="2"/>
  </r>
  <r>
    <s v="Call_8116"/>
    <x v="6"/>
    <n v="155"/>
    <x v="4"/>
    <x v="265"/>
    <n v="72"/>
    <n v="4.7"/>
    <x v="1"/>
    <x v="3"/>
    <x v="1"/>
    <x v="0"/>
  </r>
  <r>
    <s v="Call_8117"/>
    <x v="3"/>
    <n v="173"/>
    <x v="2"/>
    <x v="265"/>
    <n v="160"/>
    <n v="2.8"/>
    <x v="1"/>
    <x v="3"/>
    <x v="1"/>
    <x v="1"/>
  </r>
  <r>
    <s v="Call_8118"/>
    <x v="6"/>
    <n v="127"/>
    <x v="4"/>
    <x v="265"/>
    <n v="165"/>
    <n v="2.5"/>
    <x v="1"/>
    <x v="3"/>
    <x v="1"/>
    <x v="1"/>
  </r>
  <r>
    <s v="Call_8119"/>
    <x v="1"/>
    <n v="117"/>
    <x v="2"/>
    <x v="265"/>
    <n v="120"/>
    <n v="3.4"/>
    <x v="1"/>
    <x v="3"/>
    <x v="0"/>
    <x v="1"/>
  </r>
  <r>
    <s v="Call_8120"/>
    <x v="0"/>
    <n v="133"/>
    <x v="1"/>
    <x v="265"/>
    <n v="117"/>
    <n v="4.8"/>
    <x v="1"/>
    <x v="3"/>
    <x v="1"/>
    <x v="0"/>
  </r>
  <r>
    <s v="Call_8121"/>
    <x v="8"/>
    <n v="166"/>
    <x v="3"/>
    <x v="266"/>
    <n v="29"/>
    <n v="4.3"/>
    <x v="1"/>
    <x v="4"/>
    <x v="1"/>
    <x v="2"/>
  </r>
  <r>
    <s v="Call_8122"/>
    <x v="0"/>
    <n v="50"/>
    <x v="2"/>
    <x v="266"/>
    <n v="64"/>
    <n v="4.5"/>
    <x v="1"/>
    <x v="4"/>
    <x v="2"/>
    <x v="0"/>
  </r>
  <r>
    <s v="Call_8123"/>
    <x v="11"/>
    <n v="43"/>
    <x v="1"/>
    <x v="266"/>
    <n v="84"/>
    <n v="3.6"/>
    <x v="1"/>
    <x v="4"/>
    <x v="2"/>
    <x v="2"/>
  </r>
  <r>
    <s v="Call_8124"/>
    <x v="7"/>
    <n v="124"/>
    <x v="4"/>
    <x v="266"/>
    <n v="42"/>
    <n v="3.7"/>
    <x v="1"/>
    <x v="4"/>
    <x v="1"/>
    <x v="2"/>
  </r>
  <r>
    <s v="Call_8125"/>
    <x v="3"/>
    <n v="94"/>
    <x v="4"/>
    <x v="266"/>
    <n v="120"/>
    <n v="3.5"/>
    <x v="1"/>
    <x v="4"/>
    <x v="0"/>
    <x v="2"/>
  </r>
  <r>
    <s v="Call_8126"/>
    <x v="11"/>
    <n v="126"/>
    <x v="3"/>
    <x v="267"/>
    <n v="80"/>
    <n v="4.7"/>
    <x v="1"/>
    <x v="5"/>
    <x v="1"/>
    <x v="0"/>
  </r>
  <r>
    <s v="Call_8127"/>
    <x v="8"/>
    <n v="105"/>
    <x v="2"/>
    <x v="267"/>
    <n v="185"/>
    <n v="3.5"/>
    <x v="1"/>
    <x v="5"/>
    <x v="0"/>
    <x v="2"/>
  </r>
  <r>
    <s v="Call_8128"/>
    <x v="4"/>
    <n v="60"/>
    <x v="0"/>
    <x v="268"/>
    <n v="135"/>
    <n v="3.9"/>
    <x v="1"/>
    <x v="6"/>
    <x v="2"/>
    <x v="2"/>
  </r>
  <r>
    <s v="Call_8129"/>
    <x v="4"/>
    <n v="72"/>
    <x v="2"/>
    <x v="268"/>
    <n v="20"/>
    <n v="4.8"/>
    <x v="1"/>
    <x v="6"/>
    <x v="0"/>
    <x v="0"/>
  </r>
  <r>
    <s v="Call_8130"/>
    <x v="12"/>
    <n v="40"/>
    <x v="2"/>
    <x v="268"/>
    <n v="31"/>
    <n v="4"/>
    <x v="1"/>
    <x v="6"/>
    <x v="2"/>
    <x v="2"/>
  </r>
  <r>
    <s v="Call_8131"/>
    <x v="14"/>
    <n v="54"/>
    <x v="3"/>
    <x v="269"/>
    <n v="120"/>
    <n v="4.7"/>
    <x v="1"/>
    <x v="0"/>
    <x v="2"/>
    <x v="0"/>
  </r>
  <r>
    <s v="Call_8132"/>
    <x v="1"/>
    <n v="81"/>
    <x v="1"/>
    <x v="269"/>
    <n v="117"/>
    <n v="3.6"/>
    <x v="1"/>
    <x v="0"/>
    <x v="0"/>
    <x v="2"/>
  </r>
  <r>
    <s v="Call_8133"/>
    <x v="14"/>
    <n v="76"/>
    <x v="4"/>
    <x v="269"/>
    <n v="80"/>
    <n v="4.5"/>
    <x v="1"/>
    <x v="0"/>
    <x v="0"/>
    <x v="0"/>
  </r>
  <r>
    <s v="Call_8134"/>
    <x v="14"/>
    <n v="37"/>
    <x v="0"/>
    <x v="270"/>
    <n v="117"/>
    <n v="4"/>
    <x v="1"/>
    <x v="1"/>
    <x v="2"/>
    <x v="2"/>
  </r>
  <r>
    <s v="Call_8135"/>
    <x v="8"/>
    <n v="96"/>
    <x v="3"/>
    <x v="270"/>
    <n v="60"/>
    <n v="4.5"/>
    <x v="1"/>
    <x v="1"/>
    <x v="0"/>
    <x v="0"/>
  </r>
  <r>
    <s v="Call_8136"/>
    <x v="4"/>
    <n v="19"/>
    <x v="4"/>
    <x v="271"/>
    <n v="58"/>
    <n v="3.9"/>
    <x v="1"/>
    <x v="2"/>
    <x v="3"/>
    <x v="2"/>
  </r>
  <r>
    <s v="Call_8137"/>
    <x v="12"/>
    <n v="72"/>
    <x v="0"/>
    <x v="271"/>
    <n v="41"/>
    <n v="4.3"/>
    <x v="1"/>
    <x v="2"/>
    <x v="0"/>
    <x v="2"/>
  </r>
  <r>
    <s v="Call_8138"/>
    <x v="3"/>
    <n v="73"/>
    <x v="1"/>
    <x v="271"/>
    <n v="180"/>
    <n v="3.6"/>
    <x v="1"/>
    <x v="2"/>
    <x v="0"/>
    <x v="2"/>
  </r>
  <r>
    <s v="Call_8139"/>
    <x v="13"/>
    <n v="87"/>
    <x v="1"/>
    <x v="271"/>
    <n v="42"/>
    <n v="3.6"/>
    <x v="1"/>
    <x v="2"/>
    <x v="0"/>
    <x v="2"/>
  </r>
  <r>
    <s v="Call_8140"/>
    <x v="13"/>
    <n v="68"/>
    <x v="1"/>
    <x v="272"/>
    <n v="24"/>
    <n v="4"/>
    <x v="1"/>
    <x v="3"/>
    <x v="0"/>
    <x v="2"/>
  </r>
  <r>
    <s v="Call_8141"/>
    <x v="12"/>
    <n v="101"/>
    <x v="1"/>
    <x v="272"/>
    <n v="125"/>
    <n v="4.2"/>
    <x v="1"/>
    <x v="3"/>
    <x v="0"/>
    <x v="2"/>
  </r>
  <r>
    <s v="Call_8142"/>
    <x v="12"/>
    <n v="107"/>
    <x v="0"/>
    <x v="273"/>
    <n v="78"/>
    <n v="4.3"/>
    <x v="1"/>
    <x v="4"/>
    <x v="0"/>
    <x v="2"/>
  </r>
  <r>
    <s v="Call_8143"/>
    <x v="9"/>
    <n v="109"/>
    <x v="2"/>
    <x v="273"/>
    <n v="180"/>
    <n v="3.8"/>
    <x v="1"/>
    <x v="4"/>
    <x v="0"/>
    <x v="2"/>
  </r>
  <r>
    <s v="Call_8144"/>
    <x v="7"/>
    <n v="171"/>
    <x v="0"/>
    <x v="273"/>
    <n v="84"/>
    <n v="4.4000000000000004"/>
    <x v="1"/>
    <x v="4"/>
    <x v="1"/>
    <x v="2"/>
  </r>
  <r>
    <s v="Call_8145"/>
    <x v="4"/>
    <n v="21"/>
    <x v="0"/>
    <x v="273"/>
    <n v="26"/>
    <n v="4.7"/>
    <x v="1"/>
    <x v="4"/>
    <x v="3"/>
    <x v="0"/>
  </r>
  <r>
    <s v="Call_8146"/>
    <x v="1"/>
    <n v="94"/>
    <x v="0"/>
    <x v="274"/>
    <n v="140"/>
    <n v="3.6"/>
    <x v="1"/>
    <x v="5"/>
    <x v="0"/>
    <x v="2"/>
  </r>
  <r>
    <s v="Call_8147"/>
    <x v="3"/>
    <n v="97"/>
    <x v="2"/>
    <x v="274"/>
    <n v="31"/>
    <n v="2.2000000000000002"/>
    <x v="1"/>
    <x v="5"/>
    <x v="0"/>
    <x v="3"/>
  </r>
  <r>
    <s v="Call_8148"/>
    <x v="8"/>
    <n v="72"/>
    <x v="2"/>
    <x v="274"/>
    <n v="108"/>
    <n v="4.8"/>
    <x v="1"/>
    <x v="5"/>
    <x v="0"/>
    <x v="0"/>
  </r>
  <r>
    <s v="Call_8149"/>
    <x v="7"/>
    <n v="143"/>
    <x v="3"/>
    <x v="275"/>
    <n v="58"/>
    <n v="4.3"/>
    <x v="1"/>
    <x v="6"/>
    <x v="1"/>
    <x v="2"/>
  </r>
  <r>
    <s v="Call_8150"/>
    <x v="7"/>
    <n v="64"/>
    <x v="2"/>
    <x v="275"/>
    <n v="185"/>
    <n v="2.2000000000000002"/>
    <x v="1"/>
    <x v="6"/>
    <x v="0"/>
    <x v="3"/>
  </r>
  <r>
    <s v="Call_8151"/>
    <x v="7"/>
    <n v="69"/>
    <x v="2"/>
    <x v="275"/>
    <n v="40"/>
    <n v="4.8"/>
    <x v="1"/>
    <x v="6"/>
    <x v="0"/>
    <x v="0"/>
  </r>
  <r>
    <s v="Call_8152"/>
    <x v="7"/>
    <n v="18"/>
    <x v="4"/>
    <x v="275"/>
    <n v="225"/>
    <n v="2.6"/>
    <x v="1"/>
    <x v="6"/>
    <x v="3"/>
    <x v="1"/>
  </r>
  <r>
    <s v="Call_8153"/>
    <x v="3"/>
    <n v="100"/>
    <x v="3"/>
    <x v="275"/>
    <n v="150"/>
    <n v="2.6"/>
    <x v="1"/>
    <x v="6"/>
    <x v="0"/>
    <x v="1"/>
  </r>
  <r>
    <s v="Call_8154"/>
    <x v="6"/>
    <n v="110"/>
    <x v="1"/>
    <x v="276"/>
    <n v="88"/>
    <n v="3.4"/>
    <x v="1"/>
    <x v="0"/>
    <x v="0"/>
    <x v="1"/>
  </r>
  <r>
    <s v="Call_8155"/>
    <x v="10"/>
    <n v="41"/>
    <x v="0"/>
    <x v="276"/>
    <n v="140"/>
    <n v="3.7"/>
    <x v="1"/>
    <x v="0"/>
    <x v="2"/>
    <x v="2"/>
  </r>
  <r>
    <s v="Call_8156"/>
    <x v="6"/>
    <n v="147"/>
    <x v="1"/>
    <x v="276"/>
    <n v="68"/>
    <n v="2.1"/>
    <x v="1"/>
    <x v="0"/>
    <x v="1"/>
    <x v="3"/>
  </r>
  <r>
    <s v="Call_8157"/>
    <x v="1"/>
    <n v="31"/>
    <x v="4"/>
    <x v="277"/>
    <n v="105"/>
    <n v="3.6"/>
    <x v="1"/>
    <x v="1"/>
    <x v="2"/>
    <x v="2"/>
  </r>
  <r>
    <s v="Call_8158"/>
    <x v="13"/>
    <n v="142"/>
    <x v="0"/>
    <x v="277"/>
    <n v="40"/>
    <n v="3.8"/>
    <x v="1"/>
    <x v="1"/>
    <x v="1"/>
    <x v="2"/>
  </r>
  <r>
    <s v="Call_8159"/>
    <x v="9"/>
    <n v="61"/>
    <x v="0"/>
    <x v="277"/>
    <n v="82"/>
    <n v="3.1"/>
    <x v="1"/>
    <x v="1"/>
    <x v="0"/>
    <x v="1"/>
  </r>
  <r>
    <s v="Call_8160"/>
    <x v="0"/>
    <n v="86"/>
    <x v="4"/>
    <x v="278"/>
    <n v="90"/>
    <n v="4.4000000000000004"/>
    <x v="1"/>
    <x v="2"/>
    <x v="0"/>
    <x v="2"/>
  </r>
  <r>
    <s v="Call_8161"/>
    <x v="2"/>
    <n v="165"/>
    <x v="3"/>
    <x v="279"/>
    <n v="66"/>
    <n v="4.8"/>
    <x v="1"/>
    <x v="3"/>
    <x v="1"/>
    <x v="0"/>
  </r>
  <r>
    <s v="Call_8162"/>
    <x v="14"/>
    <n v="62"/>
    <x v="1"/>
    <x v="279"/>
    <n v="78"/>
    <n v="3.5"/>
    <x v="1"/>
    <x v="3"/>
    <x v="0"/>
    <x v="2"/>
  </r>
  <r>
    <s v="Call_8163"/>
    <x v="3"/>
    <n v="103"/>
    <x v="3"/>
    <x v="280"/>
    <n v="66"/>
    <n v="4.4000000000000004"/>
    <x v="1"/>
    <x v="4"/>
    <x v="0"/>
    <x v="2"/>
  </r>
  <r>
    <s v="Call_8164"/>
    <x v="13"/>
    <n v="56"/>
    <x v="4"/>
    <x v="281"/>
    <n v="160"/>
    <n v="3.8"/>
    <x v="1"/>
    <x v="5"/>
    <x v="2"/>
    <x v="2"/>
  </r>
  <r>
    <s v="Call_8165"/>
    <x v="12"/>
    <n v="114"/>
    <x v="0"/>
    <x v="282"/>
    <n v="144"/>
    <n v="3.8"/>
    <x v="1"/>
    <x v="6"/>
    <x v="0"/>
    <x v="2"/>
  </r>
  <r>
    <s v="Call_8166"/>
    <x v="13"/>
    <n v="112"/>
    <x v="2"/>
    <x v="282"/>
    <n v="200"/>
    <n v="4.5999999999999996"/>
    <x v="1"/>
    <x v="6"/>
    <x v="0"/>
    <x v="0"/>
  </r>
  <r>
    <s v="Call_8167"/>
    <x v="5"/>
    <n v="52"/>
    <x v="1"/>
    <x v="283"/>
    <n v="220"/>
    <n v="5"/>
    <x v="1"/>
    <x v="1"/>
    <x v="2"/>
    <x v="0"/>
  </r>
  <r>
    <s v="Call_8168"/>
    <x v="3"/>
    <n v="105"/>
    <x v="3"/>
    <x v="284"/>
    <n v="112"/>
    <n v="3.2"/>
    <x v="1"/>
    <x v="2"/>
    <x v="0"/>
    <x v="1"/>
  </r>
  <r>
    <s v="Call_8169"/>
    <x v="2"/>
    <n v="91"/>
    <x v="4"/>
    <x v="284"/>
    <n v="110"/>
    <n v="3.7"/>
    <x v="1"/>
    <x v="2"/>
    <x v="0"/>
    <x v="2"/>
  </r>
  <r>
    <s v="Call_8170"/>
    <x v="11"/>
    <n v="74"/>
    <x v="0"/>
    <x v="285"/>
    <n v="160"/>
    <n v="2.7"/>
    <x v="1"/>
    <x v="3"/>
    <x v="0"/>
    <x v="1"/>
  </r>
  <r>
    <s v="Call_8171"/>
    <x v="11"/>
    <n v="30"/>
    <x v="4"/>
    <x v="285"/>
    <n v="84"/>
    <n v="4"/>
    <x v="1"/>
    <x v="3"/>
    <x v="3"/>
    <x v="2"/>
  </r>
  <r>
    <s v="Call_8172"/>
    <x v="2"/>
    <n v="56"/>
    <x v="1"/>
    <x v="285"/>
    <n v="124"/>
    <n v="2.6"/>
    <x v="1"/>
    <x v="3"/>
    <x v="2"/>
    <x v="1"/>
  </r>
  <r>
    <s v="Call_8173"/>
    <x v="11"/>
    <n v="151"/>
    <x v="2"/>
    <x v="285"/>
    <n v="84"/>
    <n v="4.5999999999999996"/>
    <x v="1"/>
    <x v="3"/>
    <x v="1"/>
    <x v="0"/>
  </r>
  <r>
    <s v="Call_8174"/>
    <x v="1"/>
    <n v="108"/>
    <x v="3"/>
    <x v="286"/>
    <n v="130"/>
    <n v="2.7"/>
    <x v="1"/>
    <x v="4"/>
    <x v="0"/>
    <x v="1"/>
  </r>
  <r>
    <s v="Call_8175"/>
    <x v="12"/>
    <n v="124"/>
    <x v="0"/>
    <x v="286"/>
    <n v="215"/>
    <n v="3.5"/>
    <x v="1"/>
    <x v="4"/>
    <x v="1"/>
    <x v="2"/>
  </r>
  <r>
    <s v="Call_8176"/>
    <x v="3"/>
    <n v="110"/>
    <x v="1"/>
    <x v="287"/>
    <n v="132"/>
    <n v="3.6"/>
    <x v="1"/>
    <x v="5"/>
    <x v="0"/>
    <x v="2"/>
  </r>
  <r>
    <s v="Call_8177"/>
    <x v="6"/>
    <n v="89"/>
    <x v="3"/>
    <x v="287"/>
    <n v="88"/>
    <n v="4.9000000000000004"/>
    <x v="1"/>
    <x v="5"/>
    <x v="0"/>
    <x v="0"/>
  </r>
  <r>
    <s v="Call_8178"/>
    <x v="0"/>
    <n v="95"/>
    <x v="1"/>
    <x v="287"/>
    <n v="140"/>
    <n v="3.9"/>
    <x v="1"/>
    <x v="5"/>
    <x v="0"/>
    <x v="2"/>
  </r>
  <r>
    <s v="Call_8179"/>
    <x v="11"/>
    <n v="84"/>
    <x v="3"/>
    <x v="288"/>
    <n v="66"/>
    <n v="4.7"/>
    <x v="1"/>
    <x v="6"/>
    <x v="0"/>
    <x v="0"/>
  </r>
  <r>
    <s v="Call_8180"/>
    <x v="8"/>
    <n v="89"/>
    <x v="0"/>
    <x v="288"/>
    <n v="23"/>
    <n v="4.5"/>
    <x v="1"/>
    <x v="6"/>
    <x v="0"/>
    <x v="0"/>
  </r>
  <r>
    <s v="Call_8181"/>
    <x v="6"/>
    <n v="146"/>
    <x v="0"/>
    <x v="289"/>
    <n v="220"/>
    <n v="4.5"/>
    <x v="1"/>
    <x v="0"/>
    <x v="1"/>
    <x v="0"/>
  </r>
  <r>
    <s v="Call_8182"/>
    <x v="7"/>
    <n v="62"/>
    <x v="4"/>
    <x v="290"/>
    <n v="175"/>
    <n v="4.4000000000000004"/>
    <x v="1"/>
    <x v="1"/>
    <x v="0"/>
    <x v="2"/>
  </r>
  <r>
    <s v="Call_8183"/>
    <x v="13"/>
    <n v="82"/>
    <x v="0"/>
    <x v="290"/>
    <n v="172"/>
    <n v="4.0999999999999996"/>
    <x v="1"/>
    <x v="1"/>
    <x v="0"/>
    <x v="2"/>
  </r>
  <r>
    <s v="Call_8184"/>
    <x v="9"/>
    <n v="91"/>
    <x v="2"/>
    <x v="290"/>
    <n v="108"/>
    <n v="3.8"/>
    <x v="1"/>
    <x v="1"/>
    <x v="0"/>
    <x v="2"/>
  </r>
  <r>
    <s v="Call_8185"/>
    <x v="8"/>
    <n v="39"/>
    <x v="0"/>
    <x v="291"/>
    <n v="43"/>
    <n v="4.2"/>
    <x v="1"/>
    <x v="2"/>
    <x v="2"/>
    <x v="2"/>
  </r>
  <r>
    <s v="Call_8186"/>
    <x v="6"/>
    <n v="149"/>
    <x v="1"/>
    <x v="291"/>
    <n v="44"/>
    <n v="2.2000000000000002"/>
    <x v="1"/>
    <x v="2"/>
    <x v="1"/>
    <x v="3"/>
  </r>
  <r>
    <s v="Call_8187"/>
    <x v="13"/>
    <n v="138"/>
    <x v="4"/>
    <x v="291"/>
    <n v="105"/>
    <n v="3.9"/>
    <x v="1"/>
    <x v="2"/>
    <x v="1"/>
    <x v="2"/>
  </r>
  <r>
    <s v="Call_8188"/>
    <x v="7"/>
    <n v="113"/>
    <x v="1"/>
    <x v="292"/>
    <n v="34"/>
    <n v="3.9"/>
    <x v="1"/>
    <x v="3"/>
    <x v="0"/>
    <x v="2"/>
  </r>
  <r>
    <s v="Call_8189"/>
    <x v="4"/>
    <n v="88"/>
    <x v="0"/>
    <x v="292"/>
    <n v="220"/>
    <n v="4.0999999999999996"/>
    <x v="1"/>
    <x v="3"/>
    <x v="0"/>
    <x v="2"/>
  </r>
  <r>
    <s v="Call_8190"/>
    <x v="0"/>
    <n v="64"/>
    <x v="4"/>
    <x v="292"/>
    <n v="225"/>
    <n v="4.5999999999999996"/>
    <x v="1"/>
    <x v="3"/>
    <x v="0"/>
    <x v="0"/>
  </r>
  <r>
    <s v="Call_8191"/>
    <x v="2"/>
    <n v="53"/>
    <x v="4"/>
    <x v="293"/>
    <n v="37"/>
    <n v="4.0999999999999996"/>
    <x v="1"/>
    <x v="4"/>
    <x v="2"/>
    <x v="2"/>
  </r>
  <r>
    <s v="Call_8192"/>
    <x v="12"/>
    <n v="63"/>
    <x v="1"/>
    <x v="293"/>
    <n v="44"/>
    <n v="5"/>
    <x v="1"/>
    <x v="4"/>
    <x v="0"/>
    <x v="0"/>
  </r>
  <r>
    <s v="Call_8193"/>
    <x v="5"/>
    <n v="54"/>
    <x v="1"/>
    <x v="294"/>
    <n v="35"/>
    <n v="2.8"/>
    <x v="1"/>
    <x v="5"/>
    <x v="2"/>
    <x v="1"/>
  </r>
  <r>
    <s v="Call_8194"/>
    <x v="12"/>
    <n v="54"/>
    <x v="0"/>
    <x v="294"/>
    <n v="145"/>
    <n v="2.7"/>
    <x v="1"/>
    <x v="5"/>
    <x v="2"/>
    <x v="1"/>
  </r>
  <r>
    <s v="Call_8195"/>
    <x v="6"/>
    <n v="71"/>
    <x v="4"/>
    <x v="294"/>
    <n v="64"/>
    <n v="3.9"/>
    <x v="1"/>
    <x v="5"/>
    <x v="0"/>
    <x v="2"/>
  </r>
  <r>
    <s v="Call_8196"/>
    <x v="12"/>
    <n v="93"/>
    <x v="0"/>
    <x v="295"/>
    <n v="185"/>
    <n v="4.3"/>
    <x v="1"/>
    <x v="6"/>
    <x v="0"/>
    <x v="2"/>
  </r>
  <r>
    <s v="Call_8197"/>
    <x v="3"/>
    <n v="96"/>
    <x v="1"/>
    <x v="295"/>
    <n v="215"/>
    <n v="2.5"/>
    <x v="1"/>
    <x v="6"/>
    <x v="0"/>
    <x v="1"/>
  </r>
  <r>
    <s v="Call_8198"/>
    <x v="8"/>
    <n v="31"/>
    <x v="2"/>
    <x v="295"/>
    <n v="88"/>
    <n v="3.4"/>
    <x v="1"/>
    <x v="6"/>
    <x v="2"/>
    <x v="1"/>
  </r>
  <r>
    <s v="Call_8199"/>
    <x v="12"/>
    <n v="107"/>
    <x v="4"/>
    <x v="295"/>
    <n v="23"/>
    <n v="3.4"/>
    <x v="1"/>
    <x v="6"/>
    <x v="0"/>
    <x v="1"/>
  </r>
  <r>
    <s v="Call_8200"/>
    <x v="2"/>
    <n v="50"/>
    <x v="2"/>
    <x v="296"/>
    <n v="180"/>
    <n v="1.8"/>
    <x v="1"/>
    <x v="0"/>
    <x v="2"/>
    <x v="3"/>
  </r>
  <r>
    <s v="Call_8201"/>
    <x v="13"/>
    <n v="69"/>
    <x v="4"/>
    <x v="297"/>
    <n v="225"/>
    <n v="3.7"/>
    <x v="1"/>
    <x v="1"/>
    <x v="0"/>
    <x v="2"/>
  </r>
  <r>
    <s v="Call_8202"/>
    <x v="4"/>
    <n v="26"/>
    <x v="1"/>
    <x v="298"/>
    <n v="74"/>
    <n v="4.0999999999999996"/>
    <x v="1"/>
    <x v="2"/>
    <x v="3"/>
    <x v="2"/>
  </r>
  <r>
    <s v="Call_8203"/>
    <x v="3"/>
    <n v="158"/>
    <x v="4"/>
    <x v="298"/>
    <n v="36"/>
    <n v="3"/>
    <x v="1"/>
    <x v="2"/>
    <x v="1"/>
    <x v="1"/>
  </r>
  <r>
    <s v="Call_8204"/>
    <x v="5"/>
    <n v="99"/>
    <x v="4"/>
    <x v="299"/>
    <n v="116"/>
    <n v="3.9"/>
    <x v="1"/>
    <x v="4"/>
    <x v="0"/>
    <x v="2"/>
  </r>
  <r>
    <s v="Call_8205"/>
    <x v="3"/>
    <n v="78"/>
    <x v="2"/>
    <x v="299"/>
    <n v="140"/>
    <n v="4"/>
    <x v="1"/>
    <x v="4"/>
    <x v="0"/>
    <x v="2"/>
  </r>
  <r>
    <s v="Call_8206"/>
    <x v="3"/>
    <n v="102"/>
    <x v="1"/>
    <x v="300"/>
    <n v="104"/>
    <n v="4.5"/>
    <x v="1"/>
    <x v="5"/>
    <x v="0"/>
    <x v="0"/>
  </r>
  <r>
    <s v="Call_8207"/>
    <x v="5"/>
    <n v="158"/>
    <x v="3"/>
    <x v="300"/>
    <n v="148"/>
    <n v="4"/>
    <x v="1"/>
    <x v="5"/>
    <x v="1"/>
    <x v="2"/>
  </r>
  <r>
    <s v="Call_8208"/>
    <x v="8"/>
    <n v="56"/>
    <x v="4"/>
    <x v="300"/>
    <n v="205"/>
    <n v="4.3"/>
    <x v="1"/>
    <x v="5"/>
    <x v="2"/>
    <x v="2"/>
  </r>
  <r>
    <s v="Call_8209"/>
    <x v="1"/>
    <n v="17"/>
    <x v="0"/>
    <x v="300"/>
    <n v="210"/>
    <n v="4.8"/>
    <x v="1"/>
    <x v="5"/>
    <x v="3"/>
    <x v="0"/>
  </r>
  <r>
    <s v="Call_8210"/>
    <x v="4"/>
    <n v="104"/>
    <x v="3"/>
    <x v="301"/>
    <n v="41"/>
    <n v="4.7"/>
    <x v="1"/>
    <x v="0"/>
    <x v="0"/>
    <x v="0"/>
  </r>
  <r>
    <s v="Call_8211"/>
    <x v="11"/>
    <n v="96"/>
    <x v="2"/>
    <x v="301"/>
    <n v="136"/>
    <n v="5"/>
    <x v="1"/>
    <x v="0"/>
    <x v="0"/>
    <x v="0"/>
  </r>
  <r>
    <s v="Call_8212"/>
    <x v="9"/>
    <n v="83"/>
    <x v="1"/>
    <x v="302"/>
    <n v="126"/>
    <n v="1.5"/>
    <x v="1"/>
    <x v="1"/>
    <x v="0"/>
    <x v="3"/>
  </r>
  <r>
    <s v="Call_8213"/>
    <x v="2"/>
    <n v="80"/>
    <x v="0"/>
    <x v="303"/>
    <n v="148"/>
    <n v="4.0999999999999996"/>
    <x v="1"/>
    <x v="2"/>
    <x v="0"/>
    <x v="2"/>
  </r>
  <r>
    <s v="Call_8214"/>
    <x v="9"/>
    <n v="152"/>
    <x v="1"/>
    <x v="303"/>
    <n v="125"/>
    <n v="3.9"/>
    <x v="1"/>
    <x v="2"/>
    <x v="1"/>
    <x v="2"/>
  </r>
  <r>
    <s v="Call_8215"/>
    <x v="6"/>
    <n v="34"/>
    <x v="2"/>
    <x v="303"/>
    <n v="25"/>
    <n v="4.0999999999999996"/>
    <x v="1"/>
    <x v="2"/>
    <x v="2"/>
    <x v="2"/>
  </r>
  <r>
    <s v="Call_8216"/>
    <x v="7"/>
    <n v="2"/>
    <x v="4"/>
    <x v="304"/>
    <n v="62"/>
    <n v="2.8"/>
    <x v="1"/>
    <x v="3"/>
    <x v="4"/>
    <x v="1"/>
  </r>
  <r>
    <s v="Call_8217"/>
    <x v="2"/>
    <n v="140"/>
    <x v="2"/>
    <x v="305"/>
    <n v="90"/>
    <n v="4.5999999999999996"/>
    <x v="1"/>
    <x v="4"/>
    <x v="1"/>
    <x v="0"/>
  </r>
  <r>
    <s v="Call_8218"/>
    <x v="1"/>
    <n v="126"/>
    <x v="3"/>
    <x v="306"/>
    <n v="33"/>
    <n v="4.8"/>
    <x v="1"/>
    <x v="5"/>
    <x v="1"/>
    <x v="0"/>
  </r>
  <r>
    <s v="Call_8219"/>
    <x v="3"/>
    <n v="79"/>
    <x v="4"/>
    <x v="306"/>
    <n v="115"/>
    <n v="2.2999999999999998"/>
    <x v="1"/>
    <x v="5"/>
    <x v="0"/>
    <x v="3"/>
  </r>
  <r>
    <s v="Call_8220"/>
    <x v="1"/>
    <n v="133"/>
    <x v="3"/>
    <x v="306"/>
    <n v="45"/>
    <n v="2.6"/>
    <x v="1"/>
    <x v="5"/>
    <x v="1"/>
    <x v="1"/>
  </r>
  <r>
    <s v="Call_8221"/>
    <x v="6"/>
    <n v="97"/>
    <x v="0"/>
    <x v="306"/>
    <n v="114"/>
    <n v="4.8"/>
    <x v="1"/>
    <x v="5"/>
    <x v="0"/>
    <x v="0"/>
  </r>
  <r>
    <s v="Call_8222"/>
    <x v="3"/>
    <n v="102"/>
    <x v="1"/>
    <x v="307"/>
    <n v="72"/>
    <n v="3.7"/>
    <x v="1"/>
    <x v="6"/>
    <x v="0"/>
    <x v="2"/>
  </r>
  <r>
    <s v="Call_8223"/>
    <x v="10"/>
    <n v="62"/>
    <x v="0"/>
    <x v="307"/>
    <n v="205"/>
    <n v="4.2"/>
    <x v="1"/>
    <x v="6"/>
    <x v="0"/>
    <x v="2"/>
  </r>
  <r>
    <s v="Call_8224"/>
    <x v="1"/>
    <n v="149"/>
    <x v="1"/>
    <x v="308"/>
    <n v="42"/>
    <n v="3.3"/>
    <x v="1"/>
    <x v="0"/>
    <x v="1"/>
    <x v="1"/>
  </r>
  <r>
    <s v="Call_8225"/>
    <x v="7"/>
    <n v="133"/>
    <x v="0"/>
    <x v="308"/>
    <n v="96"/>
    <n v="4.3"/>
    <x v="1"/>
    <x v="0"/>
    <x v="1"/>
    <x v="2"/>
  </r>
  <r>
    <s v="Call_8226"/>
    <x v="3"/>
    <n v="51"/>
    <x v="4"/>
    <x v="308"/>
    <n v="64"/>
    <n v="3.7"/>
    <x v="1"/>
    <x v="0"/>
    <x v="2"/>
    <x v="2"/>
  </r>
  <r>
    <s v="Call_8227"/>
    <x v="10"/>
    <n v="110"/>
    <x v="0"/>
    <x v="309"/>
    <n v="72"/>
    <n v="3.7"/>
    <x v="1"/>
    <x v="1"/>
    <x v="0"/>
    <x v="2"/>
  </r>
  <r>
    <s v="Call_8228"/>
    <x v="6"/>
    <n v="38"/>
    <x v="3"/>
    <x v="310"/>
    <n v="27"/>
    <n v="3.1"/>
    <x v="1"/>
    <x v="2"/>
    <x v="2"/>
    <x v="1"/>
  </r>
  <r>
    <s v="Call_8229"/>
    <x v="7"/>
    <n v="78"/>
    <x v="3"/>
    <x v="311"/>
    <n v="200"/>
    <n v="2.4"/>
    <x v="1"/>
    <x v="4"/>
    <x v="0"/>
    <x v="3"/>
  </r>
  <r>
    <s v="Call_8230"/>
    <x v="6"/>
    <n v="25"/>
    <x v="1"/>
    <x v="312"/>
    <n v="93"/>
    <n v="3.5"/>
    <x v="1"/>
    <x v="5"/>
    <x v="3"/>
    <x v="2"/>
  </r>
  <r>
    <s v="Call_8231"/>
    <x v="12"/>
    <n v="50"/>
    <x v="4"/>
    <x v="312"/>
    <n v="54"/>
    <n v="4.3"/>
    <x v="1"/>
    <x v="5"/>
    <x v="2"/>
    <x v="2"/>
  </r>
  <r>
    <s v="Call_8232"/>
    <x v="6"/>
    <n v="103"/>
    <x v="1"/>
    <x v="313"/>
    <n v="72"/>
    <n v="3.4"/>
    <x v="1"/>
    <x v="6"/>
    <x v="0"/>
    <x v="1"/>
  </r>
  <r>
    <s v="Call_8233"/>
    <x v="9"/>
    <n v="63"/>
    <x v="2"/>
    <x v="313"/>
    <n v="82"/>
    <n v="3.7"/>
    <x v="1"/>
    <x v="6"/>
    <x v="0"/>
    <x v="2"/>
  </r>
  <r>
    <s v="Call_8234"/>
    <x v="12"/>
    <n v="96"/>
    <x v="4"/>
    <x v="314"/>
    <n v="164"/>
    <n v="4.8"/>
    <x v="1"/>
    <x v="3"/>
    <x v="0"/>
    <x v="0"/>
  </r>
  <r>
    <s v="Call_8235"/>
    <x v="2"/>
    <n v="94"/>
    <x v="1"/>
    <x v="314"/>
    <n v="78"/>
    <n v="3.3"/>
    <x v="1"/>
    <x v="3"/>
    <x v="0"/>
    <x v="1"/>
  </r>
  <r>
    <s v="Call_8236"/>
    <x v="10"/>
    <n v="46"/>
    <x v="3"/>
    <x v="315"/>
    <n v="135"/>
    <n v="4.2"/>
    <x v="1"/>
    <x v="4"/>
    <x v="2"/>
    <x v="2"/>
  </r>
  <r>
    <s v="Call_8237"/>
    <x v="14"/>
    <n v="127"/>
    <x v="4"/>
    <x v="316"/>
    <n v="145"/>
    <n v="2.6"/>
    <x v="1"/>
    <x v="5"/>
    <x v="1"/>
    <x v="1"/>
  </r>
  <r>
    <s v="Call_8238"/>
    <x v="5"/>
    <n v="96"/>
    <x v="3"/>
    <x v="316"/>
    <n v="115"/>
    <n v="4.9000000000000004"/>
    <x v="1"/>
    <x v="5"/>
    <x v="0"/>
    <x v="0"/>
  </r>
  <r>
    <s v="Call_8239"/>
    <x v="13"/>
    <n v="151"/>
    <x v="1"/>
    <x v="316"/>
    <n v="117"/>
    <n v="2"/>
    <x v="1"/>
    <x v="5"/>
    <x v="1"/>
    <x v="3"/>
  </r>
  <r>
    <s v="Call_8240"/>
    <x v="14"/>
    <n v="158"/>
    <x v="0"/>
    <x v="317"/>
    <n v="36"/>
    <n v="4.7"/>
    <x v="1"/>
    <x v="6"/>
    <x v="1"/>
    <x v="0"/>
  </r>
  <r>
    <s v="Call_8241"/>
    <x v="2"/>
    <n v="45"/>
    <x v="0"/>
    <x v="317"/>
    <n v="84"/>
    <n v="2.8"/>
    <x v="1"/>
    <x v="6"/>
    <x v="2"/>
    <x v="1"/>
  </r>
  <r>
    <s v="Call_8242"/>
    <x v="8"/>
    <n v="141"/>
    <x v="0"/>
    <x v="317"/>
    <n v="66"/>
    <n v="3.2"/>
    <x v="1"/>
    <x v="6"/>
    <x v="1"/>
    <x v="1"/>
  </r>
  <r>
    <s v="Call_8243"/>
    <x v="6"/>
    <n v="147"/>
    <x v="3"/>
    <x v="317"/>
    <n v="76"/>
    <n v="4.7"/>
    <x v="1"/>
    <x v="6"/>
    <x v="1"/>
    <x v="0"/>
  </r>
  <r>
    <s v="Call_8244"/>
    <x v="11"/>
    <n v="126"/>
    <x v="3"/>
    <x v="317"/>
    <n v="185"/>
    <n v="4.8"/>
    <x v="1"/>
    <x v="6"/>
    <x v="1"/>
    <x v="0"/>
  </r>
  <r>
    <s v="Call_8245"/>
    <x v="2"/>
    <n v="126"/>
    <x v="2"/>
    <x v="318"/>
    <n v="80"/>
    <n v="4.7"/>
    <x v="1"/>
    <x v="0"/>
    <x v="1"/>
    <x v="0"/>
  </r>
  <r>
    <s v="Call_8246"/>
    <x v="7"/>
    <n v="32"/>
    <x v="3"/>
    <x v="318"/>
    <n v="148"/>
    <n v="4"/>
    <x v="1"/>
    <x v="0"/>
    <x v="2"/>
    <x v="2"/>
  </r>
  <r>
    <s v="Call_8247"/>
    <x v="2"/>
    <n v="84"/>
    <x v="4"/>
    <x v="319"/>
    <n v="180"/>
    <n v="4.9000000000000004"/>
    <x v="1"/>
    <x v="2"/>
    <x v="0"/>
    <x v="0"/>
  </r>
  <r>
    <s v="Call_8248"/>
    <x v="9"/>
    <n v="120"/>
    <x v="2"/>
    <x v="320"/>
    <n v="190"/>
    <n v="3.7"/>
    <x v="1"/>
    <x v="3"/>
    <x v="0"/>
    <x v="2"/>
  </r>
  <r>
    <s v="Call_8249"/>
    <x v="4"/>
    <n v="93"/>
    <x v="3"/>
    <x v="320"/>
    <n v="38"/>
    <n v="4.5"/>
    <x v="1"/>
    <x v="3"/>
    <x v="0"/>
    <x v="0"/>
  </r>
  <r>
    <s v="Call_8250"/>
    <x v="5"/>
    <n v="76"/>
    <x v="1"/>
    <x v="321"/>
    <n v="82"/>
    <n v="2.1"/>
    <x v="1"/>
    <x v="4"/>
    <x v="0"/>
    <x v="3"/>
  </r>
  <r>
    <s v="Call_8251"/>
    <x v="14"/>
    <n v="89"/>
    <x v="3"/>
    <x v="322"/>
    <n v="88"/>
    <n v="2.8"/>
    <x v="1"/>
    <x v="0"/>
    <x v="0"/>
    <x v="1"/>
  </r>
  <r>
    <s v="Call_8252"/>
    <x v="3"/>
    <n v="91"/>
    <x v="4"/>
    <x v="322"/>
    <n v="42"/>
    <n v="4.0999999999999996"/>
    <x v="1"/>
    <x v="0"/>
    <x v="0"/>
    <x v="2"/>
  </r>
  <r>
    <s v="Call_8253"/>
    <x v="10"/>
    <n v="7"/>
    <x v="0"/>
    <x v="323"/>
    <n v="64"/>
    <n v="3.3"/>
    <x v="1"/>
    <x v="1"/>
    <x v="4"/>
    <x v="1"/>
  </r>
  <r>
    <s v="Call_8254"/>
    <x v="7"/>
    <n v="140"/>
    <x v="0"/>
    <x v="323"/>
    <n v="105"/>
    <n v="1.7"/>
    <x v="1"/>
    <x v="1"/>
    <x v="1"/>
    <x v="3"/>
  </r>
  <r>
    <s v="Call_8255"/>
    <x v="1"/>
    <n v="58"/>
    <x v="2"/>
    <x v="323"/>
    <n v="25"/>
    <n v="3.6"/>
    <x v="1"/>
    <x v="1"/>
    <x v="2"/>
    <x v="2"/>
  </r>
  <r>
    <s v="Call_8256"/>
    <x v="0"/>
    <n v="90"/>
    <x v="1"/>
    <x v="324"/>
    <n v="176"/>
    <n v="3.6"/>
    <x v="1"/>
    <x v="2"/>
    <x v="0"/>
    <x v="2"/>
  </r>
  <r>
    <s v="Call_8257"/>
    <x v="0"/>
    <n v="106"/>
    <x v="3"/>
    <x v="325"/>
    <n v="46"/>
    <n v="4.5999999999999996"/>
    <x v="1"/>
    <x v="3"/>
    <x v="0"/>
    <x v="0"/>
  </r>
  <r>
    <s v="Call_8258"/>
    <x v="9"/>
    <n v="72"/>
    <x v="0"/>
    <x v="325"/>
    <n v="164"/>
    <n v="4.8"/>
    <x v="1"/>
    <x v="3"/>
    <x v="0"/>
    <x v="0"/>
  </r>
  <r>
    <s v="Call_8259"/>
    <x v="10"/>
    <n v="124"/>
    <x v="0"/>
    <x v="326"/>
    <n v="64"/>
    <n v="4.5"/>
    <x v="1"/>
    <x v="4"/>
    <x v="1"/>
    <x v="0"/>
  </r>
  <r>
    <s v="Call_8260"/>
    <x v="8"/>
    <n v="86"/>
    <x v="4"/>
    <x v="326"/>
    <n v="205"/>
    <n v="4.5"/>
    <x v="1"/>
    <x v="4"/>
    <x v="0"/>
    <x v="0"/>
  </r>
  <r>
    <s v="Call_8261"/>
    <x v="2"/>
    <n v="164"/>
    <x v="4"/>
    <x v="327"/>
    <n v="100"/>
    <n v="4.5999999999999996"/>
    <x v="1"/>
    <x v="5"/>
    <x v="1"/>
    <x v="0"/>
  </r>
  <r>
    <s v="Call_8262"/>
    <x v="4"/>
    <n v="40"/>
    <x v="1"/>
    <x v="327"/>
    <n v="111"/>
    <n v="4.5999999999999996"/>
    <x v="1"/>
    <x v="5"/>
    <x v="2"/>
    <x v="0"/>
  </r>
  <r>
    <s v="Call_8263"/>
    <x v="3"/>
    <n v="76"/>
    <x v="2"/>
    <x v="327"/>
    <n v="80"/>
    <n v="3.5"/>
    <x v="1"/>
    <x v="5"/>
    <x v="0"/>
    <x v="2"/>
  </r>
  <r>
    <s v="Call_8264"/>
    <x v="10"/>
    <n v="95"/>
    <x v="3"/>
    <x v="327"/>
    <n v="50"/>
    <n v="2.9"/>
    <x v="1"/>
    <x v="5"/>
    <x v="0"/>
    <x v="1"/>
  </r>
  <r>
    <s v="Call_8265"/>
    <x v="3"/>
    <n v="113"/>
    <x v="0"/>
    <x v="328"/>
    <n v="165"/>
    <n v="4.7"/>
    <x v="1"/>
    <x v="6"/>
    <x v="0"/>
    <x v="0"/>
  </r>
  <r>
    <s v="Call_8266"/>
    <x v="8"/>
    <n v="81"/>
    <x v="0"/>
    <x v="328"/>
    <n v="28"/>
    <n v="3.9"/>
    <x v="1"/>
    <x v="6"/>
    <x v="0"/>
    <x v="2"/>
  </r>
  <r>
    <s v="Call_8267"/>
    <x v="5"/>
    <n v="127"/>
    <x v="3"/>
    <x v="328"/>
    <n v="215"/>
    <n v="3.8"/>
    <x v="1"/>
    <x v="6"/>
    <x v="1"/>
    <x v="2"/>
  </r>
  <r>
    <s v="Call_8268"/>
    <x v="7"/>
    <n v="146"/>
    <x v="0"/>
    <x v="329"/>
    <n v="115"/>
    <n v="2.2999999999999998"/>
    <x v="1"/>
    <x v="0"/>
    <x v="1"/>
    <x v="3"/>
  </r>
  <r>
    <s v="Call_8269"/>
    <x v="6"/>
    <n v="123"/>
    <x v="0"/>
    <x v="329"/>
    <n v="64"/>
    <n v="3.7"/>
    <x v="1"/>
    <x v="0"/>
    <x v="1"/>
    <x v="2"/>
  </r>
  <r>
    <s v="Call_8270"/>
    <x v="9"/>
    <n v="114"/>
    <x v="2"/>
    <x v="329"/>
    <n v="40"/>
    <n v="3.9"/>
    <x v="1"/>
    <x v="0"/>
    <x v="0"/>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F20538-27CD-4F6E-9B2F-7E973FDE75A8}" name="res satisfaction" cacheId="90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59:I78"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2"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728052-47B5-4617-BCF6-9B467B5CAE39}" name="Rep Satistacftion" cacheId="1535" applyNumberFormats="0" applyBorderFormats="0" applyFontFormats="0" applyPatternFormats="0" applyAlignmentFormats="0" applyWidthHeightFormats="1" dataCaption="Values" updatedVersion="8" minRefreshableVersion="3" useAutoFormatting="1" itemPrintTitles="1" createdVersion="8" indent="0" showEmptyRow="1" outline="1" outlineData="1" multipleFieldFilters="0" chartFormat="17">
  <location ref="J48:K54"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fld="1" subtotal="count" baseField="0" baseItem="0"/>
  </dataFields>
  <chartFormats count="1">
    <chartFormat chart="14"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858631-DFFD-4145-BE05-B8EDAA07767E}" name="PivotTable4" cacheId="6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47:G5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5">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 chart="4" format="6">
      <pivotArea type="data" outline="0" fieldPosition="0">
        <references count="3">
          <reference field="4294967294" count="1" selected="0">
            <x v="0"/>
          </reference>
          <reference field="0" count="1" selected="0">
            <x v="0"/>
          </reference>
          <reference field="1" count="1" selected="0">
            <x v="0"/>
          </reference>
        </references>
      </pivotArea>
    </chartFormat>
    <chartFormat chart="4" format="7">
      <pivotArea type="data" outline="0" fieldPosition="0">
        <references count="3">
          <reference field="4294967294" count="1" selected="0">
            <x v="0"/>
          </reference>
          <reference field="0" count="1" selected="0">
            <x v="1"/>
          </reference>
          <reference field="1" count="1" selected="0">
            <x v="0"/>
          </reference>
        </references>
      </pivotArea>
    </chartFormat>
    <chartFormat chart="4" format="8">
      <pivotArea type="data" outline="0" fieldPosition="0">
        <references count="3">
          <reference field="4294967294" count="1" selected="0">
            <x v="0"/>
          </reference>
          <reference field="0" count="1" selected="0">
            <x v="2"/>
          </reference>
          <reference field="1" count="1" selected="0">
            <x v="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B38824-6A11-454F-ADD7-E12EB52192A1}" name="selected rep" cacheId="153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8:A49"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pivotHierarchies count="3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A424C2-E2DE-47F8-8D25-0FE8C823DBC2}" name="resp pivot" cacheId="6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C44" firstHeaderRow="0" firstDataRow="1" firstDataCol="1"/>
  <pivotFields count="3">
    <pivotField axis="axisRow" allDrilled="1" showAll="0" dataSourceSort="1" defaultAttributeDrillState="1">
      <items count="6">
        <item x="0"/>
        <item x="1"/>
        <item x="2"/>
        <item x="3"/>
        <item x="4"/>
        <item t="default"/>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5A8203-B482-41A9-98C7-B42D2482025A}" name="Summary pivot" cacheId="6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E2"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653CD53-A115-42BC-9BEB-4AAFE307B8A2}" name="weekly trend" cacheId="152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0">
  <location ref="G21:H29" firstHeaderRow="1" firstDataRow="1" firstDataCol="1"/>
  <pivotFields count="3">
    <pivotField allDrilled="1" subtotalTop="0" showAll="0" dataSourceSort="1" defaultSubtotal="0" defaultAttributeDrillState="1"/>
    <pivotField axis="axisRow" allDrilled="1" subtotalTop="0" showAll="0" sortType="ascending" defaultSubtotal="0" defaultAttributeDrillState="1">
      <items count="7">
        <item x="3"/>
        <item x="1"/>
        <item x="5"/>
        <item x="6"/>
        <item x="4"/>
        <item x="0"/>
        <item x="2"/>
      </items>
    </pivotField>
    <pivotField dataField="1" subtotalTop="0" showAll="0" defaultSubtotal="0"/>
  </pivotFields>
  <rowFields count="1">
    <field x="1"/>
  </rowFields>
  <rowItems count="8">
    <i>
      <x/>
    </i>
    <i>
      <x v="1"/>
    </i>
    <i>
      <x v="2"/>
    </i>
    <i>
      <x v="3"/>
    </i>
    <i>
      <x v="4"/>
    </i>
    <i>
      <x v="5"/>
    </i>
    <i>
      <x v="6"/>
    </i>
    <i t="grand">
      <x/>
    </i>
  </rowItems>
  <colItems count="1">
    <i/>
  </colItems>
  <dataFields count="1">
    <dataField fld="2" subtotal="count" baseField="0" baseItem="0"/>
  </dataFields>
  <chartFormats count="3">
    <chartFormat chart="27" format="0" series="1">
      <pivotArea type="data" outline="0" fieldPosition="0">
        <references count="1">
          <reference field="4294967294" count="1" selected="0">
            <x v="0"/>
          </reference>
        </references>
      </pivotArea>
    </chartFormat>
    <chartFormat chart="28" format="1"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27BF52-7959-4DA3-A17C-73D0B5C9990D}" name="Monthly trend" cacheId="152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4">
  <location ref="A18:C31" firstHeaderRow="0" firstDataRow="1" firstDataCol="1"/>
  <pivotFields count="5">
    <pivotField axis="axisRow" allDrilled="1" subtotalTop="0" showAll="0" dataSourceSort="1" defaultSubtotal="0" defaultAttributeDrillState="1">
      <items count="33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s2" fld="4" subtotal="count" baseField="0" baseItem="0">
      <extLst>
        <ext xmlns:x14="http://schemas.microsoft.com/office/spreadsheetml/2009/9/main" uri="{E15A36E0-9728-4e99-A89B-3F7291B0FE68}">
          <x14:dataField sourceField="2" uniqueName="[__Xl2].[Measures].[Call Counts]"/>
        </ext>
      </extLst>
    </dataField>
  </dataFields>
  <chartFormats count="3">
    <chartFormat chart="23" format="4" series="1">
      <pivotArea type="data" outline="0" fieldPosition="0">
        <references count="1">
          <reference field="4294967294" count="1" selected="0">
            <x v="1"/>
          </reference>
        </references>
      </pivotArea>
    </chartFormat>
    <chartFormat chart="23" format="5" series="1">
      <pivotArea type="data" outline="0" fieldPosition="0">
        <references count="1">
          <reference field="4294967294" count="1" selected="0">
            <x v="0"/>
          </reference>
        </references>
      </pivotArea>
    </chartFormat>
    <chartFormat chart="23" format="6">
      <pivotArea type="data" outline="0" fieldPosition="0">
        <references count="2">
          <reference field="4294967294" count="1" selected="0">
            <x v="0"/>
          </reference>
          <reference field="1" count="1" selected="0">
            <x v="1"/>
          </reference>
        </references>
      </pivotArea>
    </chartFormat>
  </chartFormats>
  <pivotHierarchies count="31">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870FC0-36A1-4C08-B80B-3D9F20EEEF5D}" name="Rep pivot" cacheId="152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7:E8"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0">
    <pivotHierarchy dragToData="1"/>
    <pivotHierarchy dragToData="1"/>
    <pivotHierarchy dragToData="1"/>
    <pivotHierarchy multipleItemSelectionAllowed="1" dragToData="1">
      <members count="1" level="1">
        <member name="[calls].[Representative].&amp;[R0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5.sample-data-pivots-blank.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270F27F-471F-4FF0-97A5-62A85D08012E}" name="PivotTable3" cacheId="63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K6:L17" firstHeaderRow="1" firstDataRow="1" firstDataCol="1"/>
  <pivotFields count="13">
    <pivotField showAll="0"/>
    <pivotField axis="axisRow" showAll="0" measureFilter="1" sortType="descending">
      <items count="16">
        <item x="11"/>
        <item x="3"/>
        <item x="7"/>
        <item x="12"/>
        <item x="4"/>
        <item x="6"/>
        <item x="9"/>
        <item x="14"/>
        <item x="5"/>
        <item x="10"/>
        <item x="2"/>
        <item x="1"/>
        <item x="0"/>
        <item x="8"/>
        <item x="13"/>
        <item t="default"/>
      </items>
      <autoSortScope>
        <pivotArea dataOnly="0" outline="0" fieldPosition="0">
          <references count="1">
            <reference field="4294967294" count="1" selected="0">
              <x v="0"/>
            </reference>
          </references>
        </pivotArea>
      </autoSortScope>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v="10"/>
    </i>
    <i>
      <x v="11"/>
    </i>
    <i>
      <x v="2"/>
    </i>
    <i>
      <x v="8"/>
    </i>
    <i>
      <x v="3"/>
    </i>
    <i>
      <x v="14"/>
    </i>
    <i>
      <x v="4"/>
    </i>
    <i>
      <x v="6"/>
    </i>
    <i>
      <x/>
    </i>
    <i>
      <x v="5"/>
    </i>
    <i t="grand">
      <x/>
    </i>
  </rowItems>
  <colItems count="1">
    <i/>
  </colItems>
  <dataFields count="1">
    <dataField name="Sum of Purchase Amount" fld="5" baseField="0" baseItem="0" numFmtId="165"/>
  </dataFields>
  <formats count="2">
    <format dxfId="47">
      <pivotArea outline="0" collapsedLevelsAreSubtotals="1" fieldPosition="0"/>
    </format>
    <format dxfId="46">
      <pivotArea dataOnly="0" labelOnly="1" outline="0" axis="axisValues" fieldPosition="0"/>
    </format>
  </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E1E1990-9C02-4CA4-B21C-9104BA5BC751}" name="PivotTable2"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6:G22" firstHeaderRow="1" firstDataRow="1" firstDataCol="1"/>
  <pivotFields count="13">
    <pivotField showAll="0"/>
    <pivotField axis="axisRow" showAll="0">
      <items count="16">
        <item x="13"/>
        <item x="8"/>
        <item x="0"/>
        <item x="1"/>
        <item x="2"/>
        <item x="10"/>
        <item x="5"/>
        <item x="14"/>
        <item x="9"/>
        <item x="6"/>
        <item x="4"/>
        <item x="12"/>
        <item x="7"/>
        <item x="3"/>
        <item x="11"/>
        <item t="default"/>
      </items>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dataField="1"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Average of Satisfaction Rating" fld="6" subtotal="average" baseField="0" baseItem="0" numFmtId="2"/>
  </dataFields>
  <formats count="1">
    <format dxfId="4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992CB91-5714-43B3-B71D-4BDBDB89D0A6}" name="PivotTable1"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9" firstHeaderRow="1" firstDataRow="1" firstDataCol="1"/>
  <pivotFields count="13">
    <pivotField dataField="1" showAll="0"/>
    <pivotField axis="axisRow" showAll="0">
      <items count="16">
        <item x="13"/>
        <item x="8"/>
        <item x="0"/>
        <item x="1"/>
        <item x="2"/>
        <item x="10"/>
        <item x="5"/>
        <item x="14"/>
        <item x="9"/>
        <item x="6"/>
        <item x="4"/>
        <item x="12"/>
        <item x="7"/>
        <item x="3"/>
        <item x="11"/>
        <item t="default"/>
      </items>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BC5B54F-4DFD-41AF-912D-29D4E19E7B36}" name="PivotTable6"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I13:J24" firstHeaderRow="1" firstDataRow="1" firstDataCol="1"/>
  <pivotFields count="13">
    <pivotField showAll="0"/>
    <pivotField axis="axisRow" showAll="0" measureFilter="1" sortType="descending">
      <items count="16">
        <item x="13"/>
        <item x="8"/>
        <item x="0"/>
        <item x="1"/>
        <item x="2"/>
        <item x="10"/>
        <item x="5"/>
        <item x="14"/>
        <item x="9"/>
        <item x="6"/>
        <item x="4"/>
        <item x="12"/>
        <item x="7"/>
        <item x="3"/>
        <item x="11"/>
        <item t="default"/>
      </items>
      <autoSortScope>
        <pivotArea dataOnly="0" outline="0" fieldPosition="0">
          <references count="1">
            <reference field="4294967294" count="1" selected="0">
              <x v="0"/>
            </reference>
          </references>
        </pivotArea>
      </autoSortScope>
    </pivotField>
    <pivotField showAll="0"/>
    <pivotField showAll="0">
      <items count="6">
        <item h="1" x="2"/>
        <item h="1" x="1"/>
        <item x="4"/>
        <item h="1" x="3"/>
        <item h="1"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12"/>
    </i>
    <i>
      <x v="1"/>
    </i>
    <i>
      <x v="9"/>
    </i>
    <i>
      <x v="10"/>
    </i>
    <i>
      <x v="14"/>
    </i>
    <i>
      <x v="4"/>
    </i>
    <i>
      <x v="5"/>
    </i>
    <i>
      <x v="2"/>
    </i>
    <i>
      <x v="8"/>
    </i>
    <i t="grand">
      <x/>
    </i>
  </rowItems>
  <colItems count="1">
    <i/>
  </colItems>
  <dataFields count="1">
    <dataField name="Sum of Purchase Amount" fld="5" baseField="0" baseItem="0" numFmtId="166"/>
  </dataFields>
  <formats count="1">
    <format dxfId="44">
      <pivotArea outline="0" collapsedLevelsAreSubtotals="1" fieldPosition="0"/>
    </format>
  </formats>
  <chartFormats count="1">
    <chartFormat chart="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23EDC7-1DD0-4596-8663-0D368F085AD3}" name="PivotTable5" cacheId="635"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10:B26" firstHeaderRow="1" firstDataRow="1" firstDataCol="1" rowPageCount="1" colPageCount="1"/>
  <pivotFields count="13">
    <pivotField showAll="0"/>
    <pivotField axis="axisRow" showAll="0">
      <items count="16">
        <item x="13"/>
        <item x="8"/>
        <item x="0"/>
        <item x="1"/>
        <item x="2"/>
        <item x="10"/>
        <item x="5"/>
        <item x="14"/>
        <item x="9"/>
        <item x="6"/>
        <item x="4"/>
        <item x="12"/>
        <item x="7"/>
        <item x="3"/>
        <item x="11"/>
        <item t="default"/>
      </items>
    </pivotField>
    <pivotField showAll="0"/>
    <pivotField axis="axisPage"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6">
    <i>
      <x/>
    </i>
    <i>
      <x v="1"/>
    </i>
    <i>
      <x v="2"/>
    </i>
    <i>
      <x v="3"/>
    </i>
    <i>
      <x v="4"/>
    </i>
    <i>
      <x v="5"/>
    </i>
    <i>
      <x v="6"/>
    </i>
    <i>
      <x v="7"/>
    </i>
    <i>
      <x v="8"/>
    </i>
    <i>
      <x v="9"/>
    </i>
    <i>
      <x v="10"/>
    </i>
    <i>
      <x v="11"/>
    </i>
    <i>
      <x v="12"/>
    </i>
    <i>
      <x v="13"/>
    </i>
    <i>
      <x v="14"/>
    </i>
    <i t="grand">
      <x/>
    </i>
  </rowItems>
  <colItems count="1">
    <i/>
  </colItems>
  <pageFields count="1">
    <pageField fld="3" item="1" hier="-1"/>
  </pageFields>
  <dataFields count="1">
    <dataField name="Sum of Purchase Amount" fld="5" baseField="0" baseItem="0" numFmtId="166"/>
  </dataFields>
  <formats count="1">
    <format dxfId="4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0642632-BAC5-4653-9A92-4A6FB3FBC087}" name="PivotTable7"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C12" firstHeaderRow="1" firstDataRow="1" firstDataCol="1"/>
  <pivotFields count="13">
    <pivotField dataField="1" showAll="0"/>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0"/>
        <item x="3"/>
        <item x="2"/>
        <item x="1"/>
        <item x="4"/>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9"/>
  </rowFields>
  <rowItems count="6">
    <i>
      <x/>
    </i>
    <i>
      <x v="1"/>
    </i>
    <i>
      <x v="2"/>
    </i>
    <i>
      <x v="3"/>
    </i>
    <i>
      <x v="4"/>
    </i>
    <i t="grand">
      <x/>
    </i>
  </rowItems>
  <colItems count="1">
    <i/>
  </colItems>
  <dataFields count="1">
    <dataField name="Count of Call numb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E21EEC1-2790-42AD-9AC1-7B5A9C8DB388}" name="PivotTable8"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B8:C21" firstHeaderRow="1" firstDataRow="1" firstDataCol="1"/>
  <pivotFields count="13">
    <pivotField dataField="1" showAll="0"/>
    <pivotField showAll="0"/>
    <pivotField showAll="0"/>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4"/>
  </rowFields>
  <rowItems count="13">
    <i>
      <x v="1"/>
    </i>
    <i>
      <x v="2"/>
    </i>
    <i>
      <x v="3"/>
    </i>
    <i>
      <x v="4"/>
    </i>
    <i>
      <x v="5"/>
    </i>
    <i>
      <x v="6"/>
    </i>
    <i>
      <x v="7"/>
    </i>
    <i>
      <x v="8"/>
    </i>
    <i>
      <x v="9"/>
    </i>
    <i>
      <x v="10"/>
    </i>
    <i>
      <x v="11"/>
    </i>
    <i>
      <x v="12"/>
    </i>
    <i t="grand">
      <x/>
    </i>
  </rowItems>
  <colItems count="1">
    <i/>
  </colItems>
  <dataFields count="1">
    <dataField name="Count of Call number" fld="0" subtotal="count" baseField="0" baseItem="0"/>
  </dataField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8006778-B898-4EDC-B11B-93AD439DE3F3}" name="PivotTable13"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C72:D87" firstHeaderRow="1" firstDataRow="1" firstDataCol="1"/>
  <pivotFields count="13">
    <pivotField showAll="0"/>
    <pivotField showAll="0"/>
    <pivotField showAll="0"/>
    <pivotField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axis="axisRow" showAll="0">
      <items count="3">
        <item x="0"/>
        <item x="1"/>
        <item t="default"/>
      </items>
    </pivotField>
    <pivotField showAll="0"/>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7"/>
    <field x="12"/>
  </rowFields>
  <rowItems count="15">
    <i>
      <x/>
    </i>
    <i r="1">
      <x v="1"/>
    </i>
    <i r="1">
      <x v="2"/>
    </i>
    <i r="1">
      <x v="3"/>
    </i>
    <i r="1">
      <x v="4"/>
    </i>
    <i r="1">
      <x v="5"/>
    </i>
    <i>
      <x v="1"/>
    </i>
    <i r="1">
      <x v="6"/>
    </i>
    <i r="1">
      <x v="7"/>
    </i>
    <i r="1">
      <x v="8"/>
    </i>
    <i r="1">
      <x v="9"/>
    </i>
    <i r="1">
      <x v="10"/>
    </i>
    <i r="1">
      <x v="11"/>
    </i>
    <i r="1">
      <x v="12"/>
    </i>
    <i t="grand">
      <x/>
    </i>
  </rowItems>
  <colItems count="1">
    <i/>
  </colItems>
  <dataFields count="1">
    <dataField name="Sum of Purchase Amount" fld="5" showDataAs="runTotal" baseField="12" baseItem="0"/>
  </dataFields>
  <chartFormats count="2">
    <chartFormat chart="28" format="0"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AA68221-B127-4FF2-AAF4-4B40EBDDB087}" name="PivotTable12"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location ref="B43:C56" firstHeaderRow="1" firstDataRow="1" firstDataCol="1"/>
  <pivotFields count="13">
    <pivotField showAll="0"/>
    <pivotField showAll="0"/>
    <pivotField showAll="0"/>
    <pivotField showAll="0">
      <items count="6">
        <item x="2"/>
        <item x="1"/>
        <item x="4"/>
        <item x="3"/>
        <item x="0"/>
        <item t="default"/>
      </items>
    </pivotField>
    <pivotField axis="axisRow"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2"/>
    <field x="11"/>
    <field x="4"/>
  </rowFields>
  <rowItems count="13">
    <i>
      <x v="1"/>
    </i>
    <i>
      <x v="2"/>
    </i>
    <i>
      <x v="3"/>
    </i>
    <i>
      <x v="4"/>
    </i>
    <i>
      <x v="5"/>
    </i>
    <i>
      <x v="6"/>
    </i>
    <i>
      <x v="7"/>
    </i>
    <i>
      <x v="8"/>
    </i>
    <i>
      <x v="9"/>
    </i>
    <i>
      <x v="10"/>
    </i>
    <i>
      <x v="11"/>
    </i>
    <i>
      <x v="12"/>
    </i>
    <i t="grand">
      <x/>
    </i>
  </rowItems>
  <colItems count="1">
    <i/>
  </colItems>
  <dataFields count="1">
    <dataField name="Sum of Purchase Amount" fld="5" showDataAs="runTotal" baseField="12" baseItem="0"/>
  </dataFields>
  <chartFormats count="1">
    <chartFormat chart="2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0912B68-1074-4F53-B311-925E8164C2F1}" name="PivotTable14"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J13" firstHeaderRow="1" firstDataRow="2" firstDataCol="1"/>
  <pivotFields count="13">
    <pivotField dataField="1" showAll="0"/>
    <pivotField showAll="0"/>
    <pivotField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axis="axisCol" showAll="0">
      <items count="8">
        <item x="0"/>
        <item x="1"/>
        <item x="2"/>
        <item x="3"/>
        <item x="4"/>
        <item x="5"/>
        <item x="6"/>
        <item t="default"/>
      </items>
    </pivotField>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8"/>
  </colFields>
  <colItems count="8">
    <i>
      <x/>
    </i>
    <i>
      <x v="1"/>
    </i>
    <i>
      <x v="2"/>
    </i>
    <i>
      <x v="3"/>
    </i>
    <i>
      <x v="4"/>
    </i>
    <i>
      <x v="5"/>
    </i>
    <i>
      <x v="6"/>
    </i>
    <i t="grand">
      <x/>
    </i>
  </colItems>
  <dataFields count="1">
    <dataField name="Count of Call number" fld="0" subtotal="count" showDataAs="percentOfRow" baseField="0" baseItem="0" numFmtId="1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8"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CAF5105-6095-4251-87EC-A156F5C4174E}" name="PivotTable16"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8:O25" firstHeaderRow="1" firstDataRow="2" firstDataCol="1"/>
  <pivotFields count="13">
    <pivotField dataField="1" showAll="0"/>
    <pivotField showAll="0"/>
    <pivotField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showAll="0"/>
    <pivotField showAll="0" defaultSubtotal="0"/>
    <pivotField axis="axisCol"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2"/>
  </colFields>
  <colItems count="13">
    <i>
      <x v="1"/>
    </i>
    <i>
      <x v="2"/>
    </i>
    <i>
      <x v="3"/>
    </i>
    <i>
      <x v="4"/>
    </i>
    <i>
      <x v="5"/>
    </i>
    <i>
      <x v="6"/>
    </i>
    <i>
      <x v="7"/>
    </i>
    <i>
      <x v="8"/>
    </i>
    <i>
      <x v="9"/>
    </i>
    <i>
      <x v="10"/>
    </i>
    <i>
      <x v="11"/>
    </i>
    <i>
      <x v="12"/>
    </i>
    <i t="grand">
      <x/>
    </i>
  </colItems>
  <dataFields count="1">
    <dataField name="Count of Call number" fld="0" subtotal="count" baseField="0" baseItem="0"/>
  </dataFields>
  <conditionalFormats count="1">
    <conditionalFormat scope="field" priority="1">
      <pivotAreas count="1">
        <pivotArea outline="0" collapsedLevelsAreSubtotals="1" fieldPosition="0">
          <references count="3">
            <reference field="4294967294" count="1" selected="0">
              <x v="0"/>
            </reference>
            <reference field="3" count="0" selected="0"/>
            <reference field="12"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AC2302F-5D35-4FAA-8119-1EAE0FF64406}" name="PivotTable15"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I12" firstHeaderRow="1" firstDataRow="2" firstDataCol="1"/>
  <pivotFields count="13">
    <pivotField dataField="1" showAll="0"/>
    <pivotField showAll="0"/>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axis="axisRow" showAll="0">
      <items count="6">
        <item x="4"/>
        <item x="3"/>
        <item x="2"/>
        <item x="0"/>
        <item x="1"/>
        <item t="default"/>
      </items>
    </pivotField>
    <pivotField axis="axisCol" showAll="0">
      <items count="7">
        <item x="4"/>
        <item x="5"/>
        <item x="3"/>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baseField="0" baseItem="0"/>
  </dataFields>
  <conditionalFormats count="1">
    <conditionalFormat scope="field" priority="2">
      <pivotAreas count="1">
        <pivotArea outline="0" collapsedLevelsAreSubtotals="1" fieldPosition="0">
          <references count="3">
            <reference field="4294967294" count="1" selected="0">
              <x v="0"/>
            </reference>
            <reference field="9" count="0" selected="0"/>
            <reference field="10" count="0" selected="0"/>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35DA117-C7F4-4D96-8CCA-1F858817A42E}" name="PivotTable2"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4:I31" firstHeaderRow="1" firstDataRow="2" firstDataCol="1"/>
  <pivotFields count="13">
    <pivotField dataField="1" showAll="0"/>
    <pivotField showAll="0"/>
    <pivotField showAll="0"/>
    <pivotField axis="axisRow" showAll="0">
      <items count="6">
        <item x="2"/>
        <item x="1"/>
        <item x="4"/>
        <item x="3"/>
        <item x="0"/>
        <item t="default"/>
      </items>
    </pivotField>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showAll="0"/>
    <pivotField showAll="0"/>
    <pivotField showAll="0"/>
    <pivotField showAll="0"/>
    <pivotField showAll="0"/>
    <pivotField axis="axisCol" showAll="0">
      <items count="7">
        <item x="4"/>
        <item x="5"/>
        <item x="3"/>
        <item x="1"/>
        <item x="2"/>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6">
    <i>
      <x/>
    </i>
    <i>
      <x v="1"/>
    </i>
    <i>
      <x v="2"/>
    </i>
    <i>
      <x v="3"/>
    </i>
    <i>
      <x v="4"/>
    </i>
    <i t="grand">
      <x/>
    </i>
  </rowItems>
  <colFields count="1">
    <field x="10"/>
  </colFields>
  <colItems count="7">
    <i>
      <x/>
    </i>
    <i>
      <x v="1"/>
    </i>
    <i>
      <x v="2"/>
    </i>
    <i>
      <x v="3"/>
    </i>
    <i>
      <x v="4"/>
    </i>
    <i>
      <x v="5"/>
    </i>
    <i t="grand">
      <x/>
    </i>
  </colItems>
  <dataFields count="1">
    <dataField name="Count of Call number" fld="0" subtotal="count" baseField="0" baseItem="0"/>
  </dataFields>
  <conditionalFormats count="1">
    <conditionalFormat priority="1">
      <pivotAreas count="1">
        <pivotArea type="data" grandCol="1" collapsedLevelsAreSubtotals="1" fieldPosition="0">
          <references count="2">
            <reference field="4294967294" count="1" selected="0">
              <x v="0"/>
            </reference>
            <reference field="3" count="5">
              <x v="0"/>
              <x v="1"/>
              <x v="2"/>
              <x v="3"/>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B2D28603-60BF-4EF8-B886-B022F7CEDE7F}" name="PivotTable1" cacheId="6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C10" firstHeaderRow="1" firstDataRow="1" firstDataCol="1"/>
  <pivotFields count="13">
    <pivotField showAll="0"/>
    <pivotField axis="axisRow" showAll="0" measureFilter="1">
      <items count="16">
        <item x="13"/>
        <item x="8"/>
        <item x="0"/>
        <item x="1"/>
        <item x="2"/>
        <item x="10"/>
        <item x="5"/>
        <item x="14"/>
        <item x="9"/>
        <item x="6"/>
        <item x="4"/>
        <item x="12"/>
        <item x="7"/>
        <item x="3"/>
        <item x="11"/>
        <item t="default"/>
      </items>
    </pivotField>
    <pivotField showAll="0"/>
    <pivotField showAll="0"/>
    <pivotField numFmtId="164" showAll="0">
      <items count="33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t="default"/>
      </items>
    </pivotField>
    <pivotField dataField="1" showAll="0"/>
    <pivotField showAll="0"/>
    <pivotField showAll="0"/>
    <pivotField showAll="0"/>
    <pivotField showAll="0">
      <items count="6">
        <item h="1" x="0"/>
        <item h="1" x="3"/>
        <item h="1" x="2"/>
        <item x="1"/>
        <item h="1" x="4"/>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6">
    <i>
      <x v="2"/>
    </i>
    <i>
      <x v="4"/>
    </i>
    <i>
      <x v="7"/>
    </i>
    <i>
      <x v="8"/>
    </i>
    <i>
      <x v="13"/>
    </i>
    <i t="grand">
      <x/>
    </i>
  </rowItems>
  <colItems count="1">
    <i/>
  </colItems>
  <dataFields count="1">
    <dataField name="Sum of Purchase Amount" fld="5" baseField="0" baseItem="0"/>
  </dataFields>
  <conditionalFormats count="1">
    <conditionalFormat priority="2">
      <pivotAreas count="1">
        <pivotArea type="data" collapsedLevelsAreSubtotals="1" fieldPosition="0">
          <references count="2">
            <reference field="4294967294" count="1" selected="0">
              <x v="0"/>
            </reference>
            <reference field="1" count="5">
              <x v="2"/>
              <x v="4"/>
              <x v="7"/>
              <x v="8"/>
              <x v="13"/>
            </reference>
          </references>
        </pivotArea>
      </pivotAreas>
    </conditionalFormat>
  </conditionalFormats>
  <pivotTableStyleInfo name="PivotStyleLight16" showRowHeaders="1" showColHeaders="1" showRowStripes="0" showColStripes="0" showLastColumn="1"/>
  <filters count="1">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D8F73FEF-2E3D-4780-9EDF-B6FEDBE463B2}" sourceName="Representative">
  <pivotTables>
    <pivotTable tabId="5" name="PivotTable6"/>
  </pivotTables>
  <data>
    <tabular pivotCacheId="340443555">
      <items count="5">
        <i x="2"/>
        <i x="1"/>
        <i x="4" s="1"/>
        <i x="3"/>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1" xr10:uid="{AA438A92-0D27-4D40-BBCA-659D51736366}" sourceName="Representative">
  <pivotTables>
    <pivotTable tabId="7" name="PivotTable8"/>
    <pivotTable tabId="7" name="PivotTable12"/>
    <pivotTable tabId="7" name="PivotTable13"/>
  </pivotTables>
  <data>
    <tabular pivotCacheId="340443555">
      <items count="5">
        <i x="2" s="1"/>
        <i x="1" s="1"/>
        <i x="4"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uration_Bucket" xr10:uid="{DD854D61-ABA8-40B9-8E3E-84A17D555BC7}" sourceName="Duration Bucket">
  <pivotTables>
    <pivotTable tabId="11" name="PivotTable1"/>
  </pivotTables>
  <data>
    <tabular pivotCacheId="340443555">
      <items count="5">
        <i x="0"/>
        <i x="3"/>
        <i x="2"/>
        <i x="1" s="1"/>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2" xr10:uid="{517053C0-C69E-438A-9510-EDDBC5CCF426}" sourceName="[calls].[Representative]">
  <pivotTables>
    <pivotTable tabId="13" name="Rep pivot"/>
    <pivotTable tabId="13" name="Monthly trend"/>
    <pivotTable tabId="13" name="weekly trend"/>
    <pivotTable tabId="13" name="selected rep"/>
    <pivotTable tabId="13" name="Rep Satistacftion"/>
  </pivotTables>
  <data>
    <olap pivotCacheId="511236016">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2]"/>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3" xr10:uid="{CDA65F34-67A2-4FF9-9275-ECB59A844B76}" cache="Slicer_Representative2" caption="Representative" level="1" style="SlicerStyleLight5 2" rowHeight="576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D253777C-2017-4697-89EB-3267C0DF9A04}" cache="Slicer_Representative2" caption="Representative" level="1"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29E35CB1-1E58-46D4-809D-6FD5696904A8}" cache="Slicer_Representative" caption="Representative"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A79B65F6-38A0-42CF-BD83-975DCAE9B6BC}" cache="Slicer_Representative1" caption="Representative" rowHeight="257175"/>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uration Bucket" xr10:uid="{C31CE16F-1852-43FA-94DC-0C451AB51213}" cache="Slicer_Duration_Bucket" caption="Duration Bucke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524584-7859-46AC-9506-5991DD292954}" name="Calls" displayName="Calls" ref="B3:L1004" totalsRowCount="1" headerRowBorderDxfId="43" tableBorderDxfId="42" totalsRowBorderDxfId="41">
  <autoFilter ref="B3:L1003" xr:uid="{99524584-7859-46AC-9506-5991DD292954}"/>
  <tableColumns count="11">
    <tableColumn id="1" xr3:uid="{F4761BC4-8A7E-40D0-A277-8066577D7140}" name="Call number" dataDxfId="40" totalsRowDxfId="39"/>
    <tableColumn id="2" xr3:uid="{14D5F44C-509B-48EE-8598-5588F8F89DAB}" name="Customer ID" dataDxfId="38" totalsRowDxfId="37"/>
    <tableColumn id="3" xr3:uid="{42E752EF-96B9-4381-B2E3-14FAB72409ED}" name="Duration" dataDxfId="36" totalsRowDxfId="35"/>
    <tableColumn id="4" xr3:uid="{BD5C5E01-28AA-4FD7-835F-07139500E0A5}" name="Representative" dataDxfId="34" totalsRowDxfId="33"/>
    <tableColumn id="5" xr3:uid="{18B456D7-53B2-4AD2-B2CD-0C6C8386EC8C}" name="Date of Call" dataDxfId="32" totalsRowDxfId="31"/>
    <tableColumn id="6" xr3:uid="{CFD40BCB-AB5A-4883-832A-BDB8082D4EAB}" name="Purchase Amount" totalsRowFunction="sum" dataDxfId="30" totalsRowDxfId="29"/>
    <tableColumn id="7" xr3:uid="{4ABB2B8A-FE42-4949-B299-870BF4BBF13F}" name="Satisfaction Rating" dataDxfId="28" totalsRowDxfId="27"/>
    <tableColumn id="8" xr3:uid="{878BC852-7E69-4631-9841-44A07FAA4743}" name="FINANCIAL YEAR" dataDxfId="26" totalsRowDxfId="25">
      <calculatedColumnFormula>IF(MONTH(Calls[[#This Row],[Date of Call]])&lt;6,YEAR(Calls[[#This Row],[Date of Call]]),YEAR(Calls[[#This Row],[Date of Call]])+1)</calculatedColumnFormula>
    </tableColumn>
    <tableColumn id="9" xr3:uid="{FD340752-2FED-4657-B804-A67A34000D4C}" name="DAY OF WEEK" dataDxfId="24" totalsRowDxfId="23">
      <calculatedColumnFormula>TEXT(Calls[[#This Row],[Date of Call]],"DDDD")</calculatedColumnFormula>
    </tableColumn>
    <tableColumn id="10" xr3:uid="{3639EC5A-234B-49D5-95F5-51AE1094558F}" name="Duration Bucket" dataDxfId="22" totalsRowDxfId="21">
      <calculatedColumnFormula array="1">_xlfn.IFS(Calls[[#This Row],[Duration]]&lt;10,"Under 10 Mins",Calls[[#This Row],[Duration]]&lt;=30,"10 - 30 Mins",Calls[[#This Row],[Duration]]&lt;=60,"30 - 60 Mins",Calls[[#This Row],[Duration]]&lt;=120,"1 - 2 Hours",TRUE,"More than 2  Hours")</calculatedColumnFormula>
    </tableColumn>
    <tableColumn id="11" xr3:uid="{32B8DAD6-1A8B-4B4C-B99B-1BC55CD95EF1}" name="Rating Rounded" dataDxfId="20" totalsRowDxfId="19">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4847B1E-8716-4012-A2B3-51AAA27040EC}" name="customer" displayName="customer" ref="O3:R18" totalsRowShown="0" headerRowDxfId="18" headerRowBorderDxfId="17" tableBorderDxfId="16" totalsRowBorderDxfId="15">
  <autoFilter ref="O3:R18" xr:uid="{74847B1E-8716-4012-A2B3-51AAA27040EC}"/>
  <tableColumns count="4">
    <tableColumn id="1" xr3:uid="{901B9B78-7A42-48E8-9805-5DC3EFAB8B1B}" name="Customer ID" dataDxfId="14"/>
    <tableColumn id="2" xr3:uid="{3BD509FE-87D7-4895-BF45-655A4D97A34F}" name="Gedner" dataDxfId="13"/>
    <tableColumn id="3" xr3:uid="{627CA6A9-8B53-41B1-AA38-CE46ABC113D8}" name="Age" dataDxfId="12"/>
    <tableColumn id="4" xr3:uid="{4EF1484A-AFB1-4B45-AF54-56C63A3FBC4D}" name="City" dataDxfId="11"/>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entury Gothic-Palatino Linotype">
      <a:majorFont>
        <a:latin typeface="Century Gothic" panose="020B0502020202020204"/>
        <a:ea typeface=""/>
        <a:cs typeface=""/>
        <a:font script="Jpan" typeface="HGｺﾞｼｯｸM"/>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Palatino Linotype" panose="02040502050505030304"/>
        <a:ea typeface=""/>
        <a:cs typeface=""/>
        <a:font script="Grek" typeface="Cambria"/>
        <a:font script="Cyrl" typeface="Cambria"/>
        <a:font script="Jpan" typeface="HG創英ﾌﾟﾚｾﾞﾝｽEB"/>
        <a:font script="Hang" typeface="맑은 고딕"/>
        <a:font script="Hans" typeface="宋体"/>
        <a:font script="Hant" typeface="新細明體"/>
        <a:font script="Arab" typeface="Times New Roman"/>
        <a:font script="Hebr" typeface="Aharoni"/>
        <a:font script="Thai" typeface="EucrosiaUPC"/>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3.xml"/><Relationship Id="rId5" Type="http://schemas.openxmlformats.org/officeDocument/2006/relationships/pivotTable" Target="../pivotTables/pivotTable5.xml"/><Relationship Id="rId10" Type="http://schemas.openxmlformats.org/officeDocument/2006/relationships/printerSettings" Target="../printerSettings/printerSettings1.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microsoft.com/office/2007/relationships/slicer" Target="../slicers/slicer3.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5" Type="http://schemas.microsoft.com/office/2007/relationships/slicer" Target="../slicers/slicer4.xm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9.xml"/></Relationships>
</file>

<file path=xl/worksheets/_rels/sheet9.xml.rels><?xml version="1.0" encoding="UTF-8" standalone="yes"?>
<Relationships xmlns="http://schemas.openxmlformats.org/package/2006/relationships"><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23.xml"/><Relationship Id="rId1" Type="http://schemas.openxmlformats.org/officeDocument/2006/relationships/pivotTable" Target="../pivotTables/pivotTable22.xml"/><Relationship Id="rId4" Type="http://schemas.microsoft.com/office/2007/relationships/slicer" Target="../slicers/slicer5.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E18"/>
  <sheetViews>
    <sheetView showGridLines="0" topLeftCell="D5" workbookViewId="0">
      <selection activeCell="K49" sqref="K49"/>
    </sheetView>
  </sheetViews>
  <sheetFormatPr defaultRowHeight="16.5" x14ac:dyDescent="0.3"/>
  <cols>
    <col min="1" max="1" width="1.625" customWidth="1"/>
    <col min="2" max="2" width="3.625" customWidth="1"/>
    <col min="3" max="3" width="4.75" customWidth="1"/>
    <col min="4" max="4" width="71.125" customWidth="1"/>
    <col min="5" max="5" width="32.5" customWidth="1"/>
  </cols>
  <sheetData>
    <row r="1" spans="1:5" s="2" customFormat="1" ht="52.5" customHeight="1" x14ac:dyDescent="0.3">
      <c r="A1" s="1"/>
      <c r="C1" s="8" t="s">
        <v>1004</v>
      </c>
    </row>
    <row r="5" spans="1:5" ht="24" customHeight="1" x14ac:dyDescent="0.35">
      <c r="C5" s="20" t="s">
        <v>1005</v>
      </c>
      <c r="E5" s="21" t="s">
        <v>1040</v>
      </c>
    </row>
    <row r="6" spans="1:5" ht="24" customHeight="1" x14ac:dyDescent="0.3">
      <c r="C6" s="17">
        <v>1</v>
      </c>
      <c r="D6" s="11" t="s">
        <v>1038</v>
      </c>
      <c r="E6" s="12" t="s">
        <v>1041</v>
      </c>
    </row>
    <row r="7" spans="1:5" ht="24" customHeight="1" x14ac:dyDescent="0.3">
      <c r="C7" s="18">
        <v>2</v>
      </c>
      <c r="D7" s="13" t="s">
        <v>1039</v>
      </c>
      <c r="E7" s="14" t="s">
        <v>1042</v>
      </c>
    </row>
    <row r="8" spans="1:5" ht="24" customHeight="1" x14ac:dyDescent="0.3">
      <c r="C8" s="18">
        <v>3</v>
      </c>
      <c r="D8" s="13" t="s">
        <v>1043</v>
      </c>
      <c r="E8" s="14" t="s">
        <v>1044</v>
      </c>
    </row>
    <row r="9" spans="1:5" ht="24" customHeight="1" x14ac:dyDescent="0.3">
      <c r="C9" s="18">
        <v>4</v>
      </c>
      <c r="D9" s="13" t="s">
        <v>1045</v>
      </c>
      <c r="E9" s="14" t="s">
        <v>1046</v>
      </c>
    </row>
    <row r="10" spans="1:5" ht="24" customHeight="1" x14ac:dyDescent="0.3">
      <c r="C10" s="18">
        <v>5</v>
      </c>
      <c r="D10" s="13" t="s">
        <v>1047</v>
      </c>
      <c r="E10" s="14" t="s">
        <v>1048</v>
      </c>
    </row>
    <row r="11" spans="1:5" ht="24" customHeight="1" x14ac:dyDescent="0.3">
      <c r="C11" s="18">
        <v>6</v>
      </c>
      <c r="D11" s="13" t="s">
        <v>1049</v>
      </c>
      <c r="E11" s="14" t="s">
        <v>1050</v>
      </c>
    </row>
    <row r="12" spans="1:5" ht="24" customHeight="1" x14ac:dyDescent="0.3">
      <c r="C12" s="18">
        <v>7</v>
      </c>
      <c r="D12" s="13" t="s">
        <v>1055</v>
      </c>
      <c r="E12" s="14" t="s">
        <v>1056</v>
      </c>
    </row>
    <row r="13" spans="1:5" ht="24" customHeight="1" x14ac:dyDescent="0.3">
      <c r="C13" s="18">
        <v>8</v>
      </c>
      <c r="D13" s="13" t="s">
        <v>1052</v>
      </c>
      <c r="E13" s="14" t="s">
        <v>1051</v>
      </c>
    </row>
    <row r="14" spans="1:5" ht="24" customHeight="1" x14ac:dyDescent="0.3">
      <c r="C14" s="18">
        <v>9</v>
      </c>
      <c r="D14" s="13" t="s">
        <v>1053</v>
      </c>
      <c r="E14" s="14" t="s">
        <v>1061</v>
      </c>
    </row>
    <row r="15" spans="1:5" ht="24" customHeight="1" x14ac:dyDescent="0.3">
      <c r="C15" s="19">
        <v>10</v>
      </c>
      <c r="D15" s="15" t="s">
        <v>1054</v>
      </c>
      <c r="E15" s="16" t="s">
        <v>1051</v>
      </c>
    </row>
    <row r="17" spans="3:4" ht="24" customHeight="1" x14ac:dyDescent="0.3">
      <c r="C17" s="17" t="s">
        <v>1057</v>
      </c>
      <c r="D17" s="11" t="s">
        <v>1059</v>
      </c>
    </row>
    <row r="18" spans="3:4" ht="24" customHeight="1" x14ac:dyDescent="0.3">
      <c r="C18" s="19" t="s">
        <v>1058</v>
      </c>
      <c r="D18" s="15" t="s">
        <v>1060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558E-C831-4F83-9188-B61A82EEC629}">
  <dimension ref="A1:AH70"/>
  <sheetViews>
    <sheetView tabSelected="1" topLeftCell="A7" zoomScale="74" zoomScaleNormal="115" workbookViewId="0">
      <selection activeCell="U31" sqref="U31"/>
    </sheetView>
  </sheetViews>
  <sheetFormatPr defaultRowHeight="16.5" x14ac:dyDescent="0.3"/>
  <cols>
    <col min="22" max="22" width="16.25" customWidth="1"/>
    <col min="23" max="23" width="12.625" customWidth="1"/>
    <col min="24" max="24" width="10.125" customWidth="1"/>
    <col min="25" max="25" width="12.25" customWidth="1"/>
    <col min="26" max="26" width="13.375" customWidth="1"/>
    <col min="27" max="27" width="12.125" customWidth="1"/>
    <col min="28" max="28" width="13.375" customWidth="1"/>
  </cols>
  <sheetData>
    <row r="1" spans="1:34" x14ac:dyDescent="0.3">
      <c r="A1" s="49"/>
      <c r="B1" s="49"/>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row>
    <row r="2" spans="1:34" x14ac:dyDescent="0.3">
      <c r="A2" s="49"/>
      <c r="B2" s="49"/>
      <c r="C2" s="49"/>
      <c r="D2" s="49"/>
      <c r="E2" s="49"/>
      <c r="F2" s="49"/>
      <c r="G2" s="49"/>
      <c r="H2" s="49"/>
      <c r="I2" s="49"/>
      <c r="J2" s="49"/>
      <c r="K2" s="49"/>
      <c r="L2" s="49"/>
      <c r="M2" s="49"/>
      <c r="N2" s="49"/>
      <c r="O2" s="49"/>
      <c r="P2" s="49"/>
      <c r="Q2" s="49"/>
      <c r="R2" s="49"/>
      <c r="S2" s="49"/>
      <c r="T2" s="49"/>
      <c r="U2" s="49"/>
      <c r="V2" s="49"/>
      <c r="W2" s="49"/>
      <c r="X2" s="49"/>
      <c r="Y2" s="49"/>
      <c r="Z2" s="49"/>
      <c r="AA2" s="49"/>
      <c r="AB2" s="49"/>
      <c r="AC2" s="49"/>
      <c r="AD2" s="49"/>
      <c r="AE2" s="49"/>
      <c r="AF2" s="49"/>
      <c r="AG2" s="49"/>
      <c r="AH2" s="49"/>
    </row>
    <row r="3" spans="1:34" x14ac:dyDescent="0.3">
      <c r="A3" s="49"/>
      <c r="B3" s="49"/>
      <c r="C3" s="49"/>
      <c r="D3" s="49"/>
      <c r="E3" s="49"/>
      <c r="F3" s="49"/>
      <c r="G3" s="49"/>
      <c r="H3" s="49"/>
      <c r="I3" s="49"/>
      <c r="J3" s="49"/>
      <c r="K3" s="49"/>
      <c r="L3" s="49"/>
      <c r="M3" s="49"/>
      <c r="N3" s="49"/>
      <c r="O3" s="49"/>
      <c r="P3" s="49"/>
      <c r="Q3" s="49"/>
      <c r="R3" s="49"/>
      <c r="S3" s="49"/>
      <c r="T3" s="49"/>
      <c r="U3" s="49"/>
      <c r="V3" s="49"/>
      <c r="W3" s="49"/>
      <c r="X3" s="49"/>
      <c r="Y3" s="49"/>
      <c r="Z3" s="49"/>
      <c r="AA3" s="49"/>
      <c r="AB3" s="49"/>
      <c r="AC3" s="49"/>
      <c r="AD3" s="49"/>
      <c r="AE3" s="49"/>
      <c r="AF3" s="49"/>
      <c r="AG3" s="49"/>
      <c r="AH3" s="49"/>
    </row>
    <row r="4" spans="1:34" x14ac:dyDescent="0.3">
      <c r="A4" s="49"/>
      <c r="B4" s="49"/>
      <c r="C4" s="49"/>
      <c r="D4" s="49"/>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row>
    <row r="5" spans="1:34" x14ac:dyDescent="0.3">
      <c r="A5" s="49"/>
      <c r="B5" s="49"/>
      <c r="C5" s="49"/>
      <c r="D5" s="49"/>
      <c r="E5" s="49"/>
      <c r="F5" s="49"/>
      <c r="G5" s="49"/>
      <c r="H5" s="49"/>
      <c r="I5" s="49"/>
      <c r="J5" s="49"/>
      <c r="K5" s="49"/>
      <c r="L5" s="49"/>
      <c r="M5" s="49"/>
      <c r="N5" s="49"/>
      <c r="O5" s="49"/>
      <c r="P5" s="49"/>
      <c r="Q5" s="49"/>
      <c r="R5" s="49"/>
      <c r="S5" s="49"/>
      <c r="T5" s="49"/>
      <c r="U5" s="49"/>
      <c r="V5" s="49"/>
      <c r="W5" s="49"/>
      <c r="X5" s="49"/>
      <c r="Y5" s="49"/>
      <c r="Z5" s="49"/>
      <c r="AA5" s="49"/>
      <c r="AB5" s="49"/>
      <c r="AC5" s="49"/>
      <c r="AD5" s="49"/>
      <c r="AE5" s="49"/>
      <c r="AF5" s="49"/>
      <c r="AG5" s="49"/>
      <c r="AH5" s="49"/>
    </row>
    <row r="6" spans="1:34" x14ac:dyDescent="0.3">
      <c r="A6" s="49"/>
      <c r="B6" s="49"/>
      <c r="C6" s="49"/>
      <c r="D6" s="49"/>
      <c r="E6" s="49"/>
      <c r="F6" s="49"/>
      <c r="G6" s="49"/>
      <c r="H6" s="49"/>
      <c r="I6" s="49"/>
      <c r="J6" s="49"/>
      <c r="K6" s="49"/>
      <c r="L6" s="49"/>
      <c r="M6" s="49"/>
      <c r="N6" s="49"/>
      <c r="O6" s="49"/>
      <c r="P6" s="49"/>
      <c r="Q6" s="49"/>
      <c r="R6" s="49"/>
      <c r="S6" s="49"/>
      <c r="T6" s="49"/>
      <c r="U6" s="49"/>
      <c r="V6" s="49"/>
      <c r="W6" s="49"/>
      <c r="X6" s="49"/>
      <c r="Y6" s="49"/>
      <c r="Z6" s="49"/>
      <c r="AA6" s="49"/>
      <c r="AB6" s="49"/>
      <c r="AC6" s="49"/>
      <c r="AD6" s="49"/>
      <c r="AE6" s="49"/>
      <c r="AF6" s="49"/>
      <c r="AG6" s="49"/>
      <c r="AH6" s="49"/>
    </row>
    <row r="7" spans="1:34" x14ac:dyDescent="0.3">
      <c r="A7" s="49"/>
      <c r="B7" s="49"/>
      <c r="C7" s="49"/>
      <c r="D7" s="49"/>
      <c r="E7" s="49"/>
      <c r="F7" s="49"/>
      <c r="G7" s="49"/>
      <c r="H7" s="49"/>
      <c r="I7" s="49"/>
      <c r="J7" s="49"/>
      <c r="K7" s="49"/>
      <c r="L7" s="49"/>
      <c r="M7" s="49"/>
      <c r="N7" s="49"/>
      <c r="O7" s="49"/>
      <c r="P7" s="49"/>
      <c r="Q7" s="49"/>
      <c r="R7" s="49"/>
      <c r="S7" s="49"/>
      <c r="T7" s="49"/>
      <c r="U7" s="49"/>
      <c r="V7" s="49"/>
      <c r="W7" s="49"/>
      <c r="X7" s="49"/>
      <c r="Y7" s="49"/>
      <c r="Z7" s="49"/>
      <c r="AA7" s="49"/>
      <c r="AB7" s="49"/>
      <c r="AC7" s="49"/>
      <c r="AD7" s="49"/>
      <c r="AE7" s="49"/>
      <c r="AF7" s="49"/>
      <c r="AG7" s="49"/>
      <c r="AH7" s="49"/>
    </row>
    <row r="8" spans="1:34" x14ac:dyDescent="0.3">
      <c r="A8" s="49"/>
      <c r="B8" s="49"/>
      <c r="C8" s="49"/>
      <c r="D8" s="49"/>
      <c r="E8" s="49"/>
      <c r="F8" s="49"/>
      <c r="G8" s="49"/>
      <c r="H8" s="49"/>
      <c r="I8" s="49"/>
      <c r="J8" s="49"/>
      <c r="K8" s="49"/>
      <c r="L8" s="49"/>
      <c r="M8" s="49"/>
      <c r="N8" s="49"/>
      <c r="O8" s="49"/>
      <c r="P8" s="49"/>
      <c r="Q8" s="49"/>
      <c r="R8" s="49"/>
      <c r="S8" s="49"/>
      <c r="T8" s="49"/>
      <c r="U8" s="49"/>
      <c r="V8" s="49"/>
      <c r="W8" s="49"/>
      <c r="X8" s="49"/>
      <c r="Y8" s="49"/>
      <c r="Z8" s="49"/>
      <c r="AA8" s="49"/>
      <c r="AB8" s="49"/>
      <c r="AC8" s="49"/>
      <c r="AD8" s="49"/>
      <c r="AE8" s="49"/>
      <c r="AF8" s="49"/>
      <c r="AG8" s="49"/>
      <c r="AH8" s="49"/>
    </row>
    <row r="9" spans="1:34" x14ac:dyDescent="0.3">
      <c r="A9" s="49"/>
      <c r="B9" s="49"/>
      <c r="C9" s="49"/>
      <c r="D9" s="49"/>
      <c r="E9" s="49"/>
      <c r="F9" s="49"/>
      <c r="G9" s="49"/>
      <c r="H9" s="49"/>
      <c r="I9" s="49"/>
      <c r="J9" s="49"/>
      <c r="K9" s="49"/>
      <c r="L9" s="49"/>
      <c r="M9" s="49"/>
      <c r="N9" s="49"/>
      <c r="O9" s="49"/>
      <c r="P9" s="49"/>
      <c r="Q9" s="49"/>
      <c r="R9" s="49"/>
      <c r="S9" s="49"/>
      <c r="T9" s="49"/>
      <c r="U9" s="49"/>
      <c r="V9" s="49"/>
      <c r="W9" s="49"/>
      <c r="X9" s="49"/>
      <c r="Y9" s="49"/>
      <c r="Z9" s="49"/>
      <c r="AA9" s="49"/>
      <c r="AB9" s="49"/>
      <c r="AC9" s="49"/>
      <c r="AD9" s="49"/>
      <c r="AE9" s="49"/>
      <c r="AF9" s="49"/>
      <c r="AG9" s="49"/>
      <c r="AH9" s="49"/>
    </row>
    <row r="10" spans="1:34" x14ac:dyDescent="0.3">
      <c r="A10" s="49"/>
      <c r="B10" s="49"/>
      <c r="C10" s="49"/>
      <c r="D10" s="49"/>
      <c r="E10" s="49"/>
      <c r="F10" s="49"/>
      <c r="G10" s="49"/>
      <c r="H10" s="49"/>
      <c r="I10" s="49"/>
      <c r="J10" s="49"/>
      <c r="K10" s="49"/>
      <c r="L10" s="49"/>
      <c r="M10" s="49"/>
      <c r="N10" s="49"/>
      <c r="O10" s="49"/>
      <c r="P10" s="49"/>
      <c r="Q10" s="49"/>
      <c r="R10" s="49"/>
      <c r="S10" s="49"/>
      <c r="T10" s="49"/>
      <c r="U10" s="49"/>
      <c r="V10" s="49"/>
      <c r="W10" s="49"/>
      <c r="X10" s="49"/>
      <c r="Y10" s="49"/>
      <c r="Z10" s="49"/>
      <c r="AA10" s="49"/>
      <c r="AB10" s="49"/>
      <c r="AC10" s="49"/>
      <c r="AD10" s="49"/>
      <c r="AE10" s="49"/>
      <c r="AF10" s="49"/>
      <c r="AG10" s="49"/>
      <c r="AH10" s="49"/>
    </row>
    <row r="11" spans="1:34" x14ac:dyDescent="0.3">
      <c r="A11" s="49"/>
      <c r="B11" s="49"/>
      <c r="C11" s="49"/>
      <c r="D11" s="49"/>
      <c r="E11" s="49"/>
      <c r="F11" s="49"/>
      <c r="G11" s="49"/>
      <c r="H11" s="49"/>
      <c r="I11" s="49"/>
      <c r="J11" s="49"/>
      <c r="K11" s="49"/>
      <c r="L11" s="49"/>
      <c r="M11" s="49"/>
      <c r="N11" s="49"/>
      <c r="O11" s="49"/>
      <c r="P11" s="49"/>
      <c r="Q11" s="49"/>
      <c r="R11" s="49"/>
      <c r="S11" s="49"/>
      <c r="T11" s="49"/>
      <c r="U11" s="49"/>
      <c r="V11" s="49"/>
      <c r="W11" s="49"/>
      <c r="X11" s="49"/>
      <c r="Y11" s="49"/>
      <c r="Z11" s="49"/>
      <c r="AA11" s="49"/>
      <c r="AB11" s="49"/>
      <c r="AC11" s="49"/>
      <c r="AD11" s="49"/>
      <c r="AE11" s="49"/>
      <c r="AF11" s="49"/>
      <c r="AG11" s="49"/>
      <c r="AH11" s="49"/>
    </row>
    <row r="12" spans="1:34" x14ac:dyDescent="0.3">
      <c r="A12" s="49"/>
      <c r="B12" s="49"/>
      <c r="C12" s="49"/>
      <c r="D12" s="49"/>
      <c r="E12" s="49"/>
      <c r="F12" s="49"/>
      <c r="G12" s="49"/>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row>
    <row r="13" spans="1:34" x14ac:dyDescent="0.3">
      <c r="A13" s="49"/>
      <c r="B13" s="49"/>
      <c r="C13" s="49"/>
      <c r="D13" s="49"/>
      <c r="E13" s="49"/>
      <c r="F13" s="49"/>
      <c r="G13" s="49"/>
      <c r="H13" s="49"/>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row>
    <row r="14" spans="1:34" x14ac:dyDescent="0.3">
      <c r="A14" s="49"/>
      <c r="B14" s="49"/>
      <c r="C14" s="49"/>
      <c r="D14" s="49"/>
      <c r="E14" s="49"/>
      <c r="F14" s="49" t="s">
        <v>1108</v>
      </c>
      <c r="G14" s="49"/>
      <c r="H14" s="49"/>
      <c r="I14" s="49"/>
      <c r="J14" s="49"/>
      <c r="K14" s="49"/>
      <c r="L14" s="49"/>
      <c r="M14" s="49"/>
      <c r="N14" s="49"/>
      <c r="O14" s="49"/>
      <c r="P14" s="49"/>
      <c r="Q14" s="49"/>
      <c r="R14" s="49"/>
      <c r="S14" s="49"/>
      <c r="T14" s="49"/>
      <c r="U14" s="49"/>
      <c r="V14" s="49"/>
      <c r="W14" s="49"/>
      <c r="X14" s="49"/>
      <c r="Y14" s="49"/>
      <c r="Z14" s="49"/>
      <c r="AA14" s="49"/>
      <c r="AB14" s="49"/>
      <c r="AC14" s="49"/>
      <c r="AD14" s="49"/>
      <c r="AE14" s="49"/>
      <c r="AF14" s="49"/>
      <c r="AG14" s="49"/>
      <c r="AH14" s="49"/>
    </row>
    <row r="15" spans="1:34" x14ac:dyDescent="0.3">
      <c r="A15" s="49"/>
      <c r="B15" s="49"/>
      <c r="C15" s="49"/>
      <c r="D15" s="49"/>
      <c r="E15" s="49"/>
      <c r="F15" s="49"/>
      <c r="G15" s="49"/>
      <c r="H15" s="49"/>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row>
    <row r="16" spans="1:34" x14ac:dyDescent="0.3">
      <c r="A16" s="49"/>
      <c r="B16" s="49"/>
      <c r="C16" s="49"/>
      <c r="D16" s="49"/>
      <c r="E16" s="49"/>
      <c r="F16" s="49"/>
      <c r="G16" s="49"/>
      <c r="H16" s="49"/>
      <c r="I16" s="49"/>
      <c r="J16" s="49"/>
      <c r="K16" s="49"/>
      <c r="L16" s="49"/>
      <c r="M16" s="49"/>
      <c r="N16" s="49"/>
      <c r="O16" s="49"/>
      <c r="P16" s="49"/>
      <c r="Q16" s="49"/>
      <c r="R16" s="49"/>
      <c r="S16" s="49"/>
      <c r="T16" s="49"/>
      <c r="U16" s="49"/>
      <c r="V16" s="49"/>
      <c r="W16" s="49"/>
      <c r="X16" s="49"/>
      <c r="Y16" s="49"/>
      <c r="Z16" s="49"/>
      <c r="AA16" s="49"/>
      <c r="AB16" s="49"/>
      <c r="AC16" s="49"/>
      <c r="AD16" s="49"/>
      <c r="AE16" s="49"/>
      <c r="AF16" s="49"/>
      <c r="AG16" s="49"/>
      <c r="AH16" s="49"/>
    </row>
    <row r="17" spans="1:34" x14ac:dyDescent="0.3">
      <c r="A17" s="49"/>
      <c r="B17" s="49"/>
      <c r="C17" s="49"/>
      <c r="D17" s="49"/>
      <c r="E17" s="49"/>
      <c r="F17" s="49"/>
      <c r="G17" s="49"/>
      <c r="H17" s="49"/>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row>
    <row r="18" spans="1:34" x14ac:dyDescent="0.3">
      <c r="A18" s="49"/>
      <c r="B18" s="49"/>
      <c r="C18" s="49"/>
      <c r="D18" s="49"/>
      <c r="E18" s="49"/>
      <c r="F18" s="49" t="s">
        <v>1108</v>
      </c>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49"/>
      <c r="AG18" s="49"/>
      <c r="AH18" s="49"/>
    </row>
    <row r="19" spans="1:34" x14ac:dyDescent="0.3">
      <c r="A19" s="49"/>
      <c r="B19" s="49"/>
      <c r="C19" s="49"/>
      <c r="D19" s="49"/>
      <c r="E19" s="49"/>
      <c r="F19" s="49"/>
      <c r="G19" s="49"/>
      <c r="H19" s="49"/>
      <c r="I19" s="49"/>
      <c r="J19" s="49"/>
      <c r="K19" s="49"/>
      <c r="L19" s="49" t="s">
        <v>1108</v>
      </c>
      <c r="M19" s="49"/>
      <c r="N19" s="49"/>
      <c r="O19" s="49"/>
      <c r="P19" s="49"/>
      <c r="Q19" s="49"/>
      <c r="R19" s="49"/>
      <c r="S19" s="49"/>
      <c r="T19" s="49"/>
      <c r="U19" s="49"/>
      <c r="V19" s="49"/>
      <c r="W19" s="49"/>
      <c r="X19" s="49"/>
      <c r="Y19" s="49"/>
      <c r="Z19" s="49"/>
      <c r="AA19" s="49"/>
      <c r="AB19" s="49"/>
      <c r="AC19" s="49"/>
      <c r="AD19" s="49"/>
      <c r="AE19" s="49"/>
      <c r="AF19" s="49"/>
      <c r="AG19" s="49"/>
      <c r="AH19" s="49"/>
    </row>
    <row r="20" spans="1:34" x14ac:dyDescent="0.3">
      <c r="A20" s="49"/>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row>
    <row r="21" spans="1:34" x14ac:dyDescent="0.3">
      <c r="A21" s="49"/>
      <c r="B21" s="49"/>
      <c r="C21" s="49"/>
      <c r="D21" s="49"/>
      <c r="E21" s="49"/>
      <c r="F21" s="49"/>
      <c r="G21" s="49"/>
      <c r="H21" s="49"/>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row>
    <row r="22" spans="1:34" x14ac:dyDescent="0.3">
      <c r="A22" s="49"/>
      <c r="B22" s="49"/>
      <c r="C22" s="49"/>
      <c r="D22" s="49"/>
      <c r="E22" s="49"/>
      <c r="F22" s="49"/>
      <c r="G22" s="49"/>
      <c r="H22" s="49"/>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row>
    <row r="23" spans="1:34" x14ac:dyDescent="0.3">
      <c r="A23" s="49"/>
      <c r="B23" s="49"/>
      <c r="C23" s="49"/>
      <c r="D23" s="49"/>
      <c r="E23" s="49"/>
      <c r="F23" s="49"/>
      <c r="G23" s="49"/>
      <c r="H23" s="49"/>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row>
    <row r="24" spans="1:34" x14ac:dyDescent="0.3">
      <c r="A24" s="49"/>
      <c r="B24" s="49"/>
      <c r="C24" s="49"/>
      <c r="D24" s="49"/>
      <c r="E24" s="49"/>
      <c r="F24" s="49"/>
      <c r="G24" s="49"/>
      <c r="H24" s="49"/>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row>
    <row r="25" spans="1:34" x14ac:dyDescent="0.3">
      <c r="A25" s="49"/>
      <c r="B25" s="49"/>
      <c r="C25" s="49"/>
      <c r="D25" s="49"/>
      <c r="E25" s="49"/>
      <c r="F25" s="49"/>
      <c r="G25" s="49"/>
      <c r="H25" s="49"/>
      <c r="I25" s="49"/>
      <c r="J25" s="49"/>
      <c r="K25" s="49"/>
      <c r="L25" s="49"/>
      <c r="M25" s="49"/>
      <c r="N25" s="49"/>
      <c r="O25" s="49"/>
      <c r="P25" s="49"/>
      <c r="Q25" s="49"/>
      <c r="R25" s="49"/>
      <c r="S25" s="49"/>
      <c r="T25" s="49"/>
      <c r="U25" s="49"/>
      <c r="V25" s="49"/>
      <c r="W25" s="49"/>
      <c r="X25" s="49"/>
      <c r="Y25" s="49"/>
      <c r="Z25" s="49"/>
      <c r="AA25" s="49"/>
      <c r="AB25" s="49"/>
      <c r="AC25" s="49"/>
      <c r="AD25" s="49"/>
      <c r="AE25" s="49"/>
      <c r="AF25" s="49"/>
      <c r="AG25" s="49"/>
      <c r="AH25" s="49"/>
    </row>
    <row r="26" spans="1:34" x14ac:dyDescent="0.3">
      <c r="A26" s="49"/>
      <c r="B26" s="49"/>
      <c r="C26" s="49"/>
      <c r="D26" s="49"/>
      <c r="E26" s="49"/>
      <c r="F26" s="49"/>
      <c r="G26" s="49"/>
      <c r="H26" s="49"/>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row>
    <row r="27" spans="1:34" x14ac:dyDescent="0.3">
      <c r="A27" s="49"/>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row>
    <row r="28" spans="1:34" x14ac:dyDescent="0.3">
      <c r="A28" s="49"/>
      <c r="B28" s="49"/>
      <c r="C28" s="49"/>
      <c r="D28" s="49"/>
      <c r="E28" s="49"/>
      <c r="F28" s="49"/>
      <c r="G28" s="49"/>
      <c r="H28" s="49"/>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row>
    <row r="29" spans="1:34" x14ac:dyDescent="0.3">
      <c r="A29" s="49"/>
      <c r="B29" s="49"/>
      <c r="C29" s="49"/>
      <c r="D29" s="49"/>
      <c r="E29" s="49"/>
      <c r="F29" s="49"/>
      <c r="G29" s="49"/>
      <c r="H29" s="49"/>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row>
    <row r="30" spans="1:34" x14ac:dyDescent="0.3">
      <c r="A30" s="49"/>
      <c r="B30" s="49"/>
      <c r="C30" s="49"/>
      <c r="D30" s="49"/>
      <c r="E30" s="49"/>
      <c r="F30" s="49"/>
      <c r="G30" s="49"/>
      <c r="H30" s="49"/>
      <c r="I30" s="49"/>
      <c r="J30" s="49"/>
      <c r="K30" s="49"/>
      <c r="L30" s="49"/>
      <c r="M30" s="49"/>
      <c r="N30" s="49"/>
      <c r="O30" s="49"/>
      <c r="P30" s="49"/>
      <c r="Q30" s="49"/>
      <c r="R30" s="49"/>
      <c r="S30" s="49"/>
      <c r="T30" s="49" t="str">
        <f>IF(OR('All Calculation'!C60="",'All Calculation'!C60=0),"",'All Calculation'!C60)</f>
        <v>Row Labels</v>
      </c>
      <c r="U30" s="55" t="str">
        <f>IF(OR('All Calculation'!D60="",'All Calculation'!D60=0),"",'All Calculation'!D60)</f>
        <v>R01</v>
      </c>
      <c r="V30" s="55" t="str">
        <f>IF(OR('All Calculation'!E60="",'All Calculation'!E60=0),"",'All Calculation'!E60)</f>
        <v>R02</v>
      </c>
      <c r="W30" s="55" t="str">
        <f>IF(OR('All Calculation'!F60="",'All Calculation'!F60=0),"",'All Calculation'!F60)</f>
        <v>R03</v>
      </c>
      <c r="X30" s="55" t="str">
        <f>IF(OR('All Calculation'!G60="",'All Calculation'!G60=0),"",'All Calculation'!G60)</f>
        <v>R04</v>
      </c>
      <c r="Y30" s="55" t="str">
        <f>IF(OR('All Calculation'!H60="",'All Calculation'!H60=0),"",'All Calculation'!H60)</f>
        <v>R05</v>
      </c>
      <c r="Z30" s="55" t="str">
        <f>IF(OR('All Calculation'!I60="",'All Calculation'!I60=0),"",'All Calculation'!I60)</f>
        <v>Grand Total</v>
      </c>
      <c r="AA30" s="49"/>
      <c r="AB30" s="49"/>
      <c r="AC30" s="49"/>
      <c r="AD30" s="49"/>
      <c r="AE30" s="49"/>
      <c r="AF30" s="49"/>
      <c r="AG30" s="49"/>
      <c r="AH30" s="49"/>
    </row>
    <row r="31" spans="1:34" x14ac:dyDescent="0.3">
      <c r="A31" s="49"/>
      <c r="B31" s="49"/>
      <c r="C31" s="49"/>
      <c r="D31" s="49"/>
      <c r="E31" s="49"/>
      <c r="F31" s="49"/>
      <c r="G31" s="49"/>
      <c r="H31" s="49"/>
      <c r="I31" s="49"/>
      <c r="J31" s="49"/>
      <c r="K31" s="49"/>
      <c r="L31" s="49"/>
      <c r="M31" s="49"/>
      <c r="N31" s="49"/>
      <c r="O31" s="49"/>
      <c r="P31" s="49"/>
      <c r="Q31" s="49"/>
      <c r="R31" s="49"/>
      <c r="S31" s="49"/>
      <c r="T31" s="49" t="str">
        <f>IF(OR('All Calculation'!C61="",'All Calculation'!C61=0),"",'All Calculation'!C61)</f>
        <v>Cincinnati</v>
      </c>
      <c r="U31" s="55" t="str">
        <f>IF(OR('All Calculation'!D61="",'All Calculation'!D61=0),"",'All Calculation'!D61)</f>
        <v/>
      </c>
      <c r="V31" s="55" t="str">
        <f>IF(OR('All Calculation'!E61="",'All Calculation'!E61=0),"",'All Calculation'!E61)</f>
        <v/>
      </c>
      <c r="W31" s="55" t="str">
        <f>IF(OR('All Calculation'!F61="",'All Calculation'!F61=0),"",'All Calculation'!F61)</f>
        <v/>
      </c>
      <c r="X31" s="55" t="str">
        <f>IF(OR('All Calculation'!G61="",'All Calculation'!G61=0),"",'All Calculation'!G61)</f>
        <v/>
      </c>
      <c r="Y31" s="55" t="str">
        <f>IF(OR('All Calculation'!H61="",'All Calculation'!H61=0),"",'All Calculation'!H61)</f>
        <v/>
      </c>
      <c r="Z31" s="55" t="str">
        <f>IF(OR('All Calculation'!I61="",'All Calculation'!I61=0),"",'All Calculation'!I61)</f>
        <v/>
      </c>
      <c r="AA31" s="49"/>
      <c r="AB31" s="49"/>
      <c r="AC31" s="49"/>
      <c r="AD31" s="49"/>
      <c r="AE31" s="49"/>
      <c r="AF31" s="49"/>
      <c r="AG31" s="49"/>
      <c r="AH31" s="49"/>
    </row>
    <row r="32" spans="1:34" x14ac:dyDescent="0.3">
      <c r="A32" s="49"/>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C32" s="49"/>
      <c r="AD32" s="49"/>
      <c r="AE32" s="49"/>
      <c r="AF32" s="49"/>
      <c r="AG32" s="49"/>
      <c r="AH32" s="49"/>
    </row>
    <row r="33" spans="1:34" x14ac:dyDescent="0.3">
      <c r="A33" s="49"/>
      <c r="B33" s="49"/>
      <c r="C33" s="49"/>
      <c r="D33" s="49"/>
      <c r="E33" s="49"/>
      <c r="F33" s="49"/>
      <c r="G33" s="49"/>
      <c r="H33" s="49"/>
      <c r="I33" s="49"/>
      <c r="J33" s="49"/>
      <c r="K33" s="49"/>
      <c r="L33" s="49"/>
      <c r="M33" s="49"/>
      <c r="N33" s="49"/>
      <c r="O33" s="49"/>
      <c r="P33" s="49"/>
      <c r="Q33" s="49"/>
      <c r="R33" s="49"/>
      <c r="S33" s="49"/>
      <c r="T33" s="54" t="str">
        <f>IF(OR('All Calculation'!C62="",'All Calculation'!C62=0),"",'All Calculation'!C62)</f>
        <v>C0003</v>
      </c>
      <c r="U33" s="56">
        <f>IF(OR('All Calculation'!D62="",'All Calculation'!D62=0),"",'All Calculation'!D62)</f>
        <v>891</v>
      </c>
      <c r="V33" s="56" t="s">
        <v>1108</v>
      </c>
      <c r="W33" s="56">
        <f>IF(OR('All Calculation'!F62="",'All Calculation'!F62=0),"",'All Calculation'!F62)</f>
        <v>1282</v>
      </c>
      <c r="X33" s="56">
        <f>IF(OR('All Calculation'!G62="",'All Calculation'!G62=0),"",'All Calculation'!G62)</f>
        <v>739</v>
      </c>
      <c r="Y33" s="56">
        <f>IF(OR('All Calculation'!H62="",'All Calculation'!H62=0),"",'All Calculation'!H62)</f>
        <v>560</v>
      </c>
      <c r="Z33" s="56">
        <f>IF(OR('All Calculation'!I62="",'All Calculation'!I62=0),"",'All Calculation'!I62)</f>
        <v>4804</v>
      </c>
      <c r="AA33" s="49"/>
      <c r="AB33" s="49"/>
      <c r="AC33" s="49"/>
      <c r="AD33" s="49"/>
      <c r="AE33" s="49"/>
      <c r="AF33" s="49"/>
      <c r="AG33" s="49"/>
      <c r="AH33" s="49"/>
    </row>
    <row r="34" spans="1:34" x14ac:dyDescent="0.3">
      <c r="A34" s="49"/>
      <c r="B34" s="49"/>
      <c r="C34" s="49"/>
      <c r="D34" s="49"/>
      <c r="E34" s="49"/>
      <c r="F34" s="49"/>
      <c r="G34" s="49"/>
      <c r="H34" s="49"/>
      <c r="I34" s="49"/>
      <c r="J34" s="49"/>
      <c r="K34" s="49"/>
      <c r="L34" s="49"/>
      <c r="M34" s="49"/>
      <c r="N34" s="49"/>
      <c r="O34" s="49"/>
      <c r="P34" s="49"/>
      <c r="Q34" s="49"/>
      <c r="R34" s="49"/>
      <c r="S34" s="49"/>
      <c r="T34" s="54" t="str">
        <f>IF(OR('All Calculation'!C63="",'All Calculation'!C63=0),"",'All Calculation'!C63)</f>
        <v>C0004</v>
      </c>
      <c r="U34" s="56">
        <f>IF(OR('All Calculation'!D63="",'All Calculation'!D63=0),"",'All Calculation'!D63)</f>
        <v>1991</v>
      </c>
      <c r="V34" s="56">
        <f>IF(OR('All Calculation'!E63="",'All Calculation'!E63=0),"",'All Calculation'!E63)</f>
        <v>1886</v>
      </c>
      <c r="W34" s="56">
        <f>IF(OR('All Calculation'!F63="",'All Calculation'!F63=0),"",'All Calculation'!F63)</f>
        <v>1206</v>
      </c>
      <c r="X34" s="56">
        <f>IF(OR('All Calculation'!G63="",'All Calculation'!G63=0),"",'All Calculation'!G63)</f>
        <v>884</v>
      </c>
      <c r="Y34" s="56">
        <f>IF(OR('All Calculation'!H63="",'All Calculation'!H63=0),"",'All Calculation'!H63)</f>
        <v>1722</v>
      </c>
      <c r="Z34" s="56">
        <f>IF(OR('All Calculation'!I63="",'All Calculation'!I63=0),"",'All Calculation'!I63)</f>
        <v>7689</v>
      </c>
      <c r="AA34" s="49"/>
      <c r="AB34" s="49"/>
      <c r="AC34" s="49"/>
      <c r="AD34" s="49"/>
      <c r="AE34" s="49"/>
      <c r="AF34" s="49"/>
      <c r="AG34" s="49"/>
      <c r="AH34" s="49"/>
    </row>
    <row r="35" spans="1:34" x14ac:dyDescent="0.3">
      <c r="A35" s="49"/>
      <c r="B35" s="49"/>
      <c r="C35" s="49"/>
      <c r="D35" s="49"/>
      <c r="E35" s="49"/>
      <c r="F35" s="49"/>
      <c r="G35" s="49"/>
      <c r="H35" s="49"/>
      <c r="I35" s="49"/>
      <c r="J35" s="49"/>
      <c r="K35" s="49"/>
      <c r="L35" s="49"/>
      <c r="M35" s="49"/>
      <c r="N35" s="49"/>
      <c r="O35" s="49"/>
      <c r="P35" s="49"/>
      <c r="Q35" s="49"/>
      <c r="R35" s="49"/>
      <c r="S35" s="49"/>
      <c r="T35" s="54" t="str">
        <f>IF(OR('All Calculation'!C64="",'All Calculation'!C64=0),"",'All Calculation'!C64)</f>
        <v>C0011</v>
      </c>
      <c r="U35" s="56">
        <f>IF(OR('All Calculation'!D64="",'All Calculation'!D64=0),"",'All Calculation'!D64)</f>
        <v>1163</v>
      </c>
      <c r="V35" s="56">
        <f>IF(OR('All Calculation'!E64="",'All Calculation'!E64=0),"",'All Calculation'!E64)</f>
        <v>1180</v>
      </c>
      <c r="W35" s="56">
        <f>IF(OR('All Calculation'!F64="",'All Calculation'!F64=0),"",'All Calculation'!F64)</f>
        <v>1616</v>
      </c>
      <c r="X35" s="56">
        <f>IF(OR('All Calculation'!G64="",'All Calculation'!G64=0),"",'All Calculation'!G64)</f>
        <v>1043</v>
      </c>
      <c r="Y35" s="56">
        <f>IF(OR('All Calculation'!H64="",'All Calculation'!H64=0),"",'All Calculation'!H64)</f>
        <v>1747</v>
      </c>
      <c r="Z35" s="56">
        <f>IF(OR('All Calculation'!I64="",'All Calculation'!I64=0),"",'All Calculation'!I64)</f>
        <v>6749</v>
      </c>
      <c r="AA35" s="49"/>
      <c r="AB35" s="49"/>
      <c r="AC35" s="49"/>
      <c r="AD35" s="49"/>
      <c r="AE35" s="49"/>
      <c r="AF35" s="49"/>
      <c r="AG35" s="49"/>
      <c r="AH35" s="49"/>
    </row>
    <row r="36" spans="1:34" x14ac:dyDescent="0.3">
      <c r="A36" s="49"/>
      <c r="B36" s="49"/>
      <c r="C36" s="49"/>
      <c r="D36" s="49"/>
      <c r="E36" s="49"/>
      <c r="F36" s="49"/>
      <c r="G36" s="49"/>
      <c r="H36" s="49"/>
      <c r="I36" s="49"/>
      <c r="J36" s="49"/>
      <c r="K36" s="49"/>
      <c r="L36" s="49"/>
      <c r="M36" s="49"/>
      <c r="N36" s="49"/>
      <c r="O36" s="49"/>
      <c r="P36" s="49"/>
      <c r="Q36" s="49"/>
      <c r="R36" s="49"/>
      <c r="S36" s="49"/>
      <c r="T36" s="54" t="str">
        <f>IF(OR('All Calculation'!C65="",'All Calculation'!C65=0),"",'All Calculation'!C65)</f>
        <v>C0012</v>
      </c>
      <c r="U36" s="56">
        <f>IF(OR('All Calculation'!D65="",'All Calculation'!D65=0),"",'All Calculation'!D65)</f>
        <v>1438</v>
      </c>
      <c r="V36" s="56">
        <f>IF(OR('All Calculation'!E65="",'All Calculation'!E65=0),"",'All Calculation'!E65)</f>
        <v>1616</v>
      </c>
      <c r="W36" s="56">
        <f>IF(OR('All Calculation'!F65="",'All Calculation'!F65=0),"",'All Calculation'!F65)</f>
        <v>866</v>
      </c>
      <c r="X36" s="56">
        <f>IF(OR('All Calculation'!G65="",'All Calculation'!G65=0),"",'All Calculation'!G65)</f>
        <v>829</v>
      </c>
      <c r="Y36" s="56">
        <f>IF(OR('All Calculation'!H65="",'All Calculation'!H65=0),"",'All Calculation'!H65)</f>
        <v>2070</v>
      </c>
      <c r="Z36" s="56">
        <f>IF(OR('All Calculation'!I65="",'All Calculation'!I65=0),"",'All Calculation'!I65)</f>
        <v>6819</v>
      </c>
      <c r="AA36" s="49"/>
      <c r="AB36" s="49"/>
      <c r="AC36" s="49"/>
      <c r="AD36" s="49"/>
      <c r="AE36" s="49"/>
      <c r="AF36" s="49"/>
      <c r="AG36" s="49"/>
      <c r="AH36" s="49"/>
    </row>
    <row r="37" spans="1:34" x14ac:dyDescent="0.3">
      <c r="A37" s="49"/>
      <c r="B37" s="49"/>
      <c r="C37" s="49"/>
      <c r="D37" s="49"/>
      <c r="E37" s="49"/>
      <c r="F37" s="49"/>
      <c r="G37" s="49"/>
      <c r="H37" s="49"/>
      <c r="I37" s="49"/>
      <c r="J37" s="49"/>
      <c r="K37" s="49"/>
      <c r="L37" s="49"/>
      <c r="M37" s="49"/>
      <c r="N37" s="49"/>
      <c r="O37" s="49"/>
      <c r="P37" s="49"/>
      <c r="Q37" s="49"/>
      <c r="R37" s="49"/>
      <c r="S37" s="49"/>
      <c r="T37" s="49" t="str">
        <f>IF(OR('All Calculation'!C66="",'All Calculation'!C66=0),"",'All Calculation'!C66)</f>
        <v>Cleveland</v>
      </c>
      <c r="U37" s="56" t="str">
        <f>IF(OR('All Calculation'!D66="",'All Calculation'!D66=0),"",'All Calculation'!D66)</f>
        <v/>
      </c>
      <c r="V37" s="56" t="str">
        <f>IF(OR('All Calculation'!E66="",'All Calculation'!E66=0),"",'All Calculation'!E66)</f>
        <v/>
      </c>
      <c r="W37" s="56" t="str">
        <f>IF(OR('All Calculation'!F66="",'All Calculation'!F66=0),"",'All Calculation'!F66)</f>
        <v/>
      </c>
      <c r="X37" s="56" t="str">
        <f>IF(OR('All Calculation'!G66="",'All Calculation'!G66=0),"",'All Calculation'!G66)</f>
        <v/>
      </c>
      <c r="Y37" s="56" t="str">
        <f>IF(OR('All Calculation'!H66="",'All Calculation'!H66=0),"",'All Calculation'!H66)</f>
        <v/>
      </c>
      <c r="Z37" s="56" t="str">
        <f>IF(OR('All Calculation'!I66="",'All Calculation'!I66=0),"",'All Calculation'!I66)</f>
        <v/>
      </c>
      <c r="AA37" s="49"/>
      <c r="AB37" s="49"/>
      <c r="AC37" s="49"/>
      <c r="AD37" s="49"/>
      <c r="AE37" s="49"/>
      <c r="AF37" s="49"/>
      <c r="AG37" s="49"/>
      <c r="AH37" s="49"/>
    </row>
    <row r="38" spans="1:34" x14ac:dyDescent="0.3">
      <c r="A38" s="49"/>
      <c r="B38" s="49"/>
      <c r="C38" s="49"/>
      <c r="D38" s="49"/>
      <c r="E38" s="49"/>
      <c r="F38" s="49"/>
      <c r="G38" s="49"/>
      <c r="H38" s="49"/>
      <c r="I38" s="49"/>
      <c r="J38" s="49"/>
      <c r="K38" s="49"/>
      <c r="L38" s="49"/>
      <c r="M38" s="49"/>
      <c r="N38" s="49"/>
      <c r="O38" s="49"/>
      <c r="P38" s="49"/>
      <c r="Q38" s="49"/>
      <c r="R38" s="49"/>
      <c r="S38" s="49"/>
      <c r="T38" s="54" t="str">
        <f>IF(OR('All Calculation'!C67="",'All Calculation'!C67=0),"",'All Calculation'!C67)</f>
        <v>C0002</v>
      </c>
      <c r="U38" s="56">
        <f>IF(OR('All Calculation'!D67="",'All Calculation'!D67=0),"",'All Calculation'!D67)</f>
        <v>1233</v>
      </c>
      <c r="V38" s="56">
        <f>IF(OR('All Calculation'!E67="",'All Calculation'!E67=0),"",'All Calculation'!E67)</f>
        <v>223</v>
      </c>
      <c r="W38" s="56">
        <f>IF(OR('All Calculation'!F67="",'All Calculation'!F67=0),"",'All Calculation'!F67)</f>
        <v>1680</v>
      </c>
      <c r="X38" s="56">
        <f>IF(OR('All Calculation'!G67="",'All Calculation'!G67=0),"",'All Calculation'!G67)</f>
        <v>990</v>
      </c>
      <c r="Y38" s="56">
        <f>IF(OR('All Calculation'!H67="",'All Calculation'!H67=0),"",'All Calculation'!H67)</f>
        <v>1508</v>
      </c>
      <c r="Z38" s="56">
        <f>IF(OR('All Calculation'!I67="",'All Calculation'!I67=0),"",'All Calculation'!I67)</f>
        <v>5634</v>
      </c>
      <c r="AA38" s="49"/>
      <c r="AB38" s="49"/>
      <c r="AC38" s="49"/>
      <c r="AD38" s="49"/>
      <c r="AE38" s="49"/>
      <c r="AF38" s="49"/>
      <c r="AG38" s="49"/>
      <c r="AH38" s="49"/>
    </row>
    <row r="39" spans="1:34" x14ac:dyDescent="0.3">
      <c r="A39" s="49"/>
      <c r="B39" s="49"/>
      <c r="C39" s="49"/>
      <c r="D39" s="49"/>
      <c r="E39" s="49"/>
      <c r="F39" s="49"/>
      <c r="G39" s="49"/>
      <c r="H39" s="49"/>
      <c r="I39" s="49"/>
      <c r="J39" s="49"/>
      <c r="K39" s="49"/>
      <c r="L39" s="49"/>
      <c r="M39" s="49"/>
      <c r="N39" s="49"/>
      <c r="O39" s="49"/>
      <c r="P39" s="49"/>
      <c r="Q39" s="49"/>
      <c r="R39" s="49"/>
      <c r="S39" s="49"/>
      <c r="T39" s="54" t="str">
        <f>IF(OR('All Calculation'!C68="",'All Calculation'!C68=0),"",'All Calculation'!C68)</f>
        <v>C0007</v>
      </c>
      <c r="U39" s="56">
        <f>IF(OR('All Calculation'!D68="",'All Calculation'!D68=0),"",'All Calculation'!D68)</f>
        <v>1598</v>
      </c>
      <c r="V39" s="56">
        <f>IF(OR('All Calculation'!E68="",'All Calculation'!E68=0),"",'All Calculation'!E68)</f>
        <v>1907</v>
      </c>
      <c r="W39" s="56">
        <f>IF(OR('All Calculation'!F68="",'All Calculation'!F68=0),"",'All Calculation'!F68)</f>
        <v>869</v>
      </c>
      <c r="X39" s="56">
        <f>IF(OR('All Calculation'!G68="",'All Calculation'!G68=0),"",'All Calculation'!G68)</f>
        <v>1426</v>
      </c>
      <c r="Y39" s="56">
        <f>IF(OR('All Calculation'!H68="",'All Calculation'!H68=0),"",'All Calculation'!H68)</f>
        <v>1416</v>
      </c>
      <c r="Z39" s="56">
        <f>IF(OR('All Calculation'!I68="",'All Calculation'!I68=0),"",'All Calculation'!I68)</f>
        <v>7216</v>
      </c>
      <c r="AA39" s="49"/>
      <c r="AB39" s="49"/>
      <c r="AC39" s="49"/>
      <c r="AD39" s="49"/>
      <c r="AE39" s="49"/>
      <c r="AF39" s="49"/>
      <c r="AG39" s="49"/>
      <c r="AH39" s="49"/>
    </row>
    <row r="40" spans="1:34" x14ac:dyDescent="0.3">
      <c r="A40" s="49"/>
      <c r="B40" s="49"/>
      <c r="C40" s="49"/>
      <c r="D40" s="49"/>
      <c r="E40" s="49"/>
      <c r="F40" s="49"/>
      <c r="G40" s="49"/>
      <c r="H40" s="49"/>
      <c r="I40" s="49"/>
      <c r="J40" s="49"/>
      <c r="K40" s="49"/>
      <c r="L40" s="49"/>
      <c r="M40" s="49"/>
      <c r="N40" s="49"/>
      <c r="O40" s="49"/>
      <c r="P40" s="49"/>
      <c r="Q40" s="49"/>
      <c r="R40" s="49"/>
      <c r="S40" s="49"/>
      <c r="T40" s="54"/>
      <c r="U40" s="56"/>
      <c r="V40" s="56"/>
      <c r="W40" s="56"/>
      <c r="X40" s="56"/>
      <c r="Y40" s="56"/>
      <c r="Z40" s="56"/>
      <c r="AA40" s="49"/>
      <c r="AB40" s="49"/>
      <c r="AC40" s="49"/>
      <c r="AD40" s="49"/>
      <c r="AE40" s="49"/>
      <c r="AF40" s="49"/>
      <c r="AG40" s="49"/>
      <c r="AH40" s="49"/>
    </row>
    <row r="41" spans="1:34" x14ac:dyDescent="0.3">
      <c r="A41" s="49"/>
      <c r="B41" s="49"/>
      <c r="C41" s="49"/>
      <c r="D41" s="49"/>
      <c r="E41" s="49"/>
      <c r="F41" s="49"/>
      <c r="G41" s="49"/>
      <c r="H41" s="49"/>
      <c r="I41" s="49"/>
      <c r="J41" s="49"/>
      <c r="K41" s="49"/>
      <c r="L41" s="49"/>
      <c r="M41" s="49"/>
      <c r="N41" s="49"/>
      <c r="O41" s="49"/>
      <c r="P41" s="49"/>
      <c r="Q41" s="49"/>
      <c r="R41" s="49"/>
      <c r="S41" s="49"/>
      <c r="T41" s="54" t="str">
        <f>IF(OR('All Calculation'!C69="",'All Calculation'!C69=0),"",'All Calculation'!C69)</f>
        <v>C0008</v>
      </c>
      <c r="U41" s="56">
        <f>IF(OR('All Calculation'!D69="",'All Calculation'!D69=0),"",'All Calculation'!D69)</f>
        <v>900</v>
      </c>
      <c r="V41" s="56">
        <f>IF(OR('All Calculation'!E69="",'All Calculation'!E69=0),"",'All Calculation'!E69)</f>
        <v>1016</v>
      </c>
      <c r="W41" s="56">
        <f>IF(OR('All Calculation'!F69="",'All Calculation'!F69=0),"",'All Calculation'!F69)</f>
        <v>960</v>
      </c>
      <c r="X41" s="56">
        <f>IF(OR('All Calculation'!G69="",'All Calculation'!G69=0),"",'All Calculation'!G69)</f>
        <v>940</v>
      </c>
      <c r="Y41" s="56">
        <f>IF(OR('All Calculation'!H69="",'All Calculation'!H69=0),"",'All Calculation'!H69)</f>
        <v>1193</v>
      </c>
      <c r="Z41" s="56">
        <f>IF(OR('All Calculation'!I69="",'All Calculation'!I69=0),"",'All Calculation'!I69)</f>
        <v>5009</v>
      </c>
      <c r="AA41" s="49"/>
      <c r="AB41" s="49"/>
      <c r="AC41" s="49"/>
      <c r="AD41" s="49"/>
      <c r="AE41" s="49"/>
      <c r="AF41" s="49"/>
      <c r="AG41" s="49"/>
      <c r="AH41" s="49"/>
    </row>
    <row r="42" spans="1:34" x14ac:dyDescent="0.3">
      <c r="A42" s="49"/>
      <c r="B42" s="49"/>
      <c r="C42" s="49"/>
      <c r="D42" s="49"/>
      <c r="E42" s="49"/>
      <c r="F42" s="49"/>
      <c r="G42" s="49"/>
      <c r="H42" s="49"/>
      <c r="I42" s="49"/>
      <c r="J42" s="49"/>
      <c r="K42" s="49"/>
      <c r="L42" s="49"/>
      <c r="M42" s="49"/>
      <c r="N42" s="49"/>
      <c r="O42" s="49"/>
      <c r="P42" s="49"/>
      <c r="Q42" s="49"/>
      <c r="R42" s="49"/>
      <c r="S42" s="49"/>
      <c r="T42" s="54" t="str">
        <f>IF(OR('All Calculation'!C70="",'All Calculation'!C70=0),"",'All Calculation'!C70)</f>
        <v>C0010</v>
      </c>
      <c r="U42" s="56">
        <f>IF(OR('All Calculation'!D70="",'All Calculation'!D70=0),"",'All Calculation'!D70)</f>
        <v>900</v>
      </c>
      <c r="V42" s="56">
        <f>IF(OR('All Calculation'!E70="",'All Calculation'!E70=0),"",'All Calculation'!E70)</f>
        <v>1470</v>
      </c>
      <c r="W42" s="56">
        <f>IF(OR('All Calculation'!F70="",'All Calculation'!F70=0),"",'All Calculation'!F70)</f>
        <v>1617</v>
      </c>
      <c r="X42" s="56">
        <f>IF(OR('All Calculation'!G70="",'All Calculation'!G70=0),"",'All Calculation'!G70)</f>
        <v>1314</v>
      </c>
      <c r="Y42" s="56">
        <f>IF(OR('All Calculation'!H70="",'All Calculation'!H70=0),"",'All Calculation'!H70)</f>
        <v>941</v>
      </c>
      <c r="Z42" s="56">
        <f>IF(OR('All Calculation'!I70="",'All Calculation'!I70=0),"",'All Calculation'!I70)</f>
        <v>6242</v>
      </c>
      <c r="AA42" s="49"/>
      <c r="AB42" s="49"/>
      <c r="AC42" s="49"/>
      <c r="AD42" s="49"/>
      <c r="AE42" s="49"/>
      <c r="AF42" s="49"/>
      <c r="AG42" s="49"/>
      <c r="AH42" s="49"/>
    </row>
    <row r="43" spans="1:34" x14ac:dyDescent="0.3">
      <c r="A43" s="49"/>
      <c r="B43" s="49"/>
      <c r="C43" s="49"/>
      <c r="D43" s="49"/>
      <c r="E43" s="49"/>
      <c r="F43" s="49"/>
      <c r="G43" s="49"/>
      <c r="H43" s="49"/>
      <c r="I43" s="49"/>
      <c r="J43" s="49"/>
      <c r="K43" s="49"/>
      <c r="L43" s="49"/>
      <c r="M43" s="49"/>
      <c r="N43" s="49"/>
      <c r="O43" s="49"/>
      <c r="P43" s="49"/>
      <c r="Q43" s="49"/>
      <c r="R43" s="49"/>
      <c r="S43" s="49"/>
      <c r="T43" s="54" t="str">
        <f>IF(OR('All Calculation'!C71="",'All Calculation'!C71=0),"",'All Calculation'!C71)</f>
        <v>C0013</v>
      </c>
      <c r="U43" s="56">
        <f>IF(OR('All Calculation'!D71="",'All Calculation'!D71=0),"",'All Calculation'!D71)</f>
        <v>1255</v>
      </c>
      <c r="V43" s="56">
        <f>IF(OR('All Calculation'!E71="",'All Calculation'!E71=0),"",'All Calculation'!E71)</f>
        <v>516</v>
      </c>
      <c r="W43" s="56">
        <f>IF(OR('All Calculation'!F71="",'All Calculation'!F71=0),"",'All Calculation'!F71)</f>
        <v>1874</v>
      </c>
      <c r="X43" s="56">
        <f>IF(OR('All Calculation'!G71="",'All Calculation'!G71=0),"",'All Calculation'!G71)</f>
        <v>1863</v>
      </c>
      <c r="Y43" s="56">
        <f>IF(OR('All Calculation'!H71="",'All Calculation'!H71=0),"",'All Calculation'!H71)</f>
        <v>1722</v>
      </c>
      <c r="Z43" s="56">
        <f>IF(OR('All Calculation'!I71="",'All Calculation'!I71=0),"",'All Calculation'!I71)</f>
        <v>7230</v>
      </c>
      <c r="AA43" s="49"/>
      <c r="AB43" s="49"/>
      <c r="AC43" s="49"/>
      <c r="AD43" s="49"/>
      <c r="AE43" s="49"/>
      <c r="AF43" s="49"/>
      <c r="AG43" s="49"/>
      <c r="AH43" s="49"/>
    </row>
    <row r="44" spans="1:34" x14ac:dyDescent="0.3">
      <c r="A44" s="49"/>
      <c r="B44" s="49"/>
      <c r="C44" s="49"/>
      <c r="D44" s="49"/>
      <c r="E44" s="49"/>
      <c r="F44" s="49"/>
      <c r="G44" s="49"/>
      <c r="H44" s="49"/>
      <c r="I44" s="49"/>
      <c r="J44" s="49"/>
      <c r="K44" s="49"/>
      <c r="L44" s="49"/>
      <c r="M44" s="49"/>
      <c r="N44" s="49"/>
      <c r="O44" s="49"/>
      <c r="P44" s="49"/>
      <c r="Q44" s="49"/>
      <c r="R44" s="49"/>
      <c r="S44" s="49"/>
      <c r="T44" s="54" t="str">
        <f>IF(OR('All Calculation'!C72="",'All Calculation'!C72=0),"",'All Calculation'!C72)</f>
        <v>C0015</v>
      </c>
      <c r="U44" s="56">
        <f>IF(OR('All Calculation'!D72="",'All Calculation'!D72=0),"",'All Calculation'!D72)</f>
        <v>1138</v>
      </c>
      <c r="V44" s="56">
        <f>IF(OR('All Calculation'!E72="",'All Calculation'!E72=0),"",'All Calculation'!E72)</f>
        <v>1898</v>
      </c>
      <c r="W44" s="56">
        <f>IF(OR('All Calculation'!F72="",'All Calculation'!F72=0),"",'All Calculation'!F72)</f>
        <v>1482</v>
      </c>
      <c r="X44" s="56">
        <f>IF(OR('All Calculation'!G72="",'All Calculation'!G72=0),"",'All Calculation'!G72)</f>
        <v>846</v>
      </c>
      <c r="Y44" s="56">
        <f>IF(OR('All Calculation'!H72="",'All Calculation'!H72=0),"",'All Calculation'!H72)</f>
        <v>1154</v>
      </c>
      <c r="Z44" s="56">
        <f>IF(OR('All Calculation'!I72="",'All Calculation'!I72=0),"",'All Calculation'!I72)</f>
        <v>6518</v>
      </c>
      <c r="AA44" s="49"/>
      <c r="AB44" s="49"/>
      <c r="AC44" s="49"/>
      <c r="AD44" s="49"/>
      <c r="AE44" s="49"/>
      <c r="AF44" s="49"/>
      <c r="AG44" s="49"/>
      <c r="AH44" s="49"/>
    </row>
    <row r="45" spans="1:34" x14ac:dyDescent="0.3">
      <c r="A45" s="49"/>
      <c r="B45" s="49"/>
      <c r="C45" s="49"/>
      <c r="D45" s="49"/>
      <c r="E45" s="49"/>
      <c r="F45" s="49"/>
      <c r="G45" s="49"/>
      <c r="H45" s="49"/>
      <c r="I45" s="49"/>
      <c r="J45" s="49"/>
      <c r="K45" s="49"/>
      <c r="L45" s="49"/>
      <c r="M45" s="49"/>
      <c r="N45" s="49"/>
      <c r="O45" s="49"/>
      <c r="P45" s="49"/>
      <c r="Q45" s="49"/>
      <c r="R45" s="49"/>
      <c r="S45" s="49"/>
      <c r="T45" s="49" t="str">
        <f>IF(OR('All Calculation'!C73="",'All Calculation'!C73=0),"",'All Calculation'!C73)</f>
        <v>Columbus</v>
      </c>
      <c r="U45" s="56" t="str">
        <f>IF(OR('All Calculation'!D73="",'All Calculation'!D73=0),"",'All Calculation'!D73)</f>
        <v/>
      </c>
      <c r="V45" s="56" t="str">
        <f>IF(OR('All Calculation'!E73="",'All Calculation'!E73=0),"",'All Calculation'!E73)</f>
        <v/>
      </c>
      <c r="W45" s="56" t="str">
        <f>IF(OR('All Calculation'!F73="",'All Calculation'!F73=0),"",'All Calculation'!F73)</f>
        <v/>
      </c>
      <c r="X45" s="56" t="str">
        <f>IF(OR('All Calculation'!G73="",'All Calculation'!G73=0),"",'All Calculation'!G73)</f>
        <v/>
      </c>
      <c r="Y45" s="56" t="str">
        <f>IF(OR('All Calculation'!H73="",'All Calculation'!H73=0),"",'All Calculation'!H73)</f>
        <v/>
      </c>
      <c r="Z45" s="56" t="str">
        <f>IF(OR('All Calculation'!I73="",'All Calculation'!I73=0),"",'All Calculation'!I73)</f>
        <v/>
      </c>
      <c r="AA45" s="49"/>
      <c r="AB45" s="49"/>
      <c r="AC45" s="49"/>
      <c r="AD45" s="49"/>
      <c r="AE45" s="49"/>
      <c r="AF45" s="49"/>
      <c r="AG45" s="49"/>
      <c r="AH45" s="49"/>
    </row>
    <row r="46" spans="1:34" x14ac:dyDescent="0.3">
      <c r="A46" s="49"/>
      <c r="B46" s="49"/>
      <c r="C46" s="49"/>
      <c r="D46" s="49"/>
      <c r="E46" s="49"/>
      <c r="F46" s="49"/>
      <c r="G46" s="49"/>
      <c r="H46" s="49"/>
      <c r="I46" s="49"/>
      <c r="J46" s="49"/>
      <c r="K46" s="49"/>
      <c r="L46" s="49"/>
      <c r="M46" s="49"/>
      <c r="N46" s="49"/>
      <c r="O46" s="49"/>
      <c r="P46" s="49"/>
      <c r="Q46" s="49"/>
      <c r="R46" s="49"/>
      <c r="S46" s="49"/>
      <c r="T46" s="54" t="str">
        <f>IF(OR('All Calculation'!C74="",'All Calculation'!C74=0),"",'All Calculation'!C74)</f>
        <v>C0001</v>
      </c>
      <c r="U46" s="56">
        <f>IF(OR('All Calculation'!D74="",'All Calculation'!D74=0),"",'All Calculation'!D74)</f>
        <v>1655</v>
      </c>
      <c r="V46" s="56">
        <f>IF(OR('All Calculation'!E74="",'All Calculation'!E74=0),"",'All Calculation'!E74)</f>
        <v>805</v>
      </c>
      <c r="W46" s="56">
        <f>IF(OR('All Calculation'!F74="",'All Calculation'!F74=0),"",'All Calculation'!F74)</f>
        <v>2263</v>
      </c>
      <c r="X46" s="56">
        <f>IF(OR('All Calculation'!G74="",'All Calculation'!G74=0),"",'All Calculation'!G74)</f>
        <v>987</v>
      </c>
      <c r="Y46" s="56">
        <f>IF(OR('All Calculation'!H74="",'All Calculation'!H74=0),"",'All Calculation'!H74)</f>
        <v>1075</v>
      </c>
      <c r="Z46" s="56">
        <f>IF(OR('All Calculation'!I74="",'All Calculation'!I74=0),"",'All Calculation'!I74)</f>
        <v>6785</v>
      </c>
      <c r="AA46" s="49"/>
      <c r="AB46" s="49"/>
      <c r="AC46" s="49"/>
      <c r="AD46" s="49"/>
      <c r="AE46" s="49"/>
      <c r="AF46" s="49"/>
      <c r="AG46" s="49"/>
      <c r="AH46" s="49"/>
    </row>
    <row r="47" spans="1:34" x14ac:dyDescent="0.3">
      <c r="A47" s="49"/>
      <c r="B47" s="49"/>
      <c r="C47" s="49"/>
      <c r="D47" s="49"/>
      <c r="E47" s="49"/>
      <c r="F47" s="49"/>
      <c r="G47" s="49"/>
      <c r="H47" s="49"/>
      <c r="I47" s="49"/>
      <c r="J47" s="49"/>
      <c r="K47" s="49"/>
      <c r="L47" s="49"/>
      <c r="M47" s="49"/>
      <c r="N47" s="49"/>
      <c r="O47" s="49"/>
      <c r="P47" s="49"/>
      <c r="Q47" s="49"/>
      <c r="R47" s="49"/>
      <c r="S47" s="49"/>
      <c r="T47" s="54" t="str">
        <f>IF(OR('All Calculation'!C75="",'All Calculation'!C75=0),"",'All Calculation'!C75)</f>
        <v>C0005</v>
      </c>
      <c r="U47" s="56">
        <f>IF(OR('All Calculation'!D75="",'All Calculation'!D75=0),"",'All Calculation'!D75)</f>
        <v>1104</v>
      </c>
      <c r="V47" s="56">
        <f>IF(OR('All Calculation'!E75="",'All Calculation'!E75=0),"",'All Calculation'!E75)</f>
        <v>2280</v>
      </c>
      <c r="W47" s="56">
        <f>IF(OR('All Calculation'!F75="",'All Calculation'!F75=0),"",'All Calculation'!F75)</f>
        <v>1445</v>
      </c>
      <c r="X47" s="56">
        <f>IF(OR('All Calculation'!G75="",'All Calculation'!G75=0),"",'All Calculation'!G75)</f>
        <v>1722</v>
      </c>
      <c r="Y47" s="56">
        <f>IF(OR('All Calculation'!H75="",'All Calculation'!H75=0),"",'All Calculation'!H75)</f>
        <v>1196</v>
      </c>
      <c r="Z47" s="56">
        <f>IF(OR('All Calculation'!I75="",'All Calculation'!I75=0),"",'All Calculation'!I75)</f>
        <v>7747</v>
      </c>
      <c r="AA47" s="49"/>
      <c r="AB47" s="49"/>
      <c r="AC47" s="49"/>
      <c r="AD47" s="49"/>
      <c r="AE47" s="49"/>
      <c r="AF47" s="49"/>
      <c r="AG47" s="49"/>
      <c r="AH47" s="49"/>
    </row>
    <row r="48" spans="1:34" x14ac:dyDescent="0.3">
      <c r="A48" s="49"/>
      <c r="B48" s="49"/>
      <c r="C48" s="49"/>
      <c r="D48" s="49"/>
      <c r="E48" s="49"/>
      <c r="F48" s="49"/>
      <c r="G48" s="49"/>
      <c r="H48" s="49"/>
      <c r="I48" s="49"/>
      <c r="J48" s="49"/>
      <c r="K48" s="49"/>
      <c r="L48" s="49"/>
      <c r="M48" s="49"/>
      <c r="N48" s="49"/>
      <c r="O48" s="49"/>
      <c r="P48" s="49"/>
      <c r="Q48" s="49"/>
      <c r="R48" s="49"/>
      <c r="S48" s="49"/>
      <c r="T48" s="54" t="str">
        <f>IF(OR('All Calculation'!C76="",'All Calculation'!C76=0),"",'All Calculation'!C76)</f>
        <v>C0006</v>
      </c>
      <c r="U48" s="56">
        <f>IF(OR('All Calculation'!D76="",'All Calculation'!D76=0),"",'All Calculation'!D76)</f>
        <v>372</v>
      </c>
      <c r="V48" s="56">
        <f>IF(OR('All Calculation'!E76="",'All Calculation'!E76=0),"",'All Calculation'!E76)</f>
        <v>1818</v>
      </c>
      <c r="W48" s="56">
        <f>IF(OR('All Calculation'!F76="",'All Calculation'!F76=0),"",'All Calculation'!F76)</f>
        <v>1346</v>
      </c>
      <c r="X48" s="56">
        <f>IF(OR('All Calculation'!G76="",'All Calculation'!G76=0),"",'All Calculation'!G76)</f>
        <v>1156</v>
      </c>
      <c r="Y48" s="56">
        <f>IF(OR('All Calculation'!H76="",'All Calculation'!H76=0),"",'All Calculation'!H76)</f>
        <v>1484</v>
      </c>
      <c r="Z48" s="56">
        <f>IF(OR('All Calculation'!I76="",'All Calculation'!I76=0),"",'All Calculation'!I76)</f>
        <v>6176</v>
      </c>
      <c r="AA48" s="49"/>
      <c r="AB48" s="49"/>
      <c r="AC48" s="49"/>
      <c r="AD48" s="49"/>
      <c r="AE48" s="49"/>
      <c r="AF48" s="49"/>
      <c r="AG48" s="49"/>
      <c r="AH48" s="49"/>
    </row>
    <row r="49" spans="1:34" x14ac:dyDescent="0.3">
      <c r="A49" s="49"/>
      <c r="B49" s="49"/>
      <c r="C49" s="49"/>
      <c r="D49" s="49"/>
      <c r="E49" s="49"/>
      <c r="F49" s="49"/>
      <c r="G49" s="49"/>
      <c r="H49" s="49"/>
      <c r="I49" s="49"/>
      <c r="J49" s="49"/>
      <c r="K49" s="49"/>
      <c r="L49" s="49"/>
      <c r="M49" s="49"/>
      <c r="N49" s="49"/>
      <c r="O49" s="49"/>
      <c r="P49" s="49"/>
      <c r="Q49" s="49"/>
      <c r="R49" s="49"/>
      <c r="S49" s="49"/>
      <c r="T49" s="54" t="str">
        <f>IF(OR('All Calculation'!C77="",'All Calculation'!C77=0),"",'All Calculation'!C77)</f>
        <v>C0009</v>
      </c>
      <c r="U49" s="56">
        <f>IF(OR('All Calculation'!D77="",'All Calculation'!D77=0),"",'All Calculation'!D77)</f>
        <v>1415</v>
      </c>
      <c r="V49" s="56">
        <f>IF(OR('All Calculation'!E77="",'All Calculation'!E77=0),"",'All Calculation'!E77)</f>
        <v>1271</v>
      </c>
      <c r="W49" s="56">
        <f>IF(OR('All Calculation'!F77="",'All Calculation'!F77=0),"",'All Calculation'!F77)</f>
        <v>1214</v>
      </c>
      <c r="X49" s="56">
        <f>IF(OR('All Calculation'!G77="",'All Calculation'!G77=0),"",'All Calculation'!G77)</f>
        <v>1135</v>
      </c>
      <c r="Y49" s="56">
        <f>IF(OR('All Calculation'!H77="",'All Calculation'!H77=0),"",'All Calculation'!H77)</f>
        <v>1566</v>
      </c>
      <c r="Z49" s="56">
        <f>IF(OR('All Calculation'!I77="",'All Calculation'!I77=0),"",'All Calculation'!I77)</f>
        <v>6601</v>
      </c>
      <c r="AA49" s="49"/>
      <c r="AB49" s="49"/>
      <c r="AC49" s="49"/>
      <c r="AD49" s="49"/>
      <c r="AE49" s="49"/>
      <c r="AF49" s="49"/>
      <c r="AG49" s="49"/>
      <c r="AH49" s="49"/>
    </row>
    <row r="50" spans="1:34" x14ac:dyDescent="0.3">
      <c r="A50" s="49"/>
      <c r="B50" s="49"/>
      <c r="C50" s="49"/>
      <c r="D50" s="49"/>
      <c r="E50" s="49"/>
      <c r="F50" s="49"/>
      <c r="G50" s="49"/>
      <c r="H50" s="49"/>
      <c r="I50" s="49"/>
      <c r="J50" s="49"/>
      <c r="K50" s="49"/>
      <c r="L50" s="49"/>
      <c r="M50" s="49"/>
      <c r="N50" s="49"/>
      <c r="O50" s="49"/>
      <c r="P50" s="49"/>
      <c r="Q50" s="49"/>
      <c r="R50" s="49"/>
      <c r="S50" s="49"/>
      <c r="T50" s="54" t="str">
        <f>IF(OR('All Calculation'!C78="",'All Calculation'!C78=0),"",'All Calculation'!C78)</f>
        <v>C0014</v>
      </c>
      <c r="U50" s="56">
        <f>IF(OR('All Calculation'!D78="",'All Calculation'!D78=0),"",'All Calculation'!D78)</f>
        <v>1362</v>
      </c>
      <c r="V50" s="56">
        <f>IF(OR('All Calculation'!E78="",'All Calculation'!E78=0),"",'All Calculation'!E78)</f>
        <v>1363</v>
      </c>
      <c r="W50" s="56">
        <f>IF(OR('All Calculation'!F78="",'All Calculation'!F78=0),"",'All Calculation'!F78)</f>
        <v>1152</v>
      </c>
      <c r="X50" s="56">
        <f>IF(OR('All Calculation'!G78="",'All Calculation'!G78=0),"",'All Calculation'!G78)</f>
        <v>777</v>
      </c>
      <c r="Y50" s="56">
        <f>IF(OR('All Calculation'!H78="",'All Calculation'!H78=0),"",'All Calculation'!H78)</f>
        <v>750</v>
      </c>
      <c r="Z50" s="56">
        <f>IF(OR('All Calculation'!I78="",'All Calculation'!I78=0),"",'All Calculation'!I78)</f>
        <v>5404</v>
      </c>
      <c r="AA50" s="49"/>
      <c r="AB50" s="49"/>
      <c r="AC50" s="49"/>
      <c r="AD50" s="49"/>
      <c r="AE50" s="49"/>
      <c r="AF50" s="49"/>
      <c r="AG50" s="49"/>
      <c r="AH50" s="49"/>
    </row>
    <row r="51" spans="1:34" x14ac:dyDescent="0.3">
      <c r="A51" s="49"/>
      <c r="B51" s="49"/>
      <c r="C51" s="49"/>
      <c r="D51" s="49"/>
      <c r="E51" s="49"/>
      <c r="F51" s="49"/>
      <c r="G51" s="49"/>
      <c r="H51" s="49"/>
      <c r="I51" s="49"/>
      <c r="J51" s="49"/>
      <c r="K51" s="49"/>
      <c r="L51" s="49"/>
      <c r="M51" s="49"/>
      <c r="N51" s="49"/>
      <c r="O51" s="49"/>
      <c r="P51" s="49"/>
      <c r="Q51" s="49"/>
      <c r="R51" s="49"/>
      <c r="S51" s="49"/>
      <c r="T51" s="49"/>
      <c r="U51" s="49"/>
      <c r="V51" s="49"/>
      <c r="W51" s="49"/>
      <c r="X51" s="49"/>
      <c r="Y51" s="49"/>
      <c r="Z51" s="49"/>
      <c r="AA51" s="49"/>
      <c r="AB51" s="49"/>
      <c r="AC51" s="49"/>
      <c r="AD51" s="49"/>
      <c r="AE51" s="49"/>
      <c r="AF51" s="49"/>
      <c r="AG51" s="49"/>
      <c r="AH51" s="49"/>
    </row>
    <row r="52" spans="1:34" x14ac:dyDescent="0.3">
      <c r="A52" s="49"/>
      <c r="B52" s="49"/>
      <c r="C52" s="49"/>
      <c r="D52" s="49"/>
      <c r="E52" s="49"/>
      <c r="F52" s="49"/>
      <c r="G52" s="49"/>
      <c r="H52" s="49"/>
      <c r="I52" s="49"/>
      <c r="J52" s="49"/>
      <c r="K52" s="49"/>
      <c r="L52" s="49"/>
      <c r="M52" s="49"/>
      <c r="N52" s="49"/>
      <c r="O52" s="49"/>
      <c r="P52" s="49"/>
      <c r="Q52" s="49"/>
      <c r="R52" s="49"/>
      <c r="S52" s="49"/>
      <c r="T52" s="49"/>
      <c r="U52" s="49"/>
      <c r="V52" s="49" t="str">
        <f>IF(OR('All Calculation'!C79="",'All Calculation'!C79=0),"",'All Calculation'!C79)</f>
        <v/>
      </c>
      <c r="W52" s="49" t="str">
        <f>IF(OR('All Calculation'!D79="",'All Calculation'!D79=0),"",'All Calculation'!D79)</f>
        <v/>
      </c>
      <c r="X52" s="49" t="str">
        <f>IF(OR('All Calculation'!E79="",'All Calculation'!E79=0),"",'All Calculation'!E79)</f>
        <v/>
      </c>
      <c r="Y52" s="49" t="str">
        <f>IF(OR('All Calculation'!F79="",'All Calculation'!F79=0),"",'All Calculation'!F79)</f>
        <v/>
      </c>
      <c r="Z52" s="49" t="str">
        <f>IF(OR('All Calculation'!G79="",'All Calculation'!G79=0),"",'All Calculation'!G79)</f>
        <v/>
      </c>
      <c r="AA52" s="49" t="str">
        <f>IF(OR('All Calculation'!H79="",'All Calculation'!H79=0),"",'All Calculation'!H79)</f>
        <v/>
      </c>
      <c r="AB52" s="49" t="str">
        <f>IF(OR('All Calculation'!I79="",'All Calculation'!I79=0),"",'All Calculation'!I79)</f>
        <v/>
      </c>
      <c r="AC52" s="49"/>
      <c r="AD52" s="49"/>
      <c r="AE52" s="49"/>
      <c r="AF52" s="49"/>
      <c r="AG52" s="49"/>
      <c r="AH52" s="49"/>
    </row>
    <row r="53" spans="1:34" x14ac:dyDescent="0.3">
      <c r="A53" s="49"/>
      <c r="B53" s="49"/>
      <c r="C53" s="49"/>
      <c r="D53" s="49"/>
      <c r="E53" s="49"/>
      <c r="F53" s="49"/>
      <c r="G53" s="49"/>
      <c r="H53" s="49"/>
      <c r="I53" s="49"/>
      <c r="J53" s="49"/>
      <c r="K53" s="49"/>
      <c r="L53" s="49"/>
      <c r="M53" s="49"/>
      <c r="N53" s="49"/>
      <c r="O53" s="49"/>
      <c r="P53" s="49"/>
      <c r="Q53" s="49"/>
      <c r="R53" s="49"/>
      <c r="S53" s="49"/>
      <c r="T53" s="49"/>
      <c r="U53" s="49"/>
      <c r="V53" s="49"/>
      <c r="W53" s="49"/>
      <c r="X53" s="49"/>
      <c r="Y53" s="49"/>
      <c r="Z53" s="49"/>
      <c r="AA53" s="49"/>
      <c r="AB53" s="49"/>
      <c r="AC53" s="49"/>
      <c r="AD53" s="49"/>
      <c r="AE53" s="49"/>
      <c r="AF53" s="49"/>
      <c r="AG53" s="49"/>
      <c r="AH53" s="49"/>
    </row>
    <row r="54" spans="1:34" x14ac:dyDescent="0.3">
      <c r="A54" s="49"/>
      <c r="B54" s="49"/>
      <c r="C54" s="49"/>
      <c r="D54" s="49"/>
      <c r="E54" s="49"/>
      <c r="F54" s="49"/>
      <c r="G54" s="49"/>
      <c r="H54" s="49"/>
      <c r="I54" s="49"/>
      <c r="J54" s="49"/>
      <c r="K54" s="49"/>
      <c r="L54" s="49"/>
      <c r="M54" s="49"/>
      <c r="N54" s="49"/>
      <c r="O54" s="49"/>
      <c r="P54" s="49"/>
      <c r="Q54" s="49"/>
      <c r="R54" s="49"/>
      <c r="S54" s="49"/>
      <c r="T54" s="49"/>
      <c r="U54" s="49"/>
      <c r="V54" s="49"/>
      <c r="W54" s="49"/>
      <c r="X54" s="49"/>
      <c r="Y54" s="49"/>
      <c r="Z54" s="49"/>
      <c r="AA54" s="49"/>
      <c r="AB54" s="49"/>
      <c r="AC54" s="49"/>
      <c r="AD54" s="49"/>
      <c r="AE54" s="49"/>
      <c r="AF54" s="49"/>
      <c r="AG54" s="49"/>
      <c r="AH54" s="49"/>
    </row>
    <row r="55" spans="1:34" x14ac:dyDescent="0.3">
      <c r="A55" s="49"/>
      <c r="B55" s="49"/>
      <c r="C55" s="49"/>
      <c r="D55" s="49"/>
      <c r="E55" s="49"/>
      <c r="F55" s="49"/>
      <c r="G55" s="49"/>
      <c r="H55" s="49"/>
      <c r="I55" s="49"/>
      <c r="J55" s="49"/>
      <c r="K55" s="49"/>
      <c r="L55" s="49"/>
      <c r="M55" s="49"/>
      <c r="N55" s="49"/>
      <c r="O55" s="49"/>
      <c r="P55" s="49"/>
      <c r="Q55" s="49"/>
      <c r="R55" s="49"/>
      <c r="S55" s="49"/>
      <c r="T55" s="49"/>
      <c r="U55" s="49"/>
      <c r="V55" s="49"/>
      <c r="W55" s="49"/>
      <c r="X55" s="49"/>
      <c r="Y55" s="49"/>
      <c r="Z55" s="49"/>
      <c r="AA55" s="49"/>
      <c r="AB55" s="49"/>
      <c r="AC55" s="49"/>
      <c r="AD55" s="49"/>
      <c r="AE55" s="49"/>
      <c r="AF55" s="49"/>
      <c r="AG55" s="49"/>
      <c r="AH55" s="49"/>
    </row>
    <row r="56" spans="1:34" x14ac:dyDescent="0.3">
      <c r="A56" s="49"/>
      <c r="B56" s="49"/>
      <c r="C56" s="49"/>
      <c r="D56" s="49"/>
      <c r="E56" s="49"/>
      <c r="F56" s="49"/>
      <c r="G56" s="49"/>
      <c r="H56" s="49"/>
      <c r="I56" s="49"/>
      <c r="J56" s="49"/>
      <c r="K56" s="49"/>
      <c r="L56" s="49"/>
      <c r="M56" s="49"/>
      <c r="N56" s="49"/>
      <c r="O56" s="49"/>
      <c r="P56" s="49"/>
      <c r="Q56" s="49"/>
      <c r="R56" s="49"/>
      <c r="S56" s="49"/>
      <c r="T56" s="49"/>
      <c r="U56" s="49"/>
      <c r="V56" s="49"/>
      <c r="W56" s="49"/>
      <c r="X56" s="49"/>
      <c r="Y56" s="49"/>
      <c r="Z56" s="49"/>
      <c r="AA56" s="49"/>
      <c r="AB56" s="49"/>
      <c r="AC56" s="49"/>
      <c r="AD56" s="49"/>
      <c r="AE56" s="49"/>
      <c r="AF56" s="49"/>
      <c r="AG56" s="49"/>
      <c r="AH56" s="49"/>
    </row>
    <row r="57" spans="1:34" x14ac:dyDescent="0.3">
      <c r="A57" s="49"/>
      <c r="B57" s="49"/>
      <c r="C57" s="49"/>
      <c r="D57" s="49"/>
      <c r="E57" s="49"/>
      <c r="F57" s="49"/>
      <c r="G57" s="49"/>
      <c r="H57" s="49"/>
      <c r="I57" s="49"/>
      <c r="J57" s="49"/>
      <c r="K57" s="49"/>
      <c r="L57" s="49"/>
      <c r="M57" s="49"/>
      <c r="N57" s="49"/>
      <c r="O57" s="49"/>
      <c r="P57" s="49"/>
      <c r="Q57" s="49"/>
      <c r="R57" s="49"/>
      <c r="S57" s="49"/>
      <c r="T57" s="49"/>
      <c r="U57" s="49"/>
      <c r="V57" s="49"/>
      <c r="W57" s="49"/>
      <c r="X57" s="49"/>
      <c r="Y57" s="49"/>
      <c r="Z57" s="49"/>
      <c r="AA57" s="49"/>
      <c r="AB57" s="49"/>
      <c r="AC57" s="49"/>
      <c r="AD57" s="49"/>
      <c r="AE57" s="49"/>
      <c r="AF57" s="49"/>
      <c r="AG57" s="49"/>
      <c r="AH57" s="49"/>
    </row>
    <row r="58" spans="1:34" x14ac:dyDescent="0.3">
      <c r="A58" s="49"/>
      <c r="B58" s="49"/>
      <c r="C58" s="49"/>
      <c r="D58" s="49"/>
      <c r="E58" s="49"/>
      <c r="F58" s="49"/>
      <c r="G58" s="49"/>
      <c r="H58" s="49"/>
      <c r="I58" s="49"/>
      <c r="J58" s="49"/>
      <c r="K58" s="49"/>
      <c r="L58" s="49"/>
      <c r="M58" s="49"/>
      <c r="N58" s="49"/>
      <c r="O58" s="49"/>
      <c r="P58" s="49"/>
      <c r="Q58" s="49"/>
      <c r="R58" s="49"/>
      <c r="S58" s="49"/>
      <c r="T58" s="49"/>
      <c r="U58" s="49"/>
      <c r="V58" s="49"/>
      <c r="W58" s="49"/>
      <c r="X58" s="49"/>
      <c r="Y58" s="49"/>
      <c r="Z58" s="49"/>
      <c r="AA58" s="49"/>
      <c r="AB58" s="49"/>
      <c r="AC58" s="49"/>
      <c r="AD58" s="49"/>
      <c r="AE58" s="49"/>
      <c r="AF58" s="49"/>
      <c r="AG58" s="49"/>
      <c r="AH58" s="49"/>
    </row>
    <row r="59" spans="1:34" x14ac:dyDescent="0.3">
      <c r="A59" s="49"/>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row>
    <row r="60" spans="1:34" x14ac:dyDescent="0.3">
      <c r="A60" s="49"/>
      <c r="B60" s="49"/>
      <c r="C60" s="49"/>
      <c r="D60" s="49"/>
      <c r="E60" s="49"/>
      <c r="F60" s="49"/>
      <c r="G60" s="49"/>
      <c r="H60" s="49"/>
      <c r="I60" s="49"/>
      <c r="J60" s="49"/>
      <c r="K60" s="49"/>
      <c r="L60" s="49"/>
      <c r="M60" s="49"/>
      <c r="N60" s="49"/>
      <c r="O60" s="49"/>
      <c r="P60" s="49"/>
      <c r="Q60" s="49"/>
      <c r="R60" s="49"/>
      <c r="S60" s="49"/>
      <c r="T60" s="49"/>
      <c r="U60" s="49"/>
      <c r="V60" s="49"/>
      <c r="W60" s="49"/>
      <c r="X60" s="49"/>
      <c r="Y60" s="49"/>
      <c r="Z60" s="49"/>
      <c r="AA60" s="49"/>
      <c r="AB60" s="49"/>
      <c r="AC60" s="49"/>
      <c r="AD60" s="49"/>
      <c r="AE60" s="49"/>
      <c r="AF60" s="49"/>
      <c r="AG60" s="49"/>
      <c r="AH60" s="49"/>
    </row>
    <row r="61" spans="1:34" x14ac:dyDescent="0.3">
      <c r="A61" s="49"/>
      <c r="B61" s="49"/>
      <c r="C61" s="49"/>
      <c r="D61" s="49"/>
      <c r="E61" s="49"/>
      <c r="F61" s="49"/>
      <c r="G61" s="49"/>
      <c r="H61" s="49"/>
      <c r="I61" s="49"/>
      <c r="J61" s="49"/>
      <c r="K61" s="49"/>
      <c r="L61" s="49"/>
      <c r="M61" s="49"/>
      <c r="N61" s="49"/>
      <c r="O61" s="49"/>
      <c r="P61" s="49"/>
      <c r="Q61" s="49"/>
      <c r="R61" s="49"/>
      <c r="S61" s="49"/>
      <c r="T61" s="49"/>
      <c r="U61" s="49"/>
      <c r="V61" s="49"/>
      <c r="W61" s="49"/>
      <c r="X61" s="49"/>
      <c r="Y61" s="49"/>
      <c r="Z61" s="49"/>
      <c r="AA61" s="49"/>
      <c r="AB61" s="49"/>
      <c r="AC61" s="49"/>
      <c r="AD61" s="49"/>
      <c r="AE61" s="49"/>
      <c r="AF61" s="49"/>
      <c r="AG61" s="49"/>
      <c r="AH61" s="49"/>
    </row>
    <row r="62" spans="1:34" x14ac:dyDescent="0.3">
      <c r="A62" s="49"/>
      <c r="B62" s="49"/>
      <c r="C62" s="49"/>
      <c r="D62" s="49"/>
      <c r="E62" s="49"/>
      <c r="F62" s="49"/>
      <c r="G62" s="49"/>
      <c r="H62" s="49"/>
      <c r="I62" s="49"/>
      <c r="J62" s="49"/>
      <c r="K62" s="49"/>
      <c r="L62" s="49"/>
      <c r="M62" s="49"/>
      <c r="N62" s="49"/>
      <c r="O62" s="49"/>
      <c r="P62" s="49"/>
      <c r="Q62" s="49"/>
      <c r="R62" s="49"/>
      <c r="S62" s="49"/>
      <c r="T62" s="49"/>
      <c r="U62" s="49"/>
      <c r="V62" s="49"/>
      <c r="W62" s="49"/>
      <c r="X62" s="49"/>
      <c r="Y62" s="49"/>
      <c r="Z62" s="49"/>
      <c r="AA62" s="49"/>
      <c r="AB62" s="49"/>
      <c r="AC62" s="49"/>
      <c r="AD62" s="49"/>
      <c r="AE62" s="49"/>
      <c r="AF62" s="49"/>
      <c r="AG62" s="49"/>
      <c r="AH62" s="49"/>
    </row>
    <row r="63" spans="1:34" x14ac:dyDescent="0.3">
      <c r="A63" s="49"/>
      <c r="B63" s="49"/>
      <c r="C63" s="49"/>
      <c r="D63" s="49"/>
      <c r="E63" s="49"/>
      <c r="F63" s="49"/>
      <c r="G63" s="49"/>
      <c r="H63" s="49"/>
      <c r="I63" s="49"/>
      <c r="J63" s="49"/>
      <c r="K63" s="49"/>
      <c r="L63" s="49"/>
      <c r="M63" s="49"/>
      <c r="N63" s="49"/>
      <c r="O63" s="49"/>
      <c r="P63" s="49"/>
      <c r="Q63" s="49"/>
      <c r="R63" s="49"/>
      <c r="S63" s="49"/>
      <c r="T63" s="49"/>
      <c r="U63" s="49"/>
      <c r="V63" s="49"/>
      <c r="W63" s="49"/>
      <c r="X63" s="49"/>
      <c r="Y63" s="49"/>
      <c r="Z63" s="49"/>
      <c r="AA63" s="49"/>
      <c r="AB63" s="49"/>
      <c r="AC63" s="49"/>
      <c r="AD63" s="49"/>
      <c r="AE63" s="49"/>
      <c r="AF63" s="49"/>
      <c r="AG63" s="49"/>
      <c r="AH63" s="49"/>
    </row>
    <row r="64" spans="1:34" x14ac:dyDescent="0.3">
      <c r="A64" s="49"/>
      <c r="B64" s="49"/>
      <c r="C64" s="49"/>
      <c r="D64" s="49"/>
      <c r="E64" s="49"/>
      <c r="F64" s="49"/>
      <c r="G64" s="49"/>
      <c r="H64" s="49"/>
      <c r="I64" s="49"/>
      <c r="J64" s="49"/>
      <c r="K64" s="49"/>
      <c r="L64" s="49"/>
      <c r="M64" s="49"/>
      <c r="N64" s="49"/>
      <c r="O64" s="49"/>
      <c r="P64" s="49"/>
      <c r="Q64" s="49"/>
      <c r="R64" s="49"/>
      <c r="S64" s="49"/>
      <c r="T64" s="49"/>
      <c r="U64" s="49"/>
      <c r="V64" s="49"/>
      <c r="W64" s="49"/>
      <c r="X64" s="49"/>
      <c r="Y64" s="49"/>
      <c r="Z64" s="49"/>
      <c r="AA64" s="49"/>
      <c r="AB64" s="49"/>
      <c r="AC64" s="49"/>
      <c r="AD64" s="49"/>
      <c r="AE64" s="49"/>
      <c r="AF64" s="49"/>
      <c r="AG64" s="49"/>
      <c r="AH64" s="49"/>
    </row>
    <row r="65" spans="1:34" x14ac:dyDescent="0.3">
      <c r="A65" s="49"/>
      <c r="B65" s="49"/>
      <c r="C65" s="49"/>
      <c r="D65" s="49"/>
      <c r="E65" s="49"/>
      <c r="F65" s="49"/>
      <c r="G65" s="49"/>
      <c r="H65" s="49"/>
      <c r="I65" s="49"/>
      <c r="J65" s="49"/>
      <c r="K65" s="49"/>
      <c r="L65" s="49"/>
      <c r="M65" s="49"/>
      <c r="N65" s="49"/>
      <c r="O65" s="49"/>
      <c r="P65" s="49"/>
      <c r="Q65" s="49"/>
      <c r="R65" s="49"/>
      <c r="S65" s="49"/>
      <c r="T65" s="49"/>
      <c r="U65" s="49"/>
      <c r="V65" s="49"/>
      <c r="W65" s="49"/>
      <c r="X65" s="49"/>
      <c r="Y65" s="49"/>
      <c r="Z65" s="49"/>
      <c r="AA65" s="49"/>
      <c r="AB65" s="49"/>
      <c r="AC65" s="49"/>
      <c r="AD65" s="49"/>
      <c r="AE65" s="49"/>
      <c r="AF65" s="49"/>
      <c r="AG65" s="49"/>
      <c r="AH65" s="49"/>
    </row>
    <row r="66" spans="1:34" x14ac:dyDescent="0.3">
      <c r="A66" s="49"/>
      <c r="B66" s="49"/>
      <c r="C66" s="49"/>
      <c r="D66" s="49"/>
      <c r="E66" s="49"/>
      <c r="F66" s="49"/>
      <c r="G66" s="49"/>
      <c r="H66" s="49"/>
      <c r="I66" s="49"/>
      <c r="J66" s="49"/>
      <c r="K66" s="49"/>
      <c r="L66" s="49"/>
      <c r="M66" s="49"/>
      <c r="N66" s="49"/>
      <c r="O66" s="49"/>
      <c r="P66" s="49"/>
      <c r="Q66" s="49"/>
      <c r="R66" s="49"/>
      <c r="S66" s="49"/>
      <c r="T66" s="49"/>
      <c r="U66" s="49"/>
      <c r="V66" s="49"/>
      <c r="W66" s="49"/>
      <c r="X66" s="49"/>
      <c r="Y66" s="49"/>
      <c r="Z66" s="49"/>
      <c r="AA66" s="49"/>
      <c r="AB66" s="49"/>
      <c r="AC66" s="49"/>
      <c r="AD66" s="49"/>
      <c r="AE66" s="49"/>
      <c r="AF66" s="49"/>
      <c r="AG66" s="49"/>
      <c r="AH66" s="49"/>
    </row>
    <row r="67" spans="1:34" x14ac:dyDescent="0.3">
      <c r="A67" s="49"/>
      <c r="B67" s="49"/>
      <c r="C67" s="49"/>
      <c r="D67" s="49"/>
      <c r="E67" s="49"/>
      <c r="F67" s="49"/>
      <c r="G67" s="49"/>
      <c r="H67" s="49"/>
      <c r="I67" s="49"/>
      <c r="J67" s="49"/>
      <c r="K67" s="49"/>
      <c r="L67" s="49"/>
      <c r="M67" s="49"/>
      <c r="N67" s="49"/>
      <c r="O67" s="49"/>
      <c r="P67" s="49"/>
      <c r="Q67" s="49"/>
      <c r="R67" s="49"/>
      <c r="S67" s="49"/>
      <c r="T67" s="49"/>
      <c r="U67" s="49"/>
      <c r="V67" s="49"/>
      <c r="W67" s="49"/>
      <c r="X67" s="49"/>
      <c r="Y67" s="49"/>
      <c r="Z67" s="49"/>
      <c r="AA67" s="49"/>
      <c r="AB67" s="49"/>
      <c r="AC67" s="49"/>
      <c r="AD67" s="49"/>
      <c r="AE67" s="49"/>
      <c r="AF67" s="49"/>
      <c r="AG67" s="49"/>
      <c r="AH67" s="49"/>
    </row>
    <row r="70" spans="1:34" x14ac:dyDescent="0.3">
      <c r="D70" t="str">
        <f>IF(C64="","",C64)</f>
        <v/>
      </c>
    </row>
  </sheetData>
  <conditionalFormatting sqref="U33:Y50">
    <cfRule type="dataBar" priority="5">
      <dataBar>
        <cfvo type="num" val="0"/>
        <cfvo type="formula" val="MAX($U$33:$Y$50)*2"/>
        <color rgb="FF638EC6"/>
      </dataBar>
      <extLst>
        <ext xmlns:x14="http://schemas.microsoft.com/office/spreadsheetml/2009/9/main" uri="{B025F937-C7B1-47D3-B67F-A62EFF666E3E}">
          <x14:id>{2B798D60-17FE-4A7C-BE2D-482EABA375DE}</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2B798D60-17FE-4A7C-BE2D-482EABA375DE}">
            <x14:dataBar minLength="0" maxLength="100" border="1" negativeBarBorderColorSameAsPositive="0">
              <x14:cfvo type="num">
                <xm:f>0</xm:f>
              </x14:cfvo>
              <x14:cfvo type="formula">
                <xm:f>MAX($U$33:$Y$50)*2</xm:f>
              </x14:cfvo>
              <x14:borderColor rgb="FF638EC6"/>
              <x14:negativeFillColor rgb="FFFF0000"/>
              <x14:negativeBorderColor rgb="FFFF0000"/>
              <x14:axisColor rgb="FF000000"/>
            </x14:dataBar>
          </x14:cfRule>
          <xm:sqref>U33:Y50</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BA750-0296-45D7-B703-0586376015DC}">
  <dimension ref="A1:K81"/>
  <sheetViews>
    <sheetView topLeftCell="A31" zoomScale="119" workbookViewId="0">
      <selection activeCell="F81" sqref="F81"/>
    </sheetView>
  </sheetViews>
  <sheetFormatPr defaultRowHeight="16.5" x14ac:dyDescent="0.3"/>
  <cols>
    <col min="1" max="1" width="13.125" bestFit="1" customWidth="1"/>
    <col min="2" max="2" width="11.375" bestFit="1" customWidth="1"/>
    <col min="3" max="3" width="12.375" bestFit="1" customWidth="1"/>
    <col min="4" max="4" width="11.375" bestFit="1" customWidth="1"/>
    <col min="5" max="5" width="7.75" bestFit="1" customWidth="1"/>
    <col min="6" max="6" width="6.875" bestFit="1" customWidth="1"/>
    <col min="7" max="7" width="13.125" bestFit="1" customWidth="1"/>
    <col min="8" max="8" width="11.375" bestFit="1" customWidth="1"/>
    <col min="9" max="9" width="11.75" bestFit="1" customWidth="1"/>
    <col min="10" max="10" width="13.125" bestFit="1" customWidth="1"/>
    <col min="11" max="11" width="11.375" bestFit="1" customWidth="1"/>
    <col min="12" max="13" width="11.75" bestFit="1" customWidth="1"/>
  </cols>
  <sheetData>
    <row r="1" spans="1:5" x14ac:dyDescent="0.3">
      <c r="A1" t="s">
        <v>1103</v>
      </c>
      <c r="B1" t="s">
        <v>1104</v>
      </c>
      <c r="C1" t="s">
        <v>1105</v>
      </c>
      <c r="D1" t="s">
        <v>1106</v>
      </c>
      <c r="E1" t="s">
        <v>1107</v>
      </c>
    </row>
    <row r="2" spans="1:5" x14ac:dyDescent="0.3">
      <c r="A2" s="50">
        <v>96623</v>
      </c>
      <c r="B2" s="48">
        <v>1000</v>
      </c>
      <c r="C2" s="48">
        <v>89850</v>
      </c>
      <c r="D2" s="41">
        <v>3.8854000000000033</v>
      </c>
      <c r="E2" s="48">
        <v>307</v>
      </c>
    </row>
    <row r="7" spans="1:5" x14ac:dyDescent="0.3">
      <c r="A7" t="s">
        <v>1103</v>
      </c>
      <c r="B7" t="s">
        <v>1104</v>
      </c>
      <c r="C7" t="s">
        <v>1105</v>
      </c>
      <c r="D7" t="s">
        <v>1106</v>
      </c>
      <c r="E7" t="s">
        <v>1107</v>
      </c>
    </row>
    <row r="8" spans="1:5" x14ac:dyDescent="0.3">
      <c r="A8" s="50">
        <v>20581</v>
      </c>
      <c r="B8" s="48">
        <v>218</v>
      </c>
      <c r="C8" s="48">
        <v>19300</v>
      </c>
      <c r="D8" s="41">
        <v>3.8706422018348627</v>
      </c>
      <c r="E8" s="48">
        <v>74</v>
      </c>
    </row>
    <row r="18" spans="1:8" x14ac:dyDescent="0.3">
      <c r="A18" s="38" t="s">
        <v>1062</v>
      </c>
      <c r="B18" t="s">
        <v>1104</v>
      </c>
      <c r="C18" t="s">
        <v>1109</v>
      </c>
    </row>
    <row r="19" spans="1:8" x14ac:dyDescent="0.3">
      <c r="A19" s="39" t="s">
        <v>1068</v>
      </c>
      <c r="B19" s="48">
        <v>19</v>
      </c>
      <c r="C19" s="48">
        <v>19</v>
      </c>
    </row>
    <row r="20" spans="1:8" x14ac:dyDescent="0.3">
      <c r="A20" s="39" t="s">
        <v>1069</v>
      </c>
      <c r="B20" s="48">
        <v>10</v>
      </c>
      <c r="C20" s="48">
        <v>10</v>
      </c>
    </row>
    <row r="21" spans="1:8" x14ac:dyDescent="0.3">
      <c r="A21" s="39" t="s">
        <v>1070</v>
      </c>
      <c r="B21" s="48">
        <v>40</v>
      </c>
      <c r="C21" s="48">
        <v>40</v>
      </c>
      <c r="G21" s="38" t="s">
        <v>1062</v>
      </c>
      <c r="H21" t="s">
        <v>1104</v>
      </c>
    </row>
    <row r="22" spans="1:8" x14ac:dyDescent="0.3">
      <c r="A22" s="39" t="s">
        <v>1071</v>
      </c>
      <c r="B22" s="48">
        <v>40</v>
      </c>
      <c r="C22" s="48">
        <v>40</v>
      </c>
      <c r="G22" s="39" t="s">
        <v>1087</v>
      </c>
      <c r="H22" s="48">
        <v>28</v>
      </c>
    </row>
    <row r="23" spans="1:8" x14ac:dyDescent="0.3">
      <c r="A23" s="39" t="s">
        <v>1072</v>
      </c>
      <c r="B23" s="48">
        <v>13</v>
      </c>
      <c r="C23" s="48">
        <v>13</v>
      </c>
      <c r="G23" s="39" t="s">
        <v>1088</v>
      </c>
      <c r="H23" s="48">
        <v>24</v>
      </c>
    </row>
    <row r="24" spans="1:8" x14ac:dyDescent="0.3">
      <c r="A24" s="39" t="s">
        <v>1073</v>
      </c>
      <c r="B24" s="48">
        <v>12</v>
      </c>
      <c r="C24" s="48">
        <v>12</v>
      </c>
      <c r="G24" s="39" t="s">
        <v>1089</v>
      </c>
      <c r="H24" s="48">
        <v>44</v>
      </c>
    </row>
    <row r="25" spans="1:8" x14ac:dyDescent="0.3">
      <c r="A25" s="39" t="s">
        <v>1074</v>
      </c>
      <c r="B25" s="48">
        <v>9</v>
      </c>
      <c r="C25" s="48">
        <v>9</v>
      </c>
      <c r="G25" s="39" t="s">
        <v>1090</v>
      </c>
      <c r="H25" s="48">
        <v>36</v>
      </c>
    </row>
    <row r="26" spans="1:8" x14ac:dyDescent="0.3">
      <c r="A26" s="39" t="s">
        <v>1075</v>
      </c>
      <c r="B26" s="48">
        <v>13</v>
      </c>
      <c r="C26" s="48">
        <v>13</v>
      </c>
      <c r="G26" s="39" t="s">
        <v>1091</v>
      </c>
      <c r="H26" s="48">
        <v>33</v>
      </c>
    </row>
    <row r="27" spans="1:8" x14ac:dyDescent="0.3">
      <c r="A27" s="39" t="s">
        <v>1076</v>
      </c>
      <c r="B27" s="48">
        <v>18</v>
      </c>
      <c r="C27" s="48">
        <v>18</v>
      </c>
      <c r="G27" s="39" t="s">
        <v>1092</v>
      </c>
      <c r="H27" s="48">
        <v>29</v>
      </c>
    </row>
    <row r="28" spans="1:8" x14ac:dyDescent="0.3">
      <c r="A28" s="39" t="s">
        <v>1077</v>
      </c>
      <c r="B28" s="48">
        <v>21</v>
      </c>
      <c r="C28" s="48">
        <v>21</v>
      </c>
      <c r="G28" s="39" t="s">
        <v>1093</v>
      </c>
      <c r="H28" s="48">
        <v>24</v>
      </c>
    </row>
    <row r="29" spans="1:8" x14ac:dyDescent="0.3">
      <c r="A29" s="39" t="s">
        <v>1078</v>
      </c>
      <c r="B29" s="48">
        <v>14</v>
      </c>
      <c r="C29" s="48">
        <v>14</v>
      </c>
      <c r="G29" s="39" t="s">
        <v>1063</v>
      </c>
      <c r="H29" s="48">
        <v>218</v>
      </c>
    </row>
    <row r="30" spans="1:8" x14ac:dyDescent="0.3">
      <c r="A30" s="39" t="s">
        <v>1079</v>
      </c>
      <c r="B30" s="48">
        <v>9</v>
      </c>
      <c r="C30" s="48">
        <v>9</v>
      </c>
    </row>
    <row r="31" spans="1:8" x14ac:dyDescent="0.3">
      <c r="A31" s="39" t="s">
        <v>1063</v>
      </c>
      <c r="B31" s="48">
        <v>218</v>
      </c>
      <c r="C31" s="48">
        <v>218</v>
      </c>
    </row>
    <row r="35" spans="1:11" x14ac:dyDescent="0.3">
      <c r="H35" t="s">
        <v>1113</v>
      </c>
      <c r="I35" t="str">
        <f>A49</f>
        <v>R02</v>
      </c>
    </row>
    <row r="36" spans="1:11" ht="17.25" x14ac:dyDescent="0.35">
      <c r="E36" s="51" t="s">
        <v>1110</v>
      </c>
    </row>
    <row r="37" spans="1:11" x14ac:dyDescent="0.3">
      <c r="H37" t="s">
        <v>1112</v>
      </c>
      <c r="I37" t="s">
        <v>1111</v>
      </c>
    </row>
    <row r="38" spans="1:11" x14ac:dyDescent="0.3">
      <c r="A38" s="38" t="s">
        <v>1062</v>
      </c>
      <c r="B38" t="s">
        <v>1104</v>
      </c>
      <c r="C38" t="s">
        <v>1103</v>
      </c>
      <c r="E38" t="str" cm="1">
        <f t="array" ref="E38:G42">A39:C43</f>
        <v>R01</v>
      </c>
      <c r="F38">
        <v>189</v>
      </c>
      <c r="G38" s="52">
        <v>18415</v>
      </c>
      <c r="H38" t="e">
        <f>IF(E38=$I$35,F38,NA())</f>
        <v>#N/A</v>
      </c>
      <c r="I38" t="e">
        <f>IF(E38=$I$35,G38,NA())</f>
        <v>#N/A</v>
      </c>
    </row>
    <row r="39" spans="1:11" x14ac:dyDescent="0.3">
      <c r="A39" s="39" t="s">
        <v>11</v>
      </c>
      <c r="B39" s="48">
        <v>189</v>
      </c>
      <c r="C39" s="50">
        <v>18415</v>
      </c>
      <c r="E39" t="str">
        <v>R02</v>
      </c>
      <c r="F39">
        <v>218</v>
      </c>
      <c r="G39" s="52">
        <v>20581</v>
      </c>
      <c r="H39">
        <f t="shared" ref="H39:H42" si="0">IF(E39=$I$35,F39,NA())</f>
        <v>218</v>
      </c>
      <c r="I39">
        <f t="shared" ref="I39:I42" si="1">IF(E39=$I$35,G39,NA())</f>
        <v>20581</v>
      </c>
    </row>
    <row r="40" spans="1:11" x14ac:dyDescent="0.3">
      <c r="A40" s="39" t="s">
        <v>9</v>
      </c>
      <c r="B40" s="48">
        <v>218</v>
      </c>
      <c r="C40" s="50">
        <v>20581</v>
      </c>
      <c r="E40" t="str">
        <v>R03</v>
      </c>
      <c r="F40">
        <v>207</v>
      </c>
      <c r="G40" s="52">
        <v>20872</v>
      </c>
      <c r="H40" t="e">
        <f t="shared" si="0"/>
        <v>#N/A</v>
      </c>
      <c r="I40" t="e">
        <f t="shared" si="1"/>
        <v>#N/A</v>
      </c>
    </row>
    <row r="41" spans="1:11" x14ac:dyDescent="0.3">
      <c r="A41" s="39" t="s">
        <v>6</v>
      </c>
      <c r="B41" s="48">
        <v>207</v>
      </c>
      <c r="C41" s="50">
        <v>20872</v>
      </c>
      <c r="E41" t="str">
        <v>R04</v>
      </c>
      <c r="F41">
        <v>186</v>
      </c>
      <c r="G41" s="52">
        <v>16651</v>
      </c>
      <c r="H41" t="e">
        <f t="shared" si="0"/>
        <v>#N/A</v>
      </c>
      <c r="I41" t="e">
        <f t="shared" si="1"/>
        <v>#N/A</v>
      </c>
    </row>
    <row r="42" spans="1:11" x14ac:dyDescent="0.3">
      <c r="A42" s="39" t="s">
        <v>13</v>
      </c>
      <c r="B42" s="48">
        <v>186</v>
      </c>
      <c r="C42" s="50">
        <v>16651</v>
      </c>
      <c r="E42" t="str">
        <v>R05</v>
      </c>
      <c r="F42">
        <v>200</v>
      </c>
      <c r="G42" s="52">
        <v>20104</v>
      </c>
      <c r="H42" t="e">
        <f t="shared" si="0"/>
        <v>#N/A</v>
      </c>
      <c r="I42" t="e">
        <f t="shared" si="1"/>
        <v>#N/A</v>
      </c>
    </row>
    <row r="43" spans="1:11" x14ac:dyDescent="0.3">
      <c r="A43" s="39" t="s">
        <v>10</v>
      </c>
      <c r="B43" s="48">
        <v>200</v>
      </c>
      <c r="C43" s="50">
        <v>20104</v>
      </c>
    </row>
    <row r="44" spans="1:11" x14ac:dyDescent="0.3">
      <c r="A44" s="39" t="s">
        <v>1063</v>
      </c>
      <c r="B44" s="48">
        <v>1000</v>
      </c>
      <c r="C44" s="50">
        <v>96623</v>
      </c>
    </row>
    <row r="47" spans="1:11" x14ac:dyDescent="0.3">
      <c r="D47" s="38" t="s">
        <v>1104</v>
      </c>
      <c r="E47" s="38" t="s">
        <v>1064</v>
      </c>
    </row>
    <row r="48" spans="1:11" x14ac:dyDescent="0.3">
      <c r="A48" s="38" t="s">
        <v>1062</v>
      </c>
      <c r="D48" s="38" t="s">
        <v>1062</v>
      </c>
      <c r="E48" t="s">
        <v>999</v>
      </c>
      <c r="F48" t="s">
        <v>998</v>
      </c>
      <c r="G48" t="s">
        <v>1063</v>
      </c>
      <c r="J48" s="38" t="s">
        <v>1062</v>
      </c>
      <c r="K48" t="s">
        <v>1104</v>
      </c>
    </row>
    <row r="49" spans="1:11" x14ac:dyDescent="0.3">
      <c r="A49" s="39" t="s">
        <v>9</v>
      </c>
      <c r="D49" s="39" t="s">
        <v>1002</v>
      </c>
      <c r="E49" s="48">
        <v>144</v>
      </c>
      <c r="F49" s="48">
        <v>132</v>
      </c>
      <c r="G49" s="48">
        <v>276</v>
      </c>
      <c r="J49" s="39">
        <v>1</v>
      </c>
      <c r="K49" s="48">
        <v>3</v>
      </c>
    </row>
    <row r="50" spans="1:11" x14ac:dyDescent="0.3">
      <c r="D50" s="39" t="s">
        <v>1001</v>
      </c>
      <c r="E50" s="48">
        <v>326</v>
      </c>
      <c r="F50" s="48">
        <v>63</v>
      </c>
      <c r="G50" s="48">
        <v>389</v>
      </c>
      <c r="J50" s="39">
        <v>2</v>
      </c>
      <c r="K50" s="48">
        <v>19</v>
      </c>
    </row>
    <row r="51" spans="1:11" x14ac:dyDescent="0.3">
      <c r="D51" s="39" t="s">
        <v>1000</v>
      </c>
      <c r="E51" s="48">
        <v>129</v>
      </c>
      <c r="F51" s="48">
        <v>206</v>
      </c>
      <c r="G51" s="48">
        <v>335</v>
      </c>
      <c r="J51" s="39">
        <v>3</v>
      </c>
      <c r="K51" s="48">
        <v>35</v>
      </c>
    </row>
    <row r="52" spans="1:11" x14ac:dyDescent="0.3">
      <c r="D52" s="39" t="s">
        <v>1063</v>
      </c>
      <c r="E52" s="48">
        <v>599</v>
      </c>
      <c r="F52" s="48">
        <v>401</v>
      </c>
      <c r="G52" s="48">
        <v>1000</v>
      </c>
      <c r="J52" s="39">
        <v>4</v>
      </c>
      <c r="K52" s="48">
        <v>87</v>
      </c>
    </row>
    <row r="53" spans="1:11" x14ac:dyDescent="0.3">
      <c r="J53" s="39">
        <v>5</v>
      </c>
      <c r="K53" s="48">
        <v>74</v>
      </c>
    </row>
    <row r="54" spans="1:11" x14ac:dyDescent="0.3">
      <c r="J54" s="39" t="s">
        <v>1063</v>
      </c>
      <c r="K54" s="48">
        <v>218</v>
      </c>
    </row>
    <row r="59" spans="1:11" x14ac:dyDescent="0.3">
      <c r="C59" s="38" t="s">
        <v>1103</v>
      </c>
      <c r="D59" s="38" t="s">
        <v>1064</v>
      </c>
    </row>
    <row r="60" spans="1:11" x14ac:dyDescent="0.3">
      <c r="C60" s="38" t="s">
        <v>1062</v>
      </c>
      <c r="D60" t="s">
        <v>11</v>
      </c>
      <c r="E60" t="s">
        <v>9</v>
      </c>
      <c r="F60" t="s">
        <v>6</v>
      </c>
      <c r="G60" t="s">
        <v>13</v>
      </c>
      <c r="H60" t="s">
        <v>10</v>
      </c>
      <c r="I60" t="s">
        <v>1063</v>
      </c>
    </row>
    <row r="61" spans="1:11" x14ac:dyDescent="0.3">
      <c r="C61" s="39" t="s">
        <v>1002</v>
      </c>
      <c r="D61" s="53"/>
      <c r="E61" s="53"/>
      <c r="F61" s="53"/>
      <c r="G61" s="53"/>
      <c r="H61" s="53"/>
      <c r="I61" s="53"/>
    </row>
    <row r="62" spans="1:11" x14ac:dyDescent="0.3">
      <c r="C62" s="40" t="s">
        <v>20</v>
      </c>
      <c r="D62" s="50">
        <v>891</v>
      </c>
      <c r="E62" s="50">
        <v>1332</v>
      </c>
      <c r="F62" s="50">
        <v>1282</v>
      </c>
      <c r="G62" s="50">
        <v>739</v>
      </c>
      <c r="H62" s="50">
        <v>560</v>
      </c>
      <c r="I62" s="50">
        <v>4804</v>
      </c>
    </row>
    <row r="63" spans="1:11" x14ac:dyDescent="0.3">
      <c r="C63" s="40" t="s">
        <v>12</v>
      </c>
      <c r="D63" s="50">
        <v>1991</v>
      </c>
      <c r="E63" s="50">
        <v>1886</v>
      </c>
      <c r="F63" s="50">
        <v>1206</v>
      </c>
      <c r="G63" s="50">
        <v>884</v>
      </c>
      <c r="H63" s="50">
        <v>1722</v>
      </c>
      <c r="I63" s="50">
        <v>7689</v>
      </c>
    </row>
    <row r="64" spans="1:11" x14ac:dyDescent="0.3">
      <c r="C64" s="40" t="s">
        <v>8</v>
      </c>
      <c r="D64" s="50">
        <v>1163</v>
      </c>
      <c r="E64" s="50">
        <v>1180</v>
      </c>
      <c r="F64" s="50">
        <v>1616</v>
      </c>
      <c r="G64" s="50">
        <v>1043</v>
      </c>
      <c r="H64" s="50">
        <v>1747</v>
      </c>
      <c r="I64" s="50">
        <v>6749</v>
      </c>
    </row>
    <row r="65" spans="3:9" x14ac:dyDescent="0.3">
      <c r="C65" s="40" t="s">
        <v>16</v>
      </c>
      <c r="D65" s="50">
        <v>1438</v>
      </c>
      <c r="E65" s="50">
        <v>1616</v>
      </c>
      <c r="F65" s="50">
        <v>866</v>
      </c>
      <c r="G65" s="50">
        <v>829</v>
      </c>
      <c r="H65" s="50">
        <v>2070</v>
      </c>
      <c r="I65" s="50">
        <v>6819</v>
      </c>
    </row>
    <row r="66" spans="3:9" x14ac:dyDescent="0.3">
      <c r="C66" s="39" t="s">
        <v>1001</v>
      </c>
      <c r="D66" s="53"/>
      <c r="E66" s="53"/>
      <c r="F66" s="53"/>
      <c r="G66" s="53"/>
      <c r="H66" s="53"/>
      <c r="I66" s="53"/>
    </row>
    <row r="67" spans="3:9" x14ac:dyDescent="0.3">
      <c r="C67" s="40" t="s">
        <v>24</v>
      </c>
      <c r="D67" s="50">
        <v>1233</v>
      </c>
      <c r="E67" s="50">
        <v>223</v>
      </c>
      <c r="F67" s="50">
        <v>1680</v>
      </c>
      <c r="G67" s="50">
        <v>990</v>
      </c>
      <c r="H67" s="50">
        <v>1508</v>
      </c>
      <c r="I67" s="50">
        <v>5634</v>
      </c>
    </row>
    <row r="68" spans="3:9" x14ac:dyDescent="0.3">
      <c r="C68" s="40" t="s">
        <v>15</v>
      </c>
      <c r="D68" s="50">
        <v>1598</v>
      </c>
      <c r="E68" s="50">
        <v>1907</v>
      </c>
      <c r="F68" s="50">
        <v>869</v>
      </c>
      <c r="G68" s="50">
        <v>1426</v>
      </c>
      <c r="H68" s="50">
        <v>1416</v>
      </c>
      <c r="I68" s="50">
        <v>7216</v>
      </c>
    </row>
    <row r="69" spans="3:9" x14ac:dyDescent="0.3">
      <c r="C69" s="40" t="s">
        <v>5</v>
      </c>
      <c r="D69" s="50">
        <v>900</v>
      </c>
      <c r="E69" s="50">
        <v>1016</v>
      </c>
      <c r="F69" s="50">
        <v>960</v>
      </c>
      <c r="G69" s="50">
        <v>940</v>
      </c>
      <c r="H69" s="50">
        <v>1193</v>
      </c>
      <c r="I69" s="50">
        <v>5009</v>
      </c>
    </row>
    <row r="70" spans="3:9" x14ac:dyDescent="0.3">
      <c r="C70" s="40" t="s">
        <v>18</v>
      </c>
      <c r="D70" s="50">
        <v>900</v>
      </c>
      <c r="E70" s="50">
        <v>1470</v>
      </c>
      <c r="F70" s="50">
        <v>1617</v>
      </c>
      <c r="G70" s="50">
        <v>1314</v>
      </c>
      <c r="H70" s="50">
        <v>941</v>
      </c>
      <c r="I70" s="50">
        <v>6242</v>
      </c>
    </row>
    <row r="71" spans="3:9" x14ac:dyDescent="0.3">
      <c r="C71" s="40" t="s">
        <v>14</v>
      </c>
      <c r="D71" s="50">
        <v>1255</v>
      </c>
      <c r="E71" s="50">
        <v>516</v>
      </c>
      <c r="F71" s="50">
        <v>1874</v>
      </c>
      <c r="G71" s="50">
        <v>1863</v>
      </c>
      <c r="H71" s="50">
        <v>1722</v>
      </c>
      <c r="I71" s="50">
        <v>7230</v>
      </c>
    </row>
    <row r="72" spans="3:9" x14ac:dyDescent="0.3">
      <c r="C72" s="40" t="s">
        <v>19</v>
      </c>
      <c r="D72" s="50">
        <v>1138</v>
      </c>
      <c r="E72" s="50">
        <v>1898</v>
      </c>
      <c r="F72" s="50">
        <v>1482</v>
      </c>
      <c r="G72" s="50">
        <v>846</v>
      </c>
      <c r="H72" s="50">
        <v>1154</v>
      </c>
      <c r="I72" s="50">
        <v>6518</v>
      </c>
    </row>
    <row r="73" spans="3:9" x14ac:dyDescent="0.3">
      <c r="C73" s="39" t="s">
        <v>1000</v>
      </c>
      <c r="D73" s="53"/>
      <c r="E73" s="53"/>
      <c r="F73" s="53"/>
      <c r="G73" s="53"/>
      <c r="H73" s="53"/>
      <c r="I73" s="53"/>
    </row>
    <row r="74" spans="3:9" x14ac:dyDescent="0.3">
      <c r="C74" s="40" t="s">
        <v>17</v>
      </c>
      <c r="D74" s="50">
        <v>1655</v>
      </c>
      <c r="E74" s="50">
        <v>805</v>
      </c>
      <c r="F74" s="50">
        <v>2263</v>
      </c>
      <c r="G74" s="50">
        <v>987</v>
      </c>
      <c r="H74" s="50">
        <v>1075</v>
      </c>
      <c r="I74" s="50">
        <v>6785</v>
      </c>
    </row>
    <row r="75" spans="3:9" x14ac:dyDescent="0.3">
      <c r="C75" s="40" t="s">
        <v>23</v>
      </c>
      <c r="D75" s="50">
        <v>1104</v>
      </c>
      <c r="E75" s="50">
        <v>2280</v>
      </c>
      <c r="F75" s="50">
        <v>1445</v>
      </c>
      <c r="G75" s="50">
        <v>1722</v>
      </c>
      <c r="H75" s="50">
        <v>1196</v>
      </c>
      <c r="I75" s="50">
        <v>7747</v>
      </c>
    </row>
    <row r="76" spans="3:9" x14ac:dyDescent="0.3">
      <c r="C76" s="40" t="s">
        <v>7</v>
      </c>
      <c r="D76" s="50">
        <v>372</v>
      </c>
      <c r="E76" s="50">
        <v>1818</v>
      </c>
      <c r="F76" s="50">
        <v>1346</v>
      </c>
      <c r="G76" s="50">
        <v>1156</v>
      </c>
      <c r="H76" s="50">
        <v>1484</v>
      </c>
      <c r="I76" s="50">
        <v>6176</v>
      </c>
    </row>
    <row r="77" spans="3:9" x14ac:dyDescent="0.3">
      <c r="C77" s="40" t="s">
        <v>22</v>
      </c>
      <c r="D77" s="50">
        <v>1415</v>
      </c>
      <c r="E77" s="50">
        <v>1271</v>
      </c>
      <c r="F77" s="50">
        <v>1214</v>
      </c>
      <c r="G77" s="50">
        <v>1135</v>
      </c>
      <c r="H77" s="50">
        <v>1566</v>
      </c>
      <c r="I77" s="50">
        <v>6601</v>
      </c>
    </row>
    <row r="78" spans="3:9" x14ac:dyDescent="0.3">
      <c r="C78" s="40" t="s">
        <v>21</v>
      </c>
      <c r="D78" s="50">
        <v>1362</v>
      </c>
      <c r="E78" s="50">
        <v>1363</v>
      </c>
      <c r="F78" s="50">
        <v>1152</v>
      </c>
      <c r="G78" s="50">
        <v>777</v>
      </c>
      <c r="H78" s="50">
        <v>750</v>
      </c>
      <c r="I78" s="50">
        <v>5404</v>
      </c>
    </row>
    <row r="81" spans="6:6" x14ac:dyDescent="0.3">
      <c r="F81" t="str">
        <f>IF(C60="","",C60)</f>
        <v>Row Labels</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BFBAA-055C-4AF0-9534-14E4E5BAF6AD}">
  <dimension ref="A2:L27"/>
  <sheetViews>
    <sheetView workbookViewId="0">
      <selection activeCell="C3" sqref="A3:C21"/>
    </sheetView>
  </sheetViews>
  <sheetFormatPr defaultRowHeight="16.5" x14ac:dyDescent="0.3"/>
  <cols>
    <col min="1" max="1" width="13.125" bestFit="1" customWidth="1"/>
    <col min="2" max="2" width="20.375" bestFit="1" customWidth="1"/>
    <col min="3" max="3" width="22.875" customWidth="1"/>
    <col min="4" max="5" width="9.125" customWidth="1"/>
    <col min="6" max="6" width="13.125" bestFit="1" customWidth="1"/>
    <col min="7" max="7" width="27.875" bestFit="1" customWidth="1"/>
    <col min="8" max="8" width="9.125" customWidth="1"/>
    <col min="9" max="9" width="12.625" customWidth="1"/>
    <col min="10" max="10" width="23.75" customWidth="1"/>
    <col min="11" max="11" width="12.625" customWidth="1"/>
    <col min="12" max="12" width="11.875" customWidth="1"/>
    <col min="13" max="13" width="6.25" customWidth="1"/>
    <col min="14" max="24" width="6.25" bestFit="1" customWidth="1"/>
    <col min="25" max="25" width="10.875" bestFit="1" customWidth="1"/>
    <col min="26" max="31" width="3.875" bestFit="1" customWidth="1"/>
    <col min="32" max="32" width="1.875" bestFit="1" customWidth="1"/>
    <col min="33" max="41" width="3.875" bestFit="1" customWidth="1"/>
    <col min="42" max="42" width="1.875" bestFit="1" customWidth="1"/>
    <col min="43" max="51" width="3.875" bestFit="1" customWidth="1"/>
    <col min="52" max="52" width="1.875" bestFit="1" customWidth="1"/>
    <col min="53" max="53" width="10.875" bestFit="1" customWidth="1"/>
    <col min="54" max="1001" width="9.125" bestFit="1" customWidth="1"/>
    <col min="1002" max="1002" width="10.875" bestFit="1" customWidth="1"/>
  </cols>
  <sheetData>
    <row r="2" spans="1:12" ht="17.25" x14ac:dyDescent="0.35">
      <c r="A2" s="37" t="s">
        <v>1038</v>
      </c>
    </row>
    <row r="3" spans="1:12" x14ac:dyDescent="0.3">
      <c r="A3" s="38" t="s">
        <v>1062</v>
      </c>
      <c r="B3" t="s">
        <v>1065</v>
      </c>
    </row>
    <row r="4" spans="1:12" ht="17.25" x14ac:dyDescent="0.35">
      <c r="A4" s="39" t="s">
        <v>17</v>
      </c>
      <c r="B4" s="53">
        <v>65</v>
      </c>
      <c r="F4" s="37" t="s">
        <v>1039</v>
      </c>
      <c r="K4" s="37" t="s">
        <v>1043</v>
      </c>
    </row>
    <row r="5" spans="1:12" x14ac:dyDescent="0.3">
      <c r="A5" s="39" t="s">
        <v>24</v>
      </c>
      <c r="B5" s="53">
        <v>63</v>
      </c>
    </row>
    <row r="6" spans="1:12" ht="51.75" x14ac:dyDescent="0.35">
      <c r="A6" s="39" t="s">
        <v>20</v>
      </c>
      <c r="B6" s="53">
        <v>50</v>
      </c>
      <c r="F6" s="38" t="s">
        <v>1062</v>
      </c>
      <c r="G6" t="s">
        <v>1066</v>
      </c>
      <c r="K6" s="38" t="s">
        <v>1062</v>
      </c>
      <c r="L6" s="43" t="s">
        <v>1067</v>
      </c>
    </row>
    <row r="7" spans="1:12" x14ac:dyDescent="0.3">
      <c r="A7" s="39" t="s">
        <v>12</v>
      </c>
      <c r="B7" s="53">
        <v>82</v>
      </c>
      <c r="F7" s="39" t="s">
        <v>17</v>
      </c>
      <c r="G7" s="41">
        <v>3.8307692307692309</v>
      </c>
      <c r="K7" s="39" t="s">
        <v>23</v>
      </c>
      <c r="L7" s="42">
        <v>7747</v>
      </c>
    </row>
    <row r="8" spans="1:12" x14ac:dyDescent="0.3">
      <c r="A8" s="39" t="s">
        <v>23</v>
      </c>
      <c r="B8" s="53">
        <v>79</v>
      </c>
      <c r="F8" s="39" t="s">
        <v>24</v>
      </c>
      <c r="G8" s="41">
        <v>4.0730158730158736</v>
      </c>
      <c r="K8" s="39" t="s">
        <v>12</v>
      </c>
      <c r="L8" s="42">
        <v>7689</v>
      </c>
    </row>
    <row r="9" spans="1:12" x14ac:dyDescent="0.3">
      <c r="A9" s="39" t="s">
        <v>7</v>
      </c>
      <c r="B9" s="53">
        <v>62</v>
      </c>
      <c r="F9" s="39" t="s">
        <v>20</v>
      </c>
      <c r="G9" s="41">
        <v>4.0179999999999998</v>
      </c>
      <c r="K9" s="39" t="s">
        <v>14</v>
      </c>
      <c r="L9" s="42">
        <v>7230</v>
      </c>
    </row>
    <row r="10" spans="1:12" x14ac:dyDescent="0.3">
      <c r="A10" s="39" t="s">
        <v>15</v>
      </c>
      <c r="B10" s="53">
        <v>67</v>
      </c>
      <c r="F10" s="39" t="s">
        <v>12</v>
      </c>
      <c r="G10" s="41">
        <v>3.976829268292684</v>
      </c>
      <c r="K10" s="39" t="s">
        <v>15</v>
      </c>
      <c r="L10" s="42">
        <v>7216</v>
      </c>
    </row>
    <row r="11" spans="1:12" x14ac:dyDescent="0.3">
      <c r="A11" s="39" t="s">
        <v>5</v>
      </c>
      <c r="B11" s="53">
        <v>59</v>
      </c>
      <c r="F11" s="39" t="s">
        <v>23</v>
      </c>
      <c r="G11" s="41">
        <v>3.9797468354430396</v>
      </c>
      <c r="K11" s="39" t="s">
        <v>16</v>
      </c>
      <c r="L11" s="42">
        <v>6819</v>
      </c>
    </row>
    <row r="12" spans="1:12" x14ac:dyDescent="0.3">
      <c r="A12" s="39" t="s">
        <v>22</v>
      </c>
      <c r="B12" s="53">
        <v>69</v>
      </c>
      <c r="F12" s="39" t="s">
        <v>7</v>
      </c>
      <c r="G12" s="41">
        <v>3.7774193548387092</v>
      </c>
      <c r="K12" s="39" t="s">
        <v>17</v>
      </c>
      <c r="L12" s="42">
        <v>6785</v>
      </c>
    </row>
    <row r="13" spans="1:12" x14ac:dyDescent="0.3">
      <c r="A13" s="39" t="s">
        <v>18</v>
      </c>
      <c r="B13" s="53">
        <v>72</v>
      </c>
      <c r="F13" s="39" t="s">
        <v>15</v>
      </c>
      <c r="G13" s="41">
        <v>3.8522388059701487</v>
      </c>
      <c r="K13" s="39" t="s">
        <v>8</v>
      </c>
      <c r="L13" s="42">
        <v>6749</v>
      </c>
    </row>
    <row r="14" spans="1:12" x14ac:dyDescent="0.3">
      <c r="A14" s="39" t="s">
        <v>8</v>
      </c>
      <c r="B14" s="53">
        <v>74</v>
      </c>
      <c r="F14" s="39" t="s">
        <v>5</v>
      </c>
      <c r="G14" s="41">
        <v>3.901694915254236</v>
      </c>
      <c r="K14" s="39" t="s">
        <v>22</v>
      </c>
      <c r="L14" s="42">
        <v>6601</v>
      </c>
    </row>
    <row r="15" spans="1:12" x14ac:dyDescent="0.3">
      <c r="A15" s="39" t="s">
        <v>16</v>
      </c>
      <c r="B15" s="53">
        <v>70</v>
      </c>
      <c r="F15" s="39" t="s">
        <v>22</v>
      </c>
      <c r="G15" s="41">
        <v>3.62608695652174</v>
      </c>
      <c r="K15" s="39" t="s">
        <v>19</v>
      </c>
      <c r="L15" s="42">
        <v>6518</v>
      </c>
    </row>
    <row r="16" spans="1:12" x14ac:dyDescent="0.3">
      <c r="A16" s="39" t="s">
        <v>14</v>
      </c>
      <c r="B16" s="53">
        <v>69</v>
      </c>
      <c r="F16" s="39" t="s">
        <v>18</v>
      </c>
      <c r="G16" s="41">
        <v>3.863888888888888</v>
      </c>
      <c r="K16" s="39" t="s">
        <v>18</v>
      </c>
      <c r="L16" s="42">
        <v>6242</v>
      </c>
    </row>
    <row r="17" spans="1:12" x14ac:dyDescent="0.3">
      <c r="A17" s="39" t="s">
        <v>21</v>
      </c>
      <c r="B17" s="53">
        <v>60</v>
      </c>
      <c r="F17" s="39" t="s">
        <v>8</v>
      </c>
      <c r="G17" s="41">
        <v>3.9837837837837853</v>
      </c>
      <c r="K17" s="39" t="s">
        <v>1063</v>
      </c>
      <c r="L17" s="42">
        <v>69596</v>
      </c>
    </row>
    <row r="18" spans="1:12" x14ac:dyDescent="0.3">
      <c r="A18" s="39" t="s">
        <v>19</v>
      </c>
      <c r="B18" s="53">
        <v>59</v>
      </c>
      <c r="F18" s="39" t="s">
        <v>16</v>
      </c>
      <c r="G18" s="41">
        <v>4.1300000000000008</v>
      </c>
    </row>
    <row r="19" spans="1:12" x14ac:dyDescent="0.3">
      <c r="A19" s="39" t="s">
        <v>1063</v>
      </c>
      <c r="B19" s="53">
        <v>1000</v>
      </c>
      <c r="F19" s="39" t="s">
        <v>14</v>
      </c>
      <c r="G19" s="41">
        <v>3.7753623188405814</v>
      </c>
    </row>
    <row r="20" spans="1:12" x14ac:dyDescent="0.3">
      <c r="F20" s="39" t="s">
        <v>21</v>
      </c>
      <c r="G20" s="41">
        <v>3.609999999999999</v>
      </c>
    </row>
    <row r="21" spans="1:12" x14ac:dyDescent="0.3">
      <c r="F21" s="39" t="s">
        <v>19</v>
      </c>
      <c r="G21" s="41">
        <v>3.8389830508474563</v>
      </c>
    </row>
    <row r="22" spans="1:12" x14ac:dyDescent="0.3">
      <c r="F22" s="39" t="s">
        <v>1063</v>
      </c>
      <c r="G22" s="41">
        <v>3.8854000000000029</v>
      </c>
    </row>
    <row r="27" spans="1:12" ht="17.25" x14ac:dyDescent="0.35">
      <c r="B27" s="37"/>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8D2E0-88FC-4838-B5BD-3A9BE41282FF}">
  <dimension ref="A1:J26"/>
  <sheetViews>
    <sheetView topLeftCell="A5" workbookViewId="0">
      <selection activeCell="N26" sqref="N26"/>
    </sheetView>
  </sheetViews>
  <sheetFormatPr defaultRowHeight="16.5" x14ac:dyDescent="0.3"/>
  <cols>
    <col min="1" max="1" width="12.625" customWidth="1"/>
    <col min="2" max="2" width="22.875" customWidth="1"/>
    <col min="9" max="9" width="13.125" bestFit="1" customWidth="1"/>
    <col min="10" max="10" width="23.75" bestFit="1" customWidth="1"/>
  </cols>
  <sheetData>
    <row r="1" spans="1:10" ht="18" x14ac:dyDescent="0.35">
      <c r="A1" s="44" t="s">
        <v>1045</v>
      </c>
    </row>
    <row r="8" spans="1:10" x14ac:dyDescent="0.3">
      <c r="A8" s="38" t="s">
        <v>3</v>
      </c>
      <c r="B8" t="s">
        <v>9</v>
      </c>
    </row>
    <row r="10" spans="1:10" x14ac:dyDescent="0.3">
      <c r="A10" s="38" t="s">
        <v>1062</v>
      </c>
      <c r="B10" t="s">
        <v>1067</v>
      </c>
    </row>
    <row r="11" spans="1:10" x14ac:dyDescent="0.3">
      <c r="A11" s="39" t="s">
        <v>17</v>
      </c>
      <c r="B11" s="45">
        <v>805</v>
      </c>
    </row>
    <row r="12" spans="1:10" x14ac:dyDescent="0.3">
      <c r="A12" s="39" t="s">
        <v>24</v>
      </c>
      <c r="B12" s="45">
        <v>223</v>
      </c>
    </row>
    <row r="13" spans="1:10" x14ac:dyDescent="0.3">
      <c r="A13" s="39" t="s">
        <v>20</v>
      </c>
      <c r="B13" s="45">
        <v>1332</v>
      </c>
      <c r="I13" s="38" t="s">
        <v>1062</v>
      </c>
      <c r="J13" t="s">
        <v>1067</v>
      </c>
    </row>
    <row r="14" spans="1:10" x14ac:dyDescent="0.3">
      <c r="A14" s="39" t="s">
        <v>12</v>
      </c>
      <c r="B14" s="45">
        <v>1886</v>
      </c>
      <c r="I14" s="39" t="s">
        <v>17</v>
      </c>
      <c r="J14" s="45">
        <v>2263</v>
      </c>
    </row>
    <row r="15" spans="1:10" x14ac:dyDescent="0.3">
      <c r="A15" s="39" t="s">
        <v>23</v>
      </c>
      <c r="B15" s="45">
        <v>2280</v>
      </c>
      <c r="I15" s="39" t="s">
        <v>14</v>
      </c>
      <c r="J15" s="45">
        <v>1874</v>
      </c>
    </row>
    <row r="16" spans="1:10" x14ac:dyDescent="0.3">
      <c r="A16" s="39" t="s">
        <v>7</v>
      </c>
      <c r="B16" s="45">
        <v>1818</v>
      </c>
      <c r="I16" s="39" t="s">
        <v>24</v>
      </c>
      <c r="J16" s="45">
        <v>1680</v>
      </c>
    </row>
    <row r="17" spans="1:10" x14ac:dyDescent="0.3">
      <c r="A17" s="39" t="s">
        <v>15</v>
      </c>
      <c r="B17" s="45">
        <v>1907</v>
      </c>
      <c r="I17" s="39" t="s">
        <v>18</v>
      </c>
      <c r="J17" s="45">
        <v>1617</v>
      </c>
    </row>
    <row r="18" spans="1:10" x14ac:dyDescent="0.3">
      <c r="A18" s="39" t="s">
        <v>5</v>
      </c>
      <c r="B18" s="45">
        <v>1016</v>
      </c>
      <c r="I18" s="39" t="s">
        <v>8</v>
      </c>
      <c r="J18" s="45">
        <v>1616</v>
      </c>
    </row>
    <row r="19" spans="1:10" x14ac:dyDescent="0.3">
      <c r="A19" s="39" t="s">
        <v>22</v>
      </c>
      <c r="B19" s="45">
        <v>1271</v>
      </c>
      <c r="I19" s="39" t="s">
        <v>19</v>
      </c>
      <c r="J19" s="45">
        <v>1482</v>
      </c>
    </row>
    <row r="20" spans="1:10" x14ac:dyDescent="0.3">
      <c r="A20" s="39" t="s">
        <v>18</v>
      </c>
      <c r="B20" s="45">
        <v>1470</v>
      </c>
      <c r="I20" s="39" t="s">
        <v>23</v>
      </c>
      <c r="J20" s="45">
        <v>1445</v>
      </c>
    </row>
    <row r="21" spans="1:10" x14ac:dyDescent="0.3">
      <c r="A21" s="39" t="s">
        <v>8</v>
      </c>
      <c r="B21" s="45">
        <v>1180</v>
      </c>
      <c r="I21" s="39" t="s">
        <v>7</v>
      </c>
      <c r="J21" s="45">
        <v>1346</v>
      </c>
    </row>
    <row r="22" spans="1:10" x14ac:dyDescent="0.3">
      <c r="A22" s="39" t="s">
        <v>16</v>
      </c>
      <c r="B22" s="45">
        <v>1616</v>
      </c>
      <c r="I22" s="39" t="s">
        <v>20</v>
      </c>
      <c r="J22" s="45">
        <v>1282</v>
      </c>
    </row>
    <row r="23" spans="1:10" x14ac:dyDescent="0.3">
      <c r="A23" s="39" t="s">
        <v>14</v>
      </c>
      <c r="B23" s="45">
        <v>516</v>
      </c>
      <c r="I23" s="39" t="s">
        <v>22</v>
      </c>
      <c r="J23" s="45">
        <v>1214</v>
      </c>
    </row>
    <row r="24" spans="1:10" x14ac:dyDescent="0.3">
      <c r="A24" s="39" t="s">
        <v>21</v>
      </c>
      <c r="B24" s="45">
        <v>1363</v>
      </c>
      <c r="I24" s="39" t="s">
        <v>1063</v>
      </c>
      <c r="J24" s="45">
        <v>15819</v>
      </c>
    </row>
    <row r="25" spans="1:10" x14ac:dyDescent="0.3">
      <c r="A25" s="39" t="s">
        <v>19</v>
      </c>
      <c r="B25" s="45">
        <v>1898</v>
      </c>
    </row>
    <row r="26" spans="1:10" x14ac:dyDescent="0.3">
      <c r="A26" s="39" t="s">
        <v>1063</v>
      </c>
      <c r="B26" s="45">
        <v>20581</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E2AA0-AC95-4B96-A583-8D1BC2860F34}">
  <dimension ref="B2:C12"/>
  <sheetViews>
    <sheetView topLeftCell="B2" workbookViewId="0">
      <selection activeCell="B5" sqref="B5"/>
    </sheetView>
  </sheetViews>
  <sheetFormatPr defaultRowHeight="16.5" x14ac:dyDescent="0.3"/>
  <cols>
    <col min="2" max="2" width="17.5" bestFit="1" customWidth="1"/>
    <col min="3" max="3" width="20.375" bestFit="1" customWidth="1"/>
  </cols>
  <sheetData>
    <row r="2" spans="2:3" ht="18" x14ac:dyDescent="0.35">
      <c r="B2" s="44" t="s">
        <v>1047</v>
      </c>
    </row>
    <row r="4" spans="2:3" ht="17.25" x14ac:dyDescent="0.35">
      <c r="B4" t="s">
        <v>1100</v>
      </c>
    </row>
    <row r="6" spans="2:3" x14ac:dyDescent="0.3">
      <c r="B6" s="38" t="s">
        <v>1062</v>
      </c>
      <c r="C6" t="s">
        <v>1065</v>
      </c>
    </row>
    <row r="7" spans="2:3" x14ac:dyDescent="0.3">
      <c r="B7" s="39" t="s">
        <v>1095</v>
      </c>
      <c r="C7" s="53">
        <v>524</v>
      </c>
    </row>
    <row r="8" spans="2:3" x14ac:dyDescent="0.3">
      <c r="B8" s="39" t="s">
        <v>1096</v>
      </c>
      <c r="C8" s="53">
        <v>52</v>
      </c>
    </row>
    <row r="9" spans="2:3" x14ac:dyDescent="0.3">
      <c r="B9" s="39" t="s">
        <v>1097</v>
      </c>
      <c r="C9" s="53">
        <v>179</v>
      </c>
    </row>
    <row r="10" spans="2:3" x14ac:dyDescent="0.3">
      <c r="B10" s="39" t="s">
        <v>1098</v>
      </c>
      <c r="C10" s="53">
        <v>237</v>
      </c>
    </row>
    <row r="11" spans="2:3" x14ac:dyDescent="0.3">
      <c r="B11" s="39" t="s">
        <v>1099</v>
      </c>
      <c r="C11" s="53">
        <v>8</v>
      </c>
    </row>
    <row r="12" spans="2:3" x14ac:dyDescent="0.3">
      <c r="B12" s="39" t="s">
        <v>1063</v>
      </c>
      <c r="C12" s="53">
        <v>1000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E24F0-CC79-40C3-B8A3-581508557CCF}">
  <dimension ref="B3:D87"/>
  <sheetViews>
    <sheetView zoomScale="48" workbookViewId="0">
      <selection activeCell="D77" sqref="D77"/>
    </sheetView>
  </sheetViews>
  <sheetFormatPr defaultRowHeight="16.5" x14ac:dyDescent="0.3"/>
  <cols>
    <col min="2" max="2" width="13.125" bestFit="1" customWidth="1"/>
    <col min="3" max="4" width="23.75" bestFit="1" customWidth="1"/>
  </cols>
  <sheetData>
    <row r="3" spans="2:3" ht="18" x14ac:dyDescent="0.35">
      <c r="B3" s="44" t="s">
        <v>1049</v>
      </c>
    </row>
    <row r="8" spans="2:3" x14ac:dyDescent="0.3">
      <c r="B8" s="38" t="s">
        <v>1062</v>
      </c>
      <c r="C8" t="s">
        <v>1065</v>
      </c>
    </row>
    <row r="9" spans="2:3" x14ac:dyDescent="0.3">
      <c r="B9" s="39" t="s">
        <v>1068</v>
      </c>
      <c r="C9" s="53">
        <v>79</v>
      </c>
    </row>
    <row r="10" spans="2:3" x14ac:dyDescent="0.3">
      <c r="B10" s="39" t="s">
        <v>1069</v>
      </c>
      <c r="C10" s="53">
        <v>66</v>
      </c>
    </row>
    <row r="11" spans="2:3" x14ac:dyDescent="0.3">
      <c r="B11" s="39" t="s">
        <v>1070</v>
      </c>
      <c r="C11" s="53">
        <v>155</v>
      </c>
    </row>
    <row r="12" spans="2:3" x14ac:dyDescent="0.3">
      <c r="B12" s="39" t="s">
        <v>1071</v>
      </c>
      <c r="C12" s="53">
        <v>136</v>
      </c>
    </row>
    <row r="13" spans="2:3" x14ac:dyDescent="0.3">
      <c r="B13" s="39" t="s">
        <v>1072</v>
      </c>
      <c r="C13" s="53">
        <v>83</v>
      </c>
    </row>
    <row r="14" spans="2:3" x14ac:dyDescent="0.3">
      <c r="B14" s="39" t="s">
        <v>1073</v>
      </c>
      <c r="C14" s="53">
        <v>67</v>
      </c>
    </row>
    <row r="15" spans="2:3" x14ac:dyDescent="0.3">
      <c r="B15" s="39" t="s">
        <v>1074</v>
      </c>
      <c r="C15" s="53">
        <v>64</v>
      </c>
    </row>
    <row r="16" spans="2:3" x14ac:dyDescent="0.3">
      <c r="B16" s="39" t="s">
        <v>1075</v>
      </c>
      <c r="C16" s="53">
        <v>50</v>
      </c>
    </row>
    <row r="17" spans="2:3" x14ac:dyDescent="0.3">
      <c r="B17" s="39" t="s">
        <v>1076</v>
      </c>
      <c r="C17" s="53">
        <v>76</v>
      </c>
    </row>
    <row r="18" spans="2:3" x14ac:dyDescent="0.3">
      <c r="B18" s="39" t="s">
        <v>1077</v>
      </c>
      <c r="C18" s="53">
        <v>114</v>
      </c>
    </row>
    <row r="19" spans="2:3" x14ac:dyDescent="0.3">
      <c r="B19" s="39" t="s">
        <v>1078</v>
      </c>
      <c r="C19" s="53">
        <v>57</v>
      </c>
    </row>
    <row r="20" spans="2:3" x14ac:dyDescent="0.3">
      <c r="B20" s="39" t="s">
        <v>1079</v>
      </c>
      <c r="C20" s="53">
        <v>53</v>
      </c>
    </row>
    <row r="21" spans="2:3" x14ac:dyDescent="0.3">
      <c r="B21" s="39" t="s">
        <v>1063</v>
      </c>
      <c r="C21" s="53">
        <v>1000</v>
      </c>
    </row>
    <row r="33" spans="2:3" ht="17.25" x14ac:dyDescent="0.35">
      <c r="B33" s="37" t="s">
        <v>1080</v>
      </c>
    </row>
    <row r="39" spans="2:3" ht="21" x14ac:dyDescent="0.4">
      <c r="B39" s="46" t="s">
        <v>1082</v>
      </c>
    </row>
    <row r="40" spans="2:3" ht="17.25" x14ac:dyDescent="0.35">
      <c r="B40" s="37" t="s">
        <v>1081</v>
      </c>
    </row>
    <row r="43" spans="2:3" x14ac:dyDescent="0.3">
      <c r="B43" s="38" t="s">
        <v>1062</v>
      </c>
      <c r="C43" t="s">
        <v>1067</v>
      </c>
    </row>
    <row r="44" spans="2:3" x14ac:dyDescent="0.3">
      <c r="B44" s="39" t="s">
        <v>1068</v>
      </c>
      <c r="C44" s="53">
        <v>7790</v>
      </c>
    </row>
    <row r="45" spans="2:3" x14ac:dyDescent="0.3">
      <c r="B45" s="39" t="s">
        <v>1069</v>
      </c>
      <c r="C45" s="53">
        <v>13912</v>
      </c>
    </row>
    <row r="46" spans="2:3" x14ac:dyDescent="0.3">
      <c r="B46" s="39" t="s">
        <v>1070</v>
      </c>
      <c r="C46" s="53">
        <v>28475</v>
      </c>
    </row>
    <row r="47" spans="2:3" x14ac:dyDescent="0.3">
      <c r="B47" s="39" t="s">
        <v>1071</v>
      </c>
      <c r="C47" s="53">
        <v>42011</v>
      </c>
    </row>
    <row r="48" spans="2:3" x14ac:dyDescent="0.3">
      <c r="B48" s="39" t="s">
        <v>1072</v>
      </c>
      <c r="C48" s="53">
        <v>50182</v>
      </c>
    </row>
    <row r="49" spans="2:3" x14ac:dyDescent="0.3">
      <c r="B49" s="39" t="s">
        <v>1073</v>
      </c>
      <c r="C49" s="53">
        <v>56075</v>
      </c>
    </row>
    <row r="50" spans="2:3" x14ac:dyDescent="0.3">
      <c r="B50" s="39" t="s">
        <v>1074</v>
      </c>
      <c r="C50" s="53">
        <v>62082</v>
      </c>
    </row>
    <row r="51" spans="2:3" x14ac:dyDescent="0.3">
      <c r="B51" s="39" t="s">
        <v>1075</v>
      </c>
      <c r="C51" s="53">
        <v>67032</v>
      </c>
    </row>
    <row r="52" spans="2:3" x14ac:dyDescent="0.3">
      <c r="B52" s="39" t="s">
        <v>1076</v>
      </c>
      <c r="C52" s="53">
        <v>73721</v>
      </c>
    </row>
    <row r="53" spans="2:3" x14ac:dyDescent="0.3">
      <c r="B53" s="39" t="s">
        <v>1077</v>
      </c>
      <c r="C53" s="53">
        <v>84596</v>
      </c>
    </row>
    <row r="54" spans="2:3" x14ac:dyDescent="0.3">
      <c r="B54" s="39" t="s">
        <v>1078</v>
      </c>
      <c r="C54" s="53">
        <v>91371</v>
      </c>
    </row>
    <row r="55" spans="2:3" x14ac:dyDescent="0.3">
      <c r="B55" s="39" t="s">
        <v>1079</v>
      </c>
      <c r="C55" s="53">
        <v>96623</v>
      </c>
    </row>
    <row r="56" spans="2:3" x14ac:dyDescent="0.3">
      <c r="B56" s="39" t="s">
        <v>1063</v>
      </c>
      <c r="C56" s="53"/>
    </row>
    <row r="70" spans="3:4" ht="17.25" x14ac:dyDescent="0.35">
      <c r="C70" s="37" t="s">
        <v>1085</v>
      </c>
    </row>
    <row r="72" spans="3:4" x14ac:dyDescent="0.3">
      <c r="C72" s="38" t="s">
        <v>1062</v>
      </c>
      <c r="D72" t="s">
        <v>1067</v>
      </c>
    </row>
    <row r="73" spans="3:4" x14ac:dyDescent="0.3">
      <c r="C73" s="39">
        <v>2023</v>
      </c>
      <c r="D73" s="53"/>
    </row>
    <row r="74" spans="3:4" x14ac:dyDescent="0.3">
      <c r="C74" s="40" t="s">
        <v>1068</v>
      </c>
      <c r="D74" s="53">
        <v>7790</v>
      </c>
    </row>
    <row r="75" spans="3:4" x14ac:dyDescent="0.3">
      <c r="C75" s="40" t="s">
        <v>1069</v>
      </c>
      <c r="D75" s="53">
        <v>13912</v>
      </c>
    </row>
    <row r="76" spans="3:4" x14ac:dyDescent="0.3">
      <c r="C76" s="40" t="s">
        <v>1070</v>
      </c>
      <c r="D76" s="53">
        <v>28475</v>
      </c>
    </row>
    <row r="77" spans="3:4" x14ac:dyDescent="0.3">
      <c r="C77" s="40" t="s">
        <v>1071</v>
      </c>
      <c r="D77" s="53">
        <v>42011</v>
      </c>
    </row>
    <row r="78" spans="3:4" x14ac:dyDescent="0.3">
      <c r="C78" s="40" t="s">
        <v>1072</v>
      </c>
      <c r="D78" s="53">
        <v>50182</v>
      </c>
    </row>
    <row r="79" spans="3:4" x14ac:dyDescent="0.3">
      <c r="C79" s="39">
        <v>2024</v>
      </c>
      <c r="D79" s="53"/>
    </row>
    <row r="80" spans="3:4" x14ac:dyDescent="0.3">
      <c r="C80" s="40" t="s">
        <v>1073</v>
      </c>
      <c r="D80" s="53">
        <v>5893</v>
      </c>
    </row>
    <row r="81" spans="3:4" x14ac:dyDescent="0.3">
      <c r="C81" s="40" t="s">
        <v>1074</v>
      </c>
      <c r="D81" s="53">
        <v>11900</v>
      </c>
    </row>
    <row r="82" spans="3:4" x14ac:dyDescent="0.3">
      <c r="C82" s="40" t="s">
        <v>1075</v>
      </c>
      <c r="D82" s="53">
        <v>16850</v>
      </c>
    </row>
    <row r="83" spans="3:4" x14ac:dyDescent="0.3">
      <c r="C83" s="40" t="s">
        <v>1076</v>
      </c>
      <c r="D83" s="53">
        <v>23539</v>
      </c>
    </row>
    <row r="84" spans="3:4" x14ac:dyDescent="0.3">
      <c r="C84" s="40" t="s">
        <v>1077</v>
      </c>
      <c r="D84" s="53">
        <v>34414</v>
      </c>
    </row>
    <row r="85" spans="3:4" x14ac:dyDescent="0.3">
      <c r="C85" s="40" t="s">
        <v>1078</v>
      </c>
      <c r="D85" s="53">
        <v>41189</v>
      </c>
    </row>
    <row r="86" spans="3:4" x14ac:dyDescent="0.3">
      <c r="C86" s="40" t="s">
        <v>1079</v>
      </c>
      <c r="D86" s="53">
        <v>46441</v>
      </c>
    </row>
    <row r="87" spans="3:4" x14ac:dyDescent="0.3">
      <c r="C87" s="39" t="s">
        <v>1063</v>
      </c>
      <c r="D87" s="53"/>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99E7D-FBB5-44D6-8094-C6136BFEAD9B}">
  <dimension ref="B3:J13"/>
  <sheetViews>
    <sheetView workbookViewId="0">
      <selection activeCell="M6" sqref="M6"/>
    </sheetView>
  </sheetViews>
  <sheetFormatPr defaultRowHeight="16.5" x14ac:dyDescent="0.3"/>
  <cols>
    <col min="2" max="2" width="20.375" bestFit="1" customWidth="1"/>
    <col min="3" max="3" width="16.25" bestFit="1" customWidth="1"/>
    <col min="4" max="4" width="8.25" bestFit="1" customWidth="1"/>
    <col min="5" max="5" width="8.375" bestFit="1" customWidth="1"/>
    <col min="6" max="6" width="11" bestFit="1" customWidth="1"/>
    <col min="7" max="7" width="9.625" bestFit="1" customWidth="1"/>
    <col min="8" max="8" width="7" customWidth="1"/>
    <col min="9" max="9" width="9" bestFit="1" customWidth="1"/>
    <col min="10" max="10" width="11.75" bestFit="1" customWidth="1"/>
  </cols>
  <sheetData>
    <row r="3" spans="2:10" ht="21" x14ac:dyDescent="0.4">
      <c r="B3" s="46" t="s">
        <v>1052</v>
      </c>
    </row>
    <row r="6" spans="2:10" x14ac:dyDescent="0.3">
      <c r="B6" s="38" t="s">
        <v>1065</v>
      </c>
      <c r="C6" s="38" t="s">
        <v>1064</v>
      </c>
    </row>
    <row r="7" spans="2:10" x14ac:dyDescent="0.3">
      <c r="B7" s="38" t="s">
        <v>1062</v>
      </c>
      <c r="C7" t="s">
        <v>1087</v>
      </c>
      <c r="D7" t="s">
        <v>1088</v>
      </c>
      <c r="E7" t="s">
        <v>1089</v>
      </c>
      <c r="F7" t="s">
        <v>1090</v>
      </c>
      <c r="G7" t="s">
        <v>1091</v>
      </c>
      <c r="H7" t="s">
        <v>1092</v>
      </c>
      <c r="I7" t="s">
        <v>1093</v>
      </c>
      <c r="J7" t="s">
        <v>1063</v>
      </c>
    </row>
    <row r="8" spans="2:10" x14ac:dyDescent="0.3">
      <c r="B8" s="39" t="s">
        <v>11</v>
      </c>
      <c r="C8" s="47">
        <v>0.19047619047619047</v>
      </c>
      <c r="D8" s="47">
        <v>0.15873015873015872</v>
      </c>
      <c r="E8" s="47">
        <v>6.8783068783068779E-2</v>
      </c>
      <c r="F8" s="47">
        <v>0.12169312169312169</v>
      </c>
      <c r="G8" s="47">
        <v>0.12169312169312169</v>
      </c>
      <c r="H8" s="47">
        <v>0.12698412698412698</v>
      </c>
      <c r="I8" s="47">
        <v>0.21164021164021163</v>
      </c>
      <c r="J8" s="47">
        <v>1</v>
      </c>
    </row>
    <row r="9" spans="2:10" x14ac:dyDescent="0.3">
      <c r="B9" s="39" t="s">
        <v>9</v>
      </c>
      <c r="C9" s="47">
        <v>0.12844036697247707</v>
      </c>
      <c r="D9" s="47">
        <v>0.11009174311926606</v>
      </c>
      <c r="E9" s="47">
        <v>0.20183486238532111</v>
      </c>
      <c r="F9" s="47">
        <v>0.16513761467889909</v>
      </c>
      <c r="G9" s="47">
        <v>0.15137614678899083</v>
      </c>
      <c r="H9" s="47">
        <v>0.13302752293577982</v>
      </c>
      <c r="I9" s="47">
        <v>0.11009174311926606</v>
      </c>
      <c r="J9" s="47">
        <v>1</v>
      </c>
    </row>
    <row r="10" spans="2:10" x14ac:dyDescent="0.3">
      <c r="B10" s="39" t="s">
        <v>6</v>
      </c>
      <c r="C10" s="47">
        <v>0.14492753623188406</v>
      </c>
      <c r="D10" s="47">
        <v>0.16425120772946861</v>
      </c>
      <c r="E10" s="47">
        <v>0.12560386473429952</v>
      </c>
      <c r="F10" s="47">
        <v>0.18357487922705315</v>
      </c>
      <c r="G10" s="47">
        <v>0.13043478260869565</v>
      </c>
      <c r="H10" s="47">
        <v>0.13043478260869565</v>
      </c>
      <c r="I10" s="47">
        <v>0.12077294685990338</v>
      </c>
      <c r="J10" s="47">
        <v>1</v>
      </c>
    </row>
    <row r="11" spans="2:10" x14ac:dyDescent="0.3">
      <c r="B11" s="39" t="s">
        <v>13</v>
      </c>
      <c r="C11" s="47">
        <v>0.13440860215053763</v>
      </c>
      <c r="D11" s="47">
        <v>0.12365591397849462</v>
      </c>
      <c r="E11" s="47">
        <v>0.15053763440860216</v>
      </c>
      <c r="F11" s="47">
        <v>0.15591397849462366</v>
      </c>
      <c r="G11" s="47">
        <v>9.6774193548387094E-2</v>
      </c>
      <c r="H11" s="47">
        <v>0.15591397849462366</v>
      </c>
      <c r="I11" s="47">
        <v>0.18279569892473119</v>
      </c>
      <c r="J11" s="47">
        <v>1</v>
      </c>
    </row>
    <row r="12" spans="2:10" x14ac:dyDescent="0.3">
      <c r="B12" s="39" t="s">
        <v>10</v>
      </c>
      <c r="C12" s="47">
        <v>0.13500000000000001</v>
      </c>
      <c r="D12" s="47">
        <v>0.11</v>
      </c>
      <c r="E12" s="47">
        <v>0.13500000000000001</v>
      </c>
      <c r="F12" s="47">
        <v>0.13500000000000001</v>
      </c>
      <c r="G12" s="47">
        <v>0.13500000000000001</v>
      </c>
      <c r="H12" s="47">
        <v>0.16</v>
      </c>
      <c r="I12" s="47">
        <v>0.19</v>
      </c>
      <c r="J12" s="47">
        <v>1</v>
      </c>
    </row>
    <row r="13" spans="2:10" x14ac:dyDescent="0.3">
      <c r="B13" s="39" t="s">
        <v>1063</v>
      </c>
      <c r="C13" s="47">
        <v>0.14599999999999999</v>
      </c>
      <c r="D13" s="47">
        <v>0.13300000000000001</v>
      </c>
      <c r="E13" s="47">
        <v>0.13800000000000001</v>
      </c>
      <c r="F13" s="47">
        <v>0.153</v>
      </c>
      <c r="G13" s="47">
        <v>0.128</v>
      </c>
      <c r="H13" s="47">
        <v>0.14099999999999999</v>
      </c>
      <c r="I13" s="47">
        <v>0.161</v>
      </c>
      <c r="J13" s="47">
        <v>1</v>
      </c>
    </row>
  </sheetData>
  <conditionalFormatting pivot="1" sqref="C8:I12">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85CC-4597-4E38-A7C6-C433370CEF2F}">
  <dimension ref="B2:O27"/>
  <sheetViews>
    <sheetView topLeftCell="A21" zoomScale="182" workbookViewId="0">
      <selection activeCell="I13" sqref="I13"/>
    </sheetView>
  </sheetViews>
  <sheetFormatPr defaultColWidth="2" defaultRowHeight="16.5" x14ac:dyDescent="0.3"/>
  <cols>
    <col min="2" max="2" width="20.375" bestFit="1" customWidth="1"/>
    <col min="3" max="3" width="16.25" bestFit="1" customWidth="1"/>
    <col min="4" max="4" width="1.875" bestFit="1" customWidth="1"/>
    <col min="5" max="5" width="2.875" bestFit="1" customWidth="1"/>
    <col min="6" max="8" width="3.875" bestFit="1" customWidth="1"/>
    <col min="9" max="9" width="11.75" bestFit="1" customWidth="1"/>
    <col min="10" max="10" width="4.625" bestFit="1" customWidth="1"/>
    <col min="11" max="11" width="4.125" customWidth="1"/>
    <col min="12" max="12" width="4" bestFit="1" customWidth="1"/>
    <col min="13" max="13" width="4.625" bestFit="1" customWidth="1"/>
    <col min="14" max="14" width="4.125" bestFit="1" customWidth="1"/>
    <col min="15" max="15" width="11.75" bestFit="1" customWidth="1"/>
  </cols>
  <sheetData>
    <row r="2" spans="2:9" ht="21" x14ac:dyDescent="0.4">
      <c r="B2" s="46" t="s">
        <v>1053</v>
      </c>
    </row>
    <row r="5" spans="2:9" x14ac:dyDescent="0.3">
      <c r="B5" s="38" t="s">
        <v>1065</v>
      </c>
      <c r="C5" s="38" t="s">
        <v>1064</v>
      </c>
    </row>
    <row r="6" spans="2:9" x14ac:dyDescent="0.3">
      <c r="B6" s="38" t="s">
        <v>1062</v>
      </c>
      <c r="C6">
        <v>0</v>
      </c>
      <c r="D6">
        <v>1</v>
      </c>
      <c r="E6">
        <v>2</v>
      </c>
      <c r="F6">
        <v>3</v>
      </c>
      <c r="G6">
        <v>4</v>
      </c>
      <c r="H6">
        <v>5</v>
      </c>
      <c r="I6" t="s">
        <v>1063</v>
      </c>
    </row>
    <row r="7" spans="2:9" x14ac:dyDescent="0.3">
      <c r="B7" s="39" t="s">
        <v>1099</v>
      </c>
      <c r="C7" s="53"/>
      <c r="D7" s="53"/>
      <c r="E7" s="53"/>
      <c r="F7" s="53">
        <v>2</v>
      </c>
      <c r="G7" s="53">
        <v>4</v>
      </c>
      <c r="H7" s="53">
        <v>2</v>
      </c>
      <c r="I7" s="53">
        <v>8</v>
      </c>
    </row>
    <row r="8" spans="2:9" x14ac:dyDescent="0.3">
      <c r="B8" s="39" t="s">
        <v>1096</v>
      </c>
      <c r="C8" s="53"/>
      <c r="D8" s="53"/>
      <c r="E8" s="53">
        <v>4</v>
      </c>
      <c r="F8" s="53">
        <v>6</v>
      </c>
      <c r="G8" s="53">
        <v>27</v>
      </c>
      <c r="H8" s="53">
        <v>15</v>
      </c>
      <c r="I8" s="53">
        <v>52</v>
      </c>
    </row>
    <row r="9" spans="2:9" x14ac:dyDescent="0.3">
      <c r="B9" s="39" t="s">
        <v>1097</v>
      </c>
      <c r="C9" s="53"/>
      <c r="D9" s="53"/>
      <c r="E9" s="53">
        <v>13</v>
      </c>
      <c r="F9" s="53">
        <v>35</v>
      </c>
      <c r="G9" s="53">
        <v>75</v>
      </c>
      <c r="H9" s="53">
        <v>56</v>
      </c>
      <c r="I9" s="53">
        <v>179</v>
      </c>
    </row>
    <row r="10" spans="2:9" x14ac:dyDescent="0.3">
      <c r="B10" s="39" t="s">
        <v>1095</v>
      </c>
      <c r="C10" s="53"/>
      <c r="D10" s="53">
        <v>5</v>
      </c>
      <c r="E10" s="53">
        <v>28</v>
      </c>
      <c r="F10" s="53">
        <v>106</v>
      </c>
      <c r="G10" s="53">
        <v>225</v>
      </c>
      <c r="H10" s="53">
        <v>160</v>
      </c>
      <c r="I10" s="53">
        <v>524</v>
      </c>
    </row>
    <row r="11" spans="2:9" x14ac:dyDescent="0.3">
      <c r="B11" s="39" t="s">
        <v>1098</v>
      </c>
      <c r="C11" s="53">
        <v>1</v>
      </c>
      <c r="D11" s="53">
        <v>3</v>
      </c>
      <c r="E11" s="53">
        <v>14</v>
      </c>
      <c r="F11" s="53">
        <v>48</v>
      </c>
      <c r="G11" s="53">
        <v>97</v>
      </c>
      <c r="H11" s="53">
        <v>74</v>
      </c>
      <c r="I11" s="53">
        <v>237</v>
      </c>
    </row>
    <row r="12" spans="2:9" x14ac:dyDescent="0.3">
      <c r="B12" s="39" t="s">
        <v>1063</v>
      </c>
      <c r="C12" s="53">
        <v>1</v>
      </c>
      <c r="D12" s="53">
        <v>8</v>
      </c>
      <c r="E12" s="53">
        <v>59</v>
      </c>
      <c r="F12" s="53">
        <v>197</v>
      </c>
      <c r="G12" s="53">
        <v>428</v>
      </c>
      <c r="H12" s="53">
        <v>307</v>
      </c>
      <c r="I12" s="53">
        <v>1000</v>
      </c>
    </row>
    <row r="16" spans="2:9" ht="17.25" x14ac:dyDescent="0.35">
      <c r="B16" s="37" t="s">
        <v>1054</v>
      </c>
    </row>
    <row r="18" spans="2:15" x14ac:dyDescent="0.3">
      <c r="B18" s="38" t="s">
        <v>1065</v>
      </c>
      <c r="C18" s="38" t="s">
        <v>1064</v>
      </c>
    </row>
    <row r="19" spans="2:15" x14ac:dyDescent="0.3">
      <c r="B19" s="38" t="s">
        <v>1062</v>
      </c>
      <c r="C19" t="s">
        <v>1068</v>
      </c>
      <c r="D19" t="s">
        <v>1069</v>
      </c>
      <c r="E19" t="s">
        <v>1070</v>
      </c>
      <c r="F19" t="s">
        <v>1071</v>
      </c>
      <c r="G19" t="s">
        <v>1072</v>
      </c>
      <c r="H19" t="s">
        <v>1073</v>
      </c>
      <c r="I19" t="s">
        <v>1074</v>
      </c>
      <c r="J19" t="s">
        <v>1075</v>
      </c>
      <c r="K19" t="s">
        <v>1076</v>
      </c>
      <c r="L19" t="s">
        <v>1077</v>
      </c>
      <c r="M19" t="s">
        <v>1078</v>
      </c>
      <c r="N19" t="s">
        <v>1079</v>
      </c>
      <c r="O19" t="s">
        <v>1063</v>
      </c>
    </row>
    <row r="20" spans="2:15" x14ac:dyDescent="0.3">
      <c r="B20" s="39" t="s">
        <v>11</v>
      </c>
      <c r="C20" s="53">
        <v>16</v>
      </c>
      <c r="D20" s="53">
        <v>14</v>
      </c>
      <c r="E20" s="53">
        <v>26</v>
      </c>
      <c r="F20" s="53">
        <v>29</v>
      </c>
      <c r="G20" s="53">
        <v>17</v>
      </c>
      <c r="H20" s="53">
        <v>15</v>
      </c>
      <c r="I20" s="53">
        <v>15</v>
      </c>
      <c r="J20" s="53">
        <v>7</v>
      </c>
      <c r="K20" s="53">
        <v>11</v>
      </c>
      <c r="L20" s="53">
        <v>24</v>
      </c>
      <c r="M20" s="53">
        <v>9</v>
      </c>
      <c r="N20" s="53">
        <v>6</v>
      </c>
      <c r="O20" s="53">
        <v>189</v>
      </c>
    </row>
    <row r="21" spans="2:15" x14ac:dyDescent="0.3">
      <c r="B21" s="39" t="s">
        <v>9</v>
      </c>
      <c r="C21" s="53">
        <v>19</v>
      </c>
      <c r="D21" s="53">
        <v>10</v>
      </c>
      <c r="E21" s="53">
        <v>40</v>
      </c>
      <c r="F21" s="53">
        <v>40</v>
      </c>
      <c r="G21" s="53">
        <v>13</v>
      </c>
      <c r="H21" s="53">
        <v>12</v>
      </c>
      <c r="I21" s="53">
        <v>9</v>
      </c>
      <c r="J21" s="53">
        <v>13</v>
      </c>
      <c r="K21" s="53">
        <v>18</v>
      </c>
      <c r="L21" s="53">
        <v>21</v>
      </c>
      <c r="M21" s="53">
        <v>14</v>
      </c>
      <c r="N21" s="53">
        <v>9</v>
      </c>
      <c r="O21" s="53">
        <v>218</v>
      </c>
    </row>
    <row r="22" spans="2:15" x14ac:dyDescent="0.3">
      <c r="B22" s="39" t="s">
        <v>6</v>
      </c>
      <c r="C22" s="53">
        <v>13</v>
      </c>
      <c r="D22" s="53">
        <v>13</v>
      </c>
      <c r="E22" s="53">
        <v>28</v>
      </c>
      <c r="F22" s="53">
        <v>24</v>
      </c>
      <c r="G22" s="53">
        <v>23</v>
      </c>
      <c r="H22" s="53">
        <v>17</v>
      </c>
      <c r="I22" s="53">
        <v>11</v>
      </c>
      <c r="J22" s="53">
        <v>11</v>
      </c>
      <c r="K22" s="53">
        <v>14</v>
      </c>
      <c r="L22" s="53">
        <v>30</v>
      </c>
      <c r="M22" s="53">
        <v>14</v>
      </c>
      <c r="N22" s="53">
        <v>9</v>
      </c>
      <c r="O22" s="53">
        <v>207</v>
      </c>
    </row>
    <row r="23" spans="2:15" x14ac:dyDescent="0.3">
      <c r="B23" s="39" t="s">
        <v>13</v>
      </c>
      <c r="C23" s="53">
        <v>10</v>
      </c>
      <c r="D23" s="53">
        <v>11</v>
      </c>
      <c r="E23" s="53">
        <v>30</v>
      </c>
      <c r="F23" s="53">
        <v>23</v>
      </c>
      <c r="G23" s="53">
        <v>22</v>
      </c>
      <c r="H23" s="53">
        <v>11</v>
      </c>
      <c r="I23" s="53">
        <v>17</v>
      </c>
      <c r="J23" s="53">
        <v>12</v>
      </c>
      <c r="K23" s="53">
        <v>13</v>
      </c>
      <c r="L23" s="53">
        <v>15</v>
      </c>
      <c r="M23" s="53">
        <v>8</v>
      </c>
      <c r="N23" s="53">
        <v>14</v>
      </c>
      <c r="O23" s="53">
        <v>186</v>
      </c>
    </row>
    <row r="24" spans="2:15" x14ac:dyDescent="0.3">
      <c r="B24" s="39" t="s">
        <v>10</v>
      </c>
      <c r="C24" s="53">
        <v>21</v>
      </c>
      <c r="D24" s="53">
        <v>18</v>
      </c>
      <c r="E24" s="53">
        <v>31</v>
      </c>
      <c r="F24" s="53">
        <v>20</v>
      </c>
      <c r="G24" s="53">
        <v>8</v>
      </c>
      <c r="H24" s="53">
        <v>12</v>
      </c>
      <c r="I24" s="53">
        <v>12</v>
      </c>
      <c r="J24" s="53">
        <v>7</v>
      </c>
      <c r="K24" s="53">
        <v>20</v>
      </c>
      <c r="L24" s="53">
        <v>24</v>
      </c>
      <c r="M24" s="53">
        <v>12</v>
      </c>
      <c r="N24" s="53">
        <v>15</v>
      </c>
      <c r="O24" s="53">
        <v>200</v>
      </c>
    </row>
    <row r="25" spans="2:15" x14ac:dyDescent="0.3">
      <c r="B25" s="39" t="s">
        <v>1063</v>
      </c>
      <c r="C25" s="53">
        <v>79</v>
      </c>
      <c r="D25" s="53">
        <v>66</v>
      </c>
      <c r="E25" s="53">
        <v>155</v>
      </c>
      <c r="F25" s="53">
        <v>136</v>
      </c>
      <c r="G25" s="53">
        <v>83</v>
      </c>
      <c r="H25" s="53">
        <v>67</v>
      </c>
      <c r="I25" s="53">
        <v>64</v>
      </c>
      <c r="J25" s="53">
        <v>50</v>
      </c>
      <c r="K25" s="53">
        <v>76</v>
      </c>
      <c r="L25" s="53">
        <v>114</v>
      </c>
      <c r="M25" s="53">
        <v>57</v>
      </c>
      <c r="N25" s="53">
        <v>53</v>
      </c>
      <c r="O25" s="53">
        <v>1000</v>
      </c>
    </row>
    <row r="27" spans="2:15" ht="17.25" x14ac:dyDescent="0.35">
      <c r="B27" s="39" t="s">
        <v>1102</v>
      </c>
    </row>
  </sheetData>
  <conditionalFormatting pivot="1" sqref="C7:H11">
    <cfRule type="colorScale" priority="2">
      <colorScale>
        <cfvo type="min"/>
        <cfvo type="max"/>
        <color rgb="FFFCFCFF"/>
        <color rgb="FF63BE7B"/>
      </colorScale>
    </cfRule>
  </conditionalFormatting>
  <conditionalFormatting pivot="1" sqref="C20:N24">
    <cfRule type="dataBar" priority="1">
      <dataBar>
        <cfvo type="min"/>
        <cfvo type="max"/>
        <color rgb="FFFF555A"/>
      </dataBar>
      <extLst>
        <ext xmlns:x14="http://schemas.microsoft.com/office/spreadsheetml/2009/9/main" uri="{B025F937-C7B1-47D3-B67F-A62EFF666E3E}">
          <x14:id>{9273E853-2448-4388-8138-4F8E71D0009B}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9273E853-2448-4388-8138-4F8E71D0009B}">
            <x14:dataBar minLength="0" maxLength="100" border="1" negativeBarBorderColorSameAsPositive="0">
              <x14:cfvo type="autoMin"/>
              <x14:cfvo type="autoMax"/>
              <x14:borderColor rgb="FFFF555A"/>
              <x14:negativeFillColor rgb="FFFF0000"/>
              <x14:negativeBorderColor rgb="FFFF0000"/>
              <x14:axisColor rgb="FF000000"/>
            </x14:dataBar>
          </x14:cfRule>
          <xm:sqref>C20:N24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F7D78-E031-4625-A42F-FB65E288B937}">
  <dimension ref="B2:W31"/>
  <sheetViews>
    <sheetView topLeftCell="A4" workbookViewId="0">
      <selection activeCell="W20" sqref="W20"/>
    </sheetView>
  </sheetViews>
  <sheetFormatPr defaultRowHeight="16.5" x14ac:dyDescent="0.3"/>
  <cols>
    <col min="2" max="2" width="13.125" bestFit="1" customWidth="1"/>
    <col min="3" max="3" width="23.75" bestFit="1" customWidth="1"/>
    <col min="4" max="4" width="1.875" customWidth="1"/>
    <col min="5" max="5" width="2.875" customWidth="1"/>
    <col min="6" max="8" width="3.875" customWidth="1"/>
    <col min="9" max="9" width="11.75" bestFit="1" customWidth="1"/>
    <col min="10" max="10" width="3.875" customWidth="1"/>
    <col min="11" max="14" width="3.875" bestFit="1" customWidth="1"/>
    <col min="15" max="15" width="1.875" bestFit="1" customWidth="1"/>
    <col min="16" max="24" width="3.875" bestFit="1" customWidth="1"/>
    <col min="25" max="25" width="1.875" bestFit="1" customWidth="1"/>
    <col min="26" max="34" width="3.875" bestFit="1" customWidth="1"/>
    <col min="35" max="35" width="1.875" bestFit="1" customWidth="1"/>
    <col min="36" max="44" width="3.875" bestFit="1" customWidth="1"/>
    <col min="45" max="45" width="1.875" bestFit="1" customWidth="1"/>
    <col min="46" max="46" width="10.875" bestFit="1" customWidth="1"/>
  </cols>
  <sheetData>
    <row r="2" spans="2:3" ht="17.25" x14ac:dyDescent="0.35">
      <c r="B2" s="37" t="s">
        <v>1059</v>
      </c>
    </row>
    <row r="4" spans="2:3" x14ac:dyDescent="0.3">
      <c r="B4" s="38" t="s">
        <v>1062</v>
      </c>
      <c r="C4" t="s">
        <v>1067</v>
      </c>
    </row>
    <row r="5" spans="2:3" x14ac:dyDescent="0.3">
      <c r="B5" s="39" t="s">
        <v>20</v>
      </c>
      <c r="C5" s="53">
        <v>964</v>
      </c>
    </row>
    <row r="6" spans="2:3" x14ac:dyDescent="0.3">
      <c r="B6" s="39" t="s">
        <v>23</v>
      </c>
      <c r="C6" s="53">
        <v>1000</v>
      </c>
    </row>
    <row r="7" spans="2:3" x14ac:dyDescent="0.3">
      <c r="B7" s="39" t="s">
        <v>5</v>
      </c>
      <c r="C7" s="53">
        <v>1081</v>
      </c>
    </row>
    <row r="8" spans="2:3" x14ac:dyDescent="0.3">
      <c r="B8" s="39" t="s">
        <v>22</v>
      </c>
      <c r="C8" s="53">
        <v>799</v>
      </c>
    </row>
    <row r="9" spans="2:3" x14ac:dyDescent="0.3">
      <c r="B9" s="39" t="s">
        <v>21</v>
      </c>
      <c r="C9" s="53">
        <v>1194</v>
      </c>
    </row>
    <row r="10" spans="2:3" x14ac:dyDescent="0.3">
      <c r="B10" s="39" t="s">
        <v>1063</v>
      </c>
      <c r="C10" s="53">
        <v>5038</v>
      </c>
    </row>
    <row r="20" spans="2:23" x14ac:dyDescent="0.3">
      <c r="W20" t="s">
        <v>1108</v>
      </c>
    </row>
    <row r="22" spans="2:23" ht="17.25" x14ac:dyDescent="0.35">
      <c r="B22" s="37" t="s">
        <v>1060</v>
      </c>
    </row>
    <row r="24" spans="2:23" x14ac:dyDescent="0.3">
      <c r="B24" s="38" t="s">
        <v>1065</v>
      </c>
      <c r="C24" s="38" t="s">
        <v>1064</v>
      </c>
    </row>
    <row r="25" spans="2:23" x14ac:dyDescent="0.3">
      <c r="B25" s="38" t="s">
        <v>1062</v>
      </c>
      <c r="C25">
        <v>0</v>
      </c>
      <c r="D25">
        <v>1</v>
      </c>
      <c r="E25">
        <v>2</v>
      </c>
      <c r="F25">
        <v>3</v>
      </c>
      <c r="G25">
        <v>4</v>
      </c>
      <c r="H25">
        <v>5</v>
      </c>
      <c r="I25" t="s">
        <v>1063</v>
      </c>
    </row>
    <row r="26" spans="2:23" x14ac:dyDescent="0.3">
      <c r="B26" s="39" t="s">
        <v>11</v>
      </c>
      <c r="C26" s="53"/>
      <c r="D26" s="53">
        <v>1</v>
      </c>
      <c r="E26" s="53">
        <v>9</v>
      </c>
      <c r="F26" s="53">
        <v>31</v>
      </c>
      <c r="G26" s="53">
        <v>88</v>
      </c>
      <c r="H26" s="53">
        <v>60</v>
      </c>
      <c r="I26" s="53">
        <v>189</v>
      </c>
    </row>
    <row r="27" spans="2:23" x14ac:dyDescent="0.3">
      <c r="B27" s="39" t="s">
        <v>9</v>
      </c>
      <c r="C27" s="53"/>
      <c r="D27" s="53">
        <v>3</v>
      </c>
      <c r="E27" s="53">
        <v>19</v>
      </c>
      <c r="F27" s="53">
        <v>35</v>
      </c>
      <c r="G27" s="53">
        <v>87</v>
      </c>
      <c r="H27" s="53">
        <v>74</v>
      </c>
      <c r="I27" s="53">
        <v>218</v>
      </c>
    </row>
    <row r="28" spans="2:23" x14ac:dyDescent="0.3">
      <c r="B28" s="39" t="s">
        <v>6</v>
      </c>
      <c r="C28" s="53">
        <v>1</v>
      </c>
      <c r="D28" s="53">
        <v>1</v>
      </c>
      <c r="E28" s="53">
        <v>11</v>
      </c>
      <c r="F28" s="53">
        <v>46</v>
      </c>
      <c r="G28" s="53">
        <v>88</v>
      </c>
      <c r="H28" s="53">
        <v>60</v>
      </c>
      <c r="I28" s="53">
        <v>207</v>
      </c>
    </row>
    <row r="29" spans="2:23" x14ac:dyDescent="0.3">
      <c r="B29" s="39" t="s">
        <v>13</v>
      </c>
      <c r="C29" s="53"/>
      <c r="D29" s="53">
        <v>3</v>
      </c>
      <c r="E29" s="53">
        <v>10</v>
      </c>
      <c r="F29" s="53">
        <v>41</v>
      </c>
      <c r="G29" s="53">
        <v>70</v>
      </c>
      <c r="H29" s="53">
        <v>62</v>
      </c>
      <c r="I29" s="53">
        <v>186</v>
      </c>
    </row>
    <row r="30" spans="2:23" x14ac:dyDescent="0.3">
      <c r="B30" s="39" t="s">
        <v>10</v>
      </c>
      <c r="C30" s="53"/>
      <c r="D30" s="53"/>
      <c r="E30" s="53">
        <v>10</v>
      </c>
      <c r="F30" s="53">
        <v>44</v>
      </c>
      <c r="G30" s="53">
        <v>95</v>
      </c>
      <c r="H30" s="53">
        <v>51</v>
      </c>
      <c r="I30" s="53">
        <v>200</v>
      </c>
    </row>
    <row r="31" spans="2:23" x14ac:dyDescent="0.3">
      <c r="B31" s="39" t="s">
        <v>1063</v>
      </c>
      <c r="C31" s="53">
        <v>1</v>
      </c>
      <c r="D31" s="53">
        <v>8</v>
      </c>
      <c r="E31" s="53">
        <v>59</v>
      </c>
      <c r="F31" s="53">
        <v>197</v>
      </c>
      <c r="G31" s="53">
        <v>428</v>
      </c>
      <c r="H31" s="53">
        <v>307</v>
      </c>
      <c r="I31" s="53">
        <v>1000</v>
      </c>
    </row>
  </sheetData>
  <conditionalFormatting pivot="1" sqref="C5:C9">
    <cfRule type="colorScale" priority="2">
      <colorScale>
        <cfvo type="min"/>
        <cfvo type="max"/>
        <color rgb="FFFCFCFF"/>
        <color rgb="FF63BE7B"/>
      </colorScale>
    </cfRule>
  </conditionalFormatting>
  <conditionalFormatting pivot="1" sqref="I26:I30">
    <cfRule type="colorScale" priority="1">
      <colorScale>
        <cfvo type="min"/>
        <cfvo type="max"/>
        <color rgb="FFFCFCFF"/>
        <color rgb="FF63BE7B"/>
      </colorScale>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R1004"/>
  <sheetViews>
    <sheetView zoomScale="115" zoomScaleNormal="115" workbookViewId="0">
      <selection activeCell="O6" sqref="O6"/>
    </sheetView>
  </sheetViews>
  <sheetFormatPr defaultRowHeight="16.5" x14ac:dyDescent="0.3"/>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20.625" customWidth="1"/>
    <col min="10" max="10" width="9.875" customWidth="1"/>
    <col min="11" max="11" width="15.875" customWidth="1"/>
    <col min="12" max="12" width="18.375" customWidth="1"/>
    <col min="13" max="13" width="9.875" customWidth="1"/>
    <col min="14" max="14" width="6.375" customWidth="1"/>
    <col min="15" max="15" width="14.625" customWidth="1"/>
    <col min="18" max="18" width="10.625" customWidth="1"/>
  </cols>
  <sheetData>
    <row r="1" spans="2:18" s="7" customFormat="1" ht="48" customHeight="1" x14ac:dyDescent="0.3">
      <c r="B1" s="10" t="s">
        <v>1003</v>
      </c>
    </row>
    <row r="2" spans="2:18" ht="17.25" x14ac:dyDescent="0.35">
      <c r="J2" s="37" t="s">
        <v>1084</v>
      </c>
      <c r="K2" s="37"/>
      <c r="L2" s="37"/>
      <c r="M2" s="37"/>
      <c r="P2" s="3"/>
    </row>
    <row r="3" spans="2:18" ht="17.25" x14ac:dyDescent="0.35">
      <c r="B3" s="24" t="s">
        <v>25</v>
      </c>
      <c r="C3" s="25" t="s">
        <v>0</v>
      </c>
      <c r="D3" s="26" t="s">
        <v>1</v>
      </c>
      <c r="E3" s="27" t="s">
        <v>3</v>
      </c>
      <c r="F3" s="27" t="s">
        <v>4</v>
      </c>
      <c r="G3" s="25" t="s">
        <v>2</v>
      </c>
      <c r="H3" s="28" t="s">
        <v>994</v>
      </c>
      <c r="I3" s="36" t="s">
        <v>1083</v>
      </c>
      <c r="J3" s="36" t="s">
        <v>1086</v>
      </c>
      <c r="K3" s="36" t="s">
        <v>1094</v>
      </c>
      <c r="L3" s="36" t="s">
        <v>1101</v>
      </c>
      <c r="O3" s="24" t="s">
        <v>0</v>
      </c>
      <c r="P3" s="25" t="s">
        <v>995</v>
      </c>
      <c r="Q3" s="25" t="s">
        <v>996</v>
      </c>
      <c r="R3" s="28" t="s">
        <v>997</v>
      </c>
    </row>
    <row r="4" spans="2:18" x14ac:dyDescent="0.3">
      <c r="B4" s="22" t="s">
        <v>26</v>
      </c>
      <c r="C4" s="4" t="s">
        <v>20</v>
      </c>
      <c r="D4" s="4">
        <v>116</v>
      </c>
      <c r="E4" s="5" t="s">
        <v>10</v>
      </c>
      <c r="F4" s="9">
        <v>44927</v>
      </c>
      <c r="G4" s="4">
        <v>128</v>
      </c>
      <c r="H4" s="23">
        <v>4.9000000000000004</v>
      </c>
      <c r="I4">
        <f>IF(MONTH(Calls[[#This Row],[Date of Call]])&lt;6,YEAR(Calls[[#This Row],[Date of Call]]),YEAR(Calls[[#This Row],[Date of Call]])+1)</f>
        <v>2023</v>
      </c>
      <c r="J4" t="str">
        <f>TEXT(Calls[[#This Row],[Date of Call]],"DDDD")</f>
        <v>Sunday</v>
      </c>
      <c r="K4" t="str" cm="1">
        <f t="array" ref="K4">_xlfn.IFS(Calls[[#This Row],[Duration]]&lt;10,"Under 10 Mins",Calls[[#This Row],[Duration]]&lt;=30,"10 - 30 Mins",Calls[[#This Row],[Duration]]&lt;=60,"30 - 60 Mins",Calls[[#This Row],[Duration]]&lt;=120,"1 - 2 Hours",TRUE,"More than 2  Hours")</f>
        <v>1 - 2 Hours</v>
      </c>
      <c r="L4">
        <f>ROUND(Calls[[#This Row],[Satisfaction Rating]],0)</f>
        <v>5</v>
      </c>
      <c r="O4" s="22" t="s">
        <v>17</v>
      </c>
      <c r="P4" s="6" t="s">
        <v>998</v>
      </c>
      <c r="Q4" s="4">
        <v>41</v>
      </c>
      <c r="R4" s="23" t="s">
        <v>1000</v>
      </c>
    </row>
    <row r="5" spans="2:18" x14ac:dyDescent="0.3">
      <c r="B5" s="22" t="s">
        <v>27</v>
      </c>
      <c r="C5" s="4" t="s">
        <v>12</v>
      </c>
      <c r="D5" s="4">
        <v>119</v>
      </c>
      <c r="E5" s="5" t="s">
        <v>10</v>
      </c>
      <c r="F5" s="9">
        <v>44927</v>
      </c>
      <c r="G5" s="4">
        <v>135</v>
      </c>
      <c r="H5" s="23">
        <v>2.9</v>
      </c>
      <c r="I5">
        <f>IF(MONTH(Calls[[#This Row],[Date of Call]])&lt;6,YEAR(Calls[[#This Row],[Date of Call]]),YEAR(Calls[[#This Row],[Date of Call]])+1)</f>
        <v>2023</v>
      </c>
      <c r="J5" t="str">
        <f>TEXT(Calls[[#This Row],[Date of Call]],"DDDD")</f>
        <v>Sunday</v>
      </c>
      <c r="K5" t="str" cm="1">
        <f t="array" ref="K5">_xlfn.IFS(Calls[[#This Row],[Duration]]&lt;10,"Under 10 Mins",Calls[[#This Row],[Duration]]&lt;=30,"10 - 30 Mins",Calls[[#This Row],[Duration]]&lt;=60,"30 - 60 Mins",Calls[[#This Row],[Duration]]&lt;=120,"1 - 2 Hours",TRUE,"More than 2  Hours")</f>
        <v>1 - 2 Hours</v>
      </c>
      <c r="L5">
        <f>ROUND(Calls[[#This Row],[Satisfaction Rating]],0)</f>
        <v>3</v>
      </c>
      <c r="O5" s="22" t="s">
        <v>24</v>
      </c>
      <c r="P5" s="6" t="s">
        <v>998</v>
      </c>
      <c r="Q5" s="4">
        <v>31</v>
      </c>
      <c r="R5" s="23" t="s">
        <v>1001</v>
      </c>
    </row>
    <row r="6" spans="2:18" x14ac:dyDescent="0.3">
      <c r="B6" s="22" t="s">
        <v>28</v>
      </c>
      <c r="C6" s="4" t="s">
        <v>23</v>
      </c>
      <c r="D6" s="4">
        <v>68</v>
      </c>
      <c r="E6" s="5" t="s">
        <v>9</v>
      </c>
      <c r="F6" s="9">
        <v>44927</v>
      </c>
      <c r="G6" s="4">
        <v>66</v>
      </c>
      <c r="H6" s="23">
        <v>4.7</v>
      </c>
      <c r="I6">
        <f>IF(MONTH(Calls[[#This Row],[Date of Call]])&lt;6,YEAR(Calls[[#This Row],[Date of Call]]),YEAR(Calls[[#This Row],[Date of Call]])+1)</f>
        <v>2023</v>
      </c>
      <c r="J6" t="str">
        <f>TEXT(Calls[[#This Row],[Date of Call]],"DDDD")</f>
        <v>Sunday</v>
      </c>
      <c r="K6" t="str" cm="1">
        <f t="array" ref="K6">_xlfn.IFS(Calls[[#This Row],[Duration]]&lt;10,"Under 10 Mins",Calls[[#This Row],[Duration]]&lt;=30,"10 - 30 Mins",Calls[[#This Row],[Duration]]&lt;=60,"30 - 60 Mins",Calls[[#This Row],[Duration]]&lt;=120,"1 - 2 Hours",TRUE,"More than 2  Hours")</f>
        <v>1 - 2 Hours</v>
      </c>
      <c r="L6">
        <f>ROUND(Calls[[#This Row],[Satisfaction Rating]],0)</f>
        <v>5</v>
      </c>
      <c r="O6" s="22" t="s">
        <v>20</v>
      </c>
      <c r="P6" s="6" t="s">
        <v>998</v>
      </c>
      <c r="Q6" s="4">
        <v>26</v>
      </c>
      <c r="R6" s="23" t="s">
        <v>1002</v>
      </c>
    </row>
    <row r="7" spans="2:18" x14ac:dyDescent="0.3">
      <c r="B7" s="22" t="s">
        <v>29</v>
      </c>
      <c r="C7" s="4" t="s">
        <v>21</v>
      </c>
      <c r="D7" s="4">
        <v>119</v>
      </c>
      <c r="E7" s="5" t="s">
        <v>9</v>
      </c>
      <c r="F7" s="9">
        <v>44927</v>
      </c>
      <c r="G7" s="4">
        <v>22</v>
      </c>
      <c r="H7" s="23">
        <v>2.9</v>
      </c>
      <c r="I7">
        <f>IF(MONTH(Calls[[#This Row],[Date of Call]])&lt;6,YEAR(Calls[[#This Row],[Date of Call]]),YEAR(Calls[[#This Row],[Date of Call]])+1)</f>
        <v>2023</v>
      </c>
      <c r="J7" t="str">
        <f>TEXT(Calls[[#This Row],[Date of Call]],"DDDD")</f>
        <v>Sunday</v>
      </c>
      <c r="K7" t="str" cm="1">
        <f t="array" ref="K7">_xlfn.IFS(Calls[[#This Row],[Duration]]&lt;10,"Under 10 Mins",Calls[[#This Row],[Duration]]&lt;=30,"10 - 30 Mins",Calls[[#This Row],[Duration]]&lt;=60,"30 - 60 Mins",Calls[[#This Row],[Duration]]&lt;=120,"1 - 2 Hours",TRUE,"More than 2  Hours")</f>
        <v>1 - 2 Hours</v>
      </c>
      <c r="L7">
        <f>ROUND(Calls[[#This Row],[Satisfaction Rating]],0)</f>
        <v>3</v>
      </c>
      <c r="O7" s="22" t="s">
        <v>12</v>
      </c>
      <c r="P7" s="6" t="s">
        <v>998</v>
      </c>
      <c r="Q7" s="4">
        <v>36</v>
      </c>
      <c r="R7" s="23" t="s">
        <v>1002</v>
      </c>
    </row>
    <row r="8" spans="2:18" x14ac:dyDescent="0.3">
      <c r="B8" s="22" t="s">
        <v>30</v>
      </c>
      <c r="C8" s="4" t="s">
        <v>8</v>
      </c>
      <c r="D8" s="4">
        <v>128</v>
      </c>
      <c r="E8" s="5" t="s">
        <v>11</v>
      </c>
      <c r="F8" s="9">
        <v>44928</v>
      </c>
      <c r="G8" s="4">
        <v>31</v>
      </c>
      <c r="H8" s="23">
        <v>2.8</v>
      </c>
      <c r="I8">
        <f>IF(MONTH(Calls[[#This Row],[Date of Call]])&lt;6,YEAR(Calls[[#This Row],[Date of Call]]),YEAR(Calls[[#This Row],[Date of Call]])+1)</f>
        <v>2023</v>
      </c>
      <c r="J8" t="str">
        <f>TEXT(Calls[[#This Row],[Date of Call]],"DDDD")</f>
        <v>Monday</v>
      </c>
      <c r="K8" t="str" cm="1">
        <f t="array" ref="K8">_xlfn.IFS(Calls[[#This Row],[Duration]]&lt;10,"Under 10 Mins",Calls[[#This Row],[Duration]]&lt;=30,"10 - 30 Mins",Calls[[#This Row],[Duration]]&lt;=60,"30 - 60 Mins",Calls[[#This Row],[Duration]]&lt;=120,"1 - 2 Hours",TRUE,"More than 2  Hours")</f>
        <v>More than 2  Hours</v>
      </c>
      <c r="L8">
        <f>ROUND(Calls[[#This Row],[Satisfaction Rating]],0)</f>
        <v>3</v>
      </c>
      <c r="O8" s="22" t="s">
        <v>23</v>
      </c>
      <c r="P8" s="6" t="s">
        <v>998</v>
      </c>
      <c r="Q8" s="4">
        <v>37</v>
      </c>
      <c r="R8" s="23" t="s">
        <v>1000</v>
      </c>
    </row>
    <row r="9" spans="2:18" x14ac:dyDescent="0.3">
      <c r="B9" s="22" t="s">
        <v>31</v>
      </c>
      <c r="C9" s="4" t="s">
        <v>8</v>
      </c>
      <c r="D9" s="4">
        <v>49</v>
      </c>
      <c r="E9" s="5" t="s">
        <v>9</v>
      </c>
      <c r="F9" s="9">
        <v>44929</v>
      </c>
      <c r="G9" s="4">
        <v>135</v>
      </c>
      <c r="H9" s="23">
        <v>4.8</v>
      </c>
      <c r="I9">
        <f>IF(MONTH(Calls[[#This Row],[Date of Call]])&lt;6,YEAR(Calls[[#This Row],[Date of Call]]),YEAR(Calls[[#This Row],[Date of Call]])+1)</f>
        <v>2023</v>
      </c>
      <c r="J9" t="str">
        <f>TEXT(Calls[[#This Row],[Date of Call]],"DDDD")</f>
        <v>Tuesday</v>
      </c>
      <c r="K9" t="str" cm="1">
        <f t="array" ref="K9">_xlfn.IFS(Calls[[#This Row],[Duration]]&lt;10,"Under 10 Mins",Calls[[#This Row],[Duration]]&lt;=30,"10 - 30 Mins",Calls[[#This Row],[Duration]]&lt;=60,"30 - 60 Mins",Calls[[#This Row],[Duration]]&lt;=120,"1 - 2 Hours",TRUE,"More than 2  Hours")</f>
        <v>30 - 60 Mins</v>
      </c>
      <c r="L9">
        <f>ROUND(Calls[[#This Row],[Satisfaction Rating]],0)</f>
        <v>5</v>
      </c>
      <c r="O9" s="22" t="s">
        <v>7</v>
      </c>
      <c r="P9" s="6" t="s">
        <v>998</v>
      </c>
      <c r="Q9" s="4">
        <v>23</v>
      </c>
      <c r="R9" s="23" t="s">
        <v>1000</v>
      </c>
    </row>
    <row r="10" spans="2:18" x14ac:dyDescent="0.3">
      <c r="B10" s="22" t="s">
        <v>32</v>
      </c>
      <c r="C10" s="4" t="s">
        <v>15</v>
      </c>
      <c r="D10" s="4">
        <v>84</v>
      </c>
      <c r="E10" s="5" t="s">
        <v>10</v>
      </c>
      <c r="F10" s="9">
        <v>44929</v>
      </c>
      <c r="G10" s="4">
        <v>60</v>
      </c>
      <c r="H10" s="23">
        <v>4.7</v>
      </c>
      <c r="I10">
        <f>IF(MONTH(Calls[[#This Row],[Date of Call]])&lt;6,YEAR(Calls[[#This Row],[Date of Call]]),YEAR(Calls[[#This Row],[Date of Call]])+1)</f>
        <v>2023</v>
      </c>
      <c r="J10" t="str">
        <f>TEXT(Calls[[#This Row],[Date of Call]],"DDDD")</f>
        <v>Tuesday</v>
      </c>
      <c r="K10" t="str" cm="1">
        <f t="array" ref="K10">_xlfn.IFS(Calls[[#This Row],[Duration]]&lt;10,"Under 10 Mins",Calls[[#This Row],[Duration]]&lt;=30,"10 - 30 Mins",Calls[[#This Row],[Duration]]&lt;=60,"30 - 60 Mins",Calls[[#This Row],[Duration]]&lt;=120,"1 - 2 Hours",TRUE,"More than 2  Hours")</f>
        <v>1 - 2 Hours</v>
      </c>
      <c r="L10">
        <f>ROUND(Calls[[#This Row],[Satisfaction Rating]],0)</f>
        <v>5</v>
      </c>
      <c r="O10" s="22" t="s">
        <v>15</v>
      </c>
      <c r="P10" s="6" t="s">
        <v>999</v>
      </c>
      <c r="Q10" s="4">
        <v>22</v>
      </c>
      <c r="R10" s="23" t="s">
        <v>1001</v>
      </c>
    </row>
    <row r="11" spans="2:18" x14ac:dyDescent="0.3">
      <c r="B11" s="22" t="s">
        <v>33</v>
      </c>
      <c r="C11" s="4" t="s">
        <v>20</v>
      </c>
      <c r="D11" s="4">
        <v>103</v>
      </c>
      <c r="E11" s="5" t="s">
        <v>13</v>
      </c>
      <c r="F11" s="9">
        <v>44929</v>
      </c>
      <c r="G11" s="4">
        <v>148</v>
      </c>
      <c r="H11" s="23">
        <v>4.4000000000000004</v>
      </c>
      <c r="I11">
        <f>IF(MONTH(Calls[[#This Row],[Date of Call]])&lt;6,YEAR(Calls[[#This Row],[Date of Call]]),YEAR(Calls[[#This Row],[Date of Call]])+1)</f>
        <v>2023</v>
      </c>
      <c r="J11" t="str">
        <f>TEXT(Calls[[#This Row],[Date of Call]],"DDDD")</f>
        <v>Tuesday</v>
      </c>
      <c r="K11" t="str" cm="1">
        <f t="array" ref="K11">_xlfn.IFS(Calls[[#This Row],[Duration]]&lt;10,"Under 10 Mins",Calls[[#This Row],[Duration]]&lt;=30,"10 - 30 Mins",Calls[[#This Row],[Duration]]&lt;=60,"30 - 60 Mins",Calls[[#This Row],[Duration]]&lt;=120,"1 - 2 Hours",TRUE,"More than 2  Hours")</f>
        <v>1 - 2 Hours</v>
      </c>
      <c r="L11">
        <f>ROUND(Calls[[#This Row],[Satisfaction Rating]],0)</f>
        <v>4</v>
      </c>
      <c r="O11" s="22" t="s">
        <v>5</v>
      </c>
      <c r="P11" s="6" t="s">
        <v>999</v>
      </c>
      <c r="Q11" s="4">
        <v>42</v>
      </c>
      <c r="R11" s="23" t="s">
        <v>1001</v>
      </c>
    </row>
    <row r="12" spans="2:18" x14ac:dyDescent="0.3">
      <c r="B12" s="22" t="s">
        <v>34</v>
      </c>
      <c r="C12" s="4" t="s">
        <v>23</v>
      </c>
      <c r="D12" s="4">
        <v>31</v>
      </c>
      <c r="E12" s="5" t="s">
        <v>9</v>
      </c>
      <c r="F12" s="9">
        <v>44929</v>
      </c>
      <c r="G12" s="4">
        <v>135</v>
      </c>
      <c r="H12" s="23">
        <v>3.6</v>
      </c>
      <c r="I12">
        <f>IF(MONTH(Calls[[#This Row],[Date of Call]])&lt;6,YEAR(Calls[[#This Row],[Date of Call]]),YEAR(Calls[[#This Row],[Date of Call]])+1)</f>
        <v>2023</v>
      </c>
      <c r="J12" t="str">
        <f>TEXT(Calls[[#This Row],[Date of Call]],"DDDD")</f>
        <v>Tuesday</v>
      </c>
      <c r="K12" t="str" cm="1">
        <f t="array" ref="K12">_xlfn.IFS(Calls[[#This Row],[Duration]]&lt;10,"Under 10 Mins",Calls[[#This Row],[Duration]]&lt;=30,"10 - 30 Mins",Calls[[#This Row],[Duration]]&lt;=60,"30 - 60 Mins",Calls[[#This Row],[Duration]]&lt;=120,"1 - 2 Hours",TRUE,"More than 2  Hours")</f>
        <v>30 - 60 Mins</v>
      </c>
      <c r="L12">
        <f>ROUND(Calls[[#This Row],[Satisfaction Rating]],0)</f>
        <v>4</v>
      </c>
      <c r="O12" s="22" t="s">
        <v>22</v>
      </c>
      <c r="P12" s="6" t="s">
        <v>999</v>
      </c>
      <c r="Q12" s="4">
        <v>25</v>
      </c>
      <c r="R12" s="23" t="s">
        <v>1000</v>
      </c>
    </row>
    <row r="13" spans="2:18" x14ac:dyDescent="0.3">
      <c r="B13" s="22" t="s">
        <v>35</v>
      </c>
      <c r="C13" s="4" t="s">
        <v>18</v>
      </c>
      <c r="D13" s="4">
        <v>44</v>
      </c>
      <c r="E13" s="5" t="s">
        <v>6</v>
      </c>
      <c r="F13" s="9">
        <v>44929</v>
      </c>
      <c r="G13" s="4">
        <v>105</v>
      </c>
      <c r="H13" s="23">
        <v>2.9</v>
      </c>
      <c r="I13">
        <f>IF(MONTH(Calls[[#This Row],[Date of Call]])&lt;6,YEAR(Calls[[#This Row],[Date of Call]]),YEAR(Calls[[#This Row],[Date of Call]])+1)</f>
        <v>2023</v>
      </c>
      <c r="J13" t="str">
        <f>TEXT(Calls[[#This Row],[Date of Call]],"DDDD")</f>
        <v>Tuesday</v>
      </c>
      <c r="K13" t="str" cm="1">
        <f t="array" ref="K13">_xlfn.IFS(Calls[[#This Row],[Duration]]&lt;10,"Under 10 Mins",Calls[[#This Row],[Duration]]&lt;=30,"10 - 30 Mins",Calls[[#This Row],[Duration]]&lt;=60,"30 - 60 Mins",Calls[[#This Row],[Duration]]&lt;=120,"1 - 2 Hours",TRUE,"More than 2  Hours")</f>
        <v>30 - 60 Mins</v>
      </c>
      <c r="L13">
        <f>ROUND(Calls[[#This Row],[Satisfaction Rating]],0)</f>
        <v>3</v>
      </c>
      <c r="O13" s="22" t="s">
        <v>18</v>
      </c>
      <c r="P13" s="6" t="s">
        <v>999</v>
      </c>
      <c r="Q13" s="4">
        <v>30</v>
      </c>
      <c r="R13" s="23" t="s">
        <v>1001</v>
      </c>
    </row>
    <row r="14" spans="2:18" x14ac:dyDescent="0.3">
      <c r="B14" s="22" t="s">
        <v>36</v>
      </c>
      <c r="C14" s="4" t="s">
        <v>8</v>
      </c>
      <c r="D14" s="4">
        <v>102</v>
      </c>
      <c r="E14" s="5" t="s">
        <v>9</v>
      </c>
      <c r="F14" s="9">
        <v>44929</v>
      </c>
      <c r="G14" s="4">
        <v>69</v>
      </c>
      <c r="H14" s="23">
        <v>4.9000000000000004</v>
      </c>
      <c r="I14">
        <f>IF(MONTH(Calls[[#This Row],[Date of Call]])&lt;6,YEAR(Calls[[#This Row],[Date of Call]]),YEAR(Calls[[#This Row],[Date of Call]])+1)</f>
        <v>2023</v>
      </c>
      <c r="J14" t="str">
        <f>TEXT(Calls[[#This Row],[Date of Call]],"DDDD")</f>
        <v>Tuesday</v>
      </c>
      <c r="K14" t="str" cm="1">
        <f t="array" ref="K14">_xlfn.IFS(Calls[[#This Row],[Duration]]&lt;10,"Under 10 Mins",Calls[[#This Row],[Duration]]&lt;=30,"10 - 30 Mins",Calls[[#This Row],[Duration]]&lt;=60,"30 - 60 Mins",Calls[[#This Row],[Duration]]&lt;=120,"1 - 2 Hours",TRUE,"More than 2  Hours")</f>
        <v>1 - 2 Hours</v>
      </c>
      <c r="L14">
        <f>ROUND(Calls[[#This Row],[Satisfaction Rating]],0)</f>
        <v>5</v>
      </c>
      <c r="O14" s="22" t="s">
        <v>8</v>
      </c>
      <c r="P14" s="6" t="s">
        <v>999</v>
      </c>
      <c r="Q14" s="4">
        <v>30</v>
      </c>
      <c r="R14" s="23" t="s">
        <v>1002</v>
      </c>
    </row>
    <row r="15" spans="2:18" x14ac:dyDescent="0.3">
      <c r="B15" s="22" t="s">
        <v>37</v>
      </c>
      <c r="C15" s="4" t="s">
        <v>14</v>
      </c>
      <c r="D15" s="4">
        <v>135</v>
      </c>
      <c r="E15" s="5" t="s">
        <v>10</v>
      </c>
      <c r="F15" s="9">
        <v>44929</v>
      </c>
      <c r="G15" s="4">
        <v>46</v>
      </c>
      <c r="H15" s="23">
        <v>3.4</v>
      </c>
      <c r="I15">
        <f>IF(MONTH(Calls[[#This Row],[Date of Call]])&lt;6,YEAR(Calls[[#This Row],[Date of Call]]),YEAR(Calls[[#This Row],[Date of Call]])+1)</f>
        <v>2023</v>
      </c>
      <c r="J15" t="str">
        <f>TEXT(Calls[[#This Row],[Date of Call]],"DDDD")</f>
        <v>Tuesday</v>
      </c>
      <c r="K15" t="str" cm="1">
        <f t="array" ref="K15">_xlfn.IFS(Calls[[#This Row],[Duration]]&lt;10,"Under 10 Mins",Calls[[#This Row],[Duration]]&lt;=30,"10 - 30 Mins",Calls[[#This Row],[Duration]]&lt;=60,"30 - 60 Mins",Calls[[#This Row],[Duration]]&lt;=120,"1 - 2 Hours",TRUE,"More than 2  Hours")</f>
        <v>More than 2  Hours</v>
      </c>
      <c r="L15">
        <f>ROUND(Calls[[#This Row],[Satisfaction Rating]],0)</f>
        <v>3</v>
      </c>
      <c r="O15" s="22" t="s">
        <v>16</v>
      </c>
      <c r="P15" s="6" t="s">
        <v>999</v>
      </c>
      <c r="Q15" s="4">
        <v>28</v>
      </c>
      <c r="R15" s="23" t="s">
        <v>1002</v>
      </c>
    </row>
    <row r="16" spans="2:18" x14ac:dyDescent="0.3">
      <c r="B16" s="22" t="s">
        <v>38</v>
      </c>
      <c r="C16" s="4" t="s">
        <v>24</v>
      </c>
      <c r="D16" s="4">
        <v>98</v>
      </c>
      <c r="E16" s="5" t="s">
        <v>9</v>
      </c>
      <c r="F16" s="9">
        <v>44930</v>
      </c>
      <c r="G16" s="4">
        <v>108</v>
      </c>
      <c r="H16" s="23">
        <v>3.5</v>
      </c>
      <c r="I16">
        <f>IF(MONTH(Calls[[#This Row],[Date of Call]])&lt;6,YEAR(Calls[[#This Row],[Date of Call]]),YEAR(Calls[[#This Row],[Date of Call]])+1)</f>
        <v>2023</v>
      </c>
      <c r="J16" t="str">
        <f>TEXT(Calls[[#This Row],[Date of Call]],"DDDD")</f>
        <v>Wednesday</v>
      </c>
      <c r="K16" t="str" cm="1">
        <f t="array" ref="K16">_xlfn.IFS(Calls[[#This Row],[Duration]]&lt;10,"Under 10 Mins",Calls[[#This Row],[Duration]]&lt;=30,"10 - 30 Mins",Calls[[#This Row],[Duration]]&lt;=60,"30 - 60 Mins",Calls[[#This Row],[Duration]]&lt;=120,"1 - 2 Hours",TRUE,"More than 2  Hours")</f>
        <v>1 - 2 Hours</v>
      </c>
      <c r="L16">
        <f>ROUND(Calls[[#This Row],[Satisfaction Rating]],0)</f>
        <v>4</v>
      </c>
      <c r="O16" s="22" t="s">
        <v>14</v>
      </c>
      <c r="P16" s="6" t="s">
        <v>999</v>
      </c>
      <c r="Q16" s="4">
        <v>37</v>
      </c>
      <c r="R16" s="23" t="s">
        <v>1001</v>
      </c>
    </row>
    <row r="17" spans="2:18" x14ac:dyDescent="0.3">
      <c r="B17" s="22" t="s">
        <v>39</v>
      </c>
      <c r="C17" s="4" t="s">
        <v>18</v>
      </c>
      <c r="D17" s="4">
        <v>139</v>
      </c>
      <c r="E17" s="5" t="s">
        <v>9</v>
      </c>
      <c r="F17" s="9">
        <v>44930</v>
      </c>
      <c r="G17" s="4">
        <v>96</v>
      </c>
      <c r="H17" s="23">
        <v>4</v>
      </c>
      <c r="I17">
        <f>IF(MONTH(Calls[[#This Row],[Date of Call]])&lt;6,YEAR(Calls[[#This Row],[Date of Call]]),YEAR(Calls[[#This Row],[Date of Call]])+1)</f>
        <v>2023</v>
      </c>
      <c r="J17" t="str">
        <f>TEXT(Calls[[#This Row],[Date of Call]],"DDDD")</f>
        <v>Wednesday</v>
      </c>
      <c r="K17" t="str" cm="1">
        <f t="array" ref="K17">_xlfn.IFS(Calls[[#This Row],[Duration]]&lt;10,"Under 10 Mins",Calls[[#This Row],[Duration]]&lt;=30,"10 - 30 Mins",Calls[[#This Row],[Duration]]&lt;=60,"30 - 60 Mins",Calls[[#This Row],[Duration]]&lt;=120,"1 - 2 Hours",TRUE,"More than 2  Hours")</f>
        <v>More than 2  Hours</v>
      </c>
      <c r="L17">
        <f>ROUND(Calls[[#This Row],[Satisfaction Rating]],0)</f>
        <v>4</v>
      </c>
      <c r="O17" s="22" t="s">
        <v>21</v>
      </c>
      <c r="P17" s="6" t="s">
        <v>999</v>
      </c>
      <c r="Q17" s="4">
        <v>38</v>
      </c>
      <c r="R17" s="23" t="s">
        <v>1000</v>
      </c>
    </row>
    <row r="18" spans="2:18" x14ac:dyDescent="0.3">
      <c r="B18" s="22" t="s">
        <v>40</v>
      </c>
      <c r="C18" s="4" t="s">
        <v>14</v>
      </c>
      <c r="D18" s="4">
        <v>48</v>
      </c>
      <c r="E18" s="5" t="s">
        <v>11</v>
      </c>
      <c r="F18" s="9">
        <v>44930</v>
      </c>
      <c r="G18" s="4">
        <v>68</v>
      </c>
      <c r="H18" s="23">
        <v>4.9000000000000004</v>
      </c>
      <c r="I18">
        <f>IF(MONTH(Calls[[#This Row],[Date of Call]])&lt;6,YEAR(Calls[[#This Row],[Date of Call]]),YEAR(Calls[[#This Row],[Date of Call]])+1)</f>
        <v>2023</v>
      </c>
      <c r="J18" t="str">
        <f>TEXT(Calls[[#This Row],[Date of Call]],"DDDD")</f>
        <v>Wednesday</v>
      </c>
      <c r="K18" t="str" cm="1">
        <f t="array" ref="K18">_xlfn.IFS(Calls[[#This Row],[Duration]]&lt;10,"Under 10 Mins",Calls[[#This Row],[Duration]]&lt;=30,"10 - 30 Mins",Calls[[#This Row],[Duration]]&lt;=60,"30 - 60 Mins",Calls[[#This Row],[Duration]]&lt;=120,"1 - 2 Hours",TRUE,"More than 2  Hours")</f>
        <v>30 - 60 Mins</v>
      </c>
      <c r="L18">
        <f>ROUND(Calls[[#This Row],[Satisfaction Rating]],0)</f>
        <v>5</v>
      </c>
      <c r="O18" s="29" t="s">
        <v>19</v>
      </c>
      <c r="P18" s="35" t="s">
        <v>999</v>
      </c>
      <c r="Q18" s="30">
        <v>43</v>
      </c>
      <c r="R18" s="33" t="s">
        <v>1001</v>
      </c>
    </row>
    <row r="19" spans="2:18" x14ac:dyDescent="0.3">
      <c r="B19" s="22" t="s">
        <v>41</v>
      </c>
      <c r="C19" s="4" t="s">
        <v>18</v>
      </c>
      <c r="D19" s="4">
        <v>176</v>
      </c>
      <c r="E19" s="5" t="s">
        <v>10</v>
      </c>
      <c r="F19" s="9">
        <v>44931</v>
      </c>
      <c r="G19" s="4">
        <v>24</v>
      </c>
      <c r="H19" s="23">
        <v>4.8</v>
      </c>
      <c r="I19">
        <f>IF(MONTH(Calls[[#This Row],[Date of Call]])&lt;6,YEAR(Calls[[#This Row],[Date of Call]]),YEAR(Calls[[#This Row],[Date of Call]])+1)</f>
        <v>2023</v>
      </c>
      <c r="J19" t="str">
        <f>TEXT(Calls[[#This Row],[Date of Call]],"DDDD")</f>
        <v>Thursday</v>
      </c>
      <c r="K19" t="str" cm="1">
        <f t="array" ref="K19">_xlfn.IFS(Calls[[#This Row],[Duration]]&lt;10,"Under 10 Mins",Calls[[#This Row],[Duration]]&lt;=30,"10 - 30 Mins",Calls[[#This Row],[Duration]]&lt;=60,"30 - 60 Mins",Calls[[#This Row],[Duration]]&lt;=120,"1 - 2 Hours",TRUE,"More than 2  Hours")</f>
        <v>More than 2  Hours</v>
      </c>
      <c r="L19">
        <f>ROUND(Calls[[#This Row],[Satisfaction Rating]],0)</f>
        <v>5</v>
      </c>
    </row>
    <row r="20" spans="2:18" x14ac:dyDescent="0.3">
      <c r="B20" s="22" t="s">
        <v>42</v>
      </c>
      <c r="C20" s="4" t="s">
        <v>18</v>
      </c>
      <c r="D20" s="4">
        <v>99</v>
      </c>
      <c r="E20" s="5" t="s">
        <v>11</v>
      </c>
      <c r="F20" s="9">
        <v>44931</v>
      </c>
      <c r="G20" s="4">
        <v>195</v>
      </c>
      <c r="H20" s="23">
        <v>3.9</v>
      </c>
      <c r="I20">
        <f>IF(MONTH(Calls[[#This Row],[Date of Call]])&lt;6,YEAR(Calls[[#This Row],[Date of Call]]),YEAR(Calls[[#This Row],[Date of Call]])+1)</f>
        <v>2023</v>
      </c>
      <c r="J20" t="str">
        <f>TEXT(Calls[[#This Row],[Date of Call]],"DDDD")</f>
        <v>Thursday</v>
      </c>
      <c r="K20" t="str" cm="1">
        <f t="array" ref="K20">_xlfn.IFS(Calls[[#This Row],[Duration]]&lt;10,"Under 10 Mins",Calls[[#This Row],[Duration]]&lt;=30,"10 - 30 Mins",Calls[[#This Row],[Duration]]&lt;=60,"30 - 60 Mins",Calls[[#This Row],[Duration]]&lt;=120,"1 - 2 Hours",TRUE,"More than 2  Hours")</f>
        <v>1 - 2 Hours</v>
      </c>
      <c r="L20">
        <f>ROUND(Calls[[#This Row],[Satisfaction Rating]],0)</f>
        <v>4</v>
      </c>
    </row>
    <row r="21" spans="2:18" x14ac:dyDescent="0.3">
      <c r="B21" s="22" t="s">
        <v>43</v>
      </c>
      <c r="C21" s="4" t="s">
        <v>22</v>
      </c>
      <c r="D21" s="4">
        <v>28</v>
      </c>
      <c r="E21" s="5" t="s">
        <v>6</v>
      </c>
      <c r="F21" s="9">
        <v>44931</v>
      </c>
      <c r="G21" s="4">
        <v>28</v>
      </c>
      <c r="H21" s="23">
        <v>3.8</v>
      </c>
      <c r="I21">
        <f>IF(MONTH(Calls[[#This Row],[Date of Call]])&lt;6,YEAR(Calls[[#This Row],[Date of Call]]),YEAR(Calls[[#This Row],[Date of Call]])+1)</f>
        <v>2023</v>
      </c>
      <c r="J21" t="str">
        <f>TEXT(Calls[[#This Row],[Date of Call]],"DDDD")</f>
        <v>Thursday</v>
      </c>
      <c r="K21" t="str" cm="1">
        <f t="array" ref="K21">_xlfn.IFS(Calls[[#This Row],[Duration]]&lt;10,"Under 10 Mins",Calls[[#This Row],[Duration]]&lt;=30,"10 - 30 Mins",Calls[[#This Row],[Duration]]&lt;=60,"30 - 60 Mins",Calls[[#This Row],[Duration]]&lt;=120,"1 - 2 Hours",TRUE,"More than 2  Hours")</f>
        <v>10 - 30 Mins</v>
      </c>
      <c r="L21">
        <f>ROUND(Calls[[#This Row],[Satisfaction Rating]],0)</f>
        <v>4</v>
      </c>
    </row>
    <row r="22" spans="2:18" x14ac:dyDescent="0.3">
      <c r="B22" s="22" t="s">
        <v>44</v>
      </c>
      <c r="C22" s="4" t="s">
        <v>15</v>
      </c>
      <c r="D22" s="4">
        <v>54</v>
      </c>
      <c r="E22" s="5" t="s">
        <v>9</v>
      </c>
      <c r="F22" s="9">
        <v>44931</v>
      </c>
      <c r="G22" s="4">
        <v>170</v>
      </c>
      <c r="H22" s="23">
        <v>4.3</v>
      </c>
      <c r="I22">
        <f>IF(MONTH(Calls[[#This Row],[Date of Call]])&lt;6,YEAR(Calls[[#This Row],[Date of Call]]),YEAR(Calls[[#This Row],[Date of Call]])+1)</f>
        <v>2023</v>
      </c>
      <c r="J22" t="str">
        <f>TEXT(Calls[[#This Row],[Date of Call]],"DDDD")</f>
        <v>Thursday</v>
      </c>
      <c r="K22" t="str" cm="1">
        <f t="array" ref="K22">_xlfn.IFS(Calls[[#This Row],[Duration]]&lt;10,"Under 10 Mins",Calls[[#This Row],[Duration]]&lt;=30,"10 - 30 Mins",Calls[[#This Row],[Duration]]&lt;=60,"30 - 60 Mins",Calls[[#This Row],[Duration]]&lt;=120,"1 - 2 Hours",TRUE,"More than 2  Hours")</f>
        <v>30 - 60 Mins</v>
      </c>
      <c r="L22">
        <f>ROUND(Calls[[#This Row],[Satisfaction Rating]],0)</f>
        <v>4</v>
      </c>
    </row>
    <row r="23" spans="2:18" x14ac:dyDescent="0.3">
      <c r="B23" s="22" t="s">
        <v>45</v>
      </c>
      <c r="C23" s="4" t="s">
        <v>7</v>
      </c>
      <c r="D23" s="4">
        <v>48</v>
      </c>
      <c r="E23" s="5" t="s">
        <v>10</v>
      </c>
      <c r="F23" s="9">
        <v>44932</v>
      </c>
      <c r="G23" s="4">
        <v>30</v>
      </c>
      <c r="H23" s="23">
        <v>4.4000000000000004</v>
      </c>
      <c r="I23">
        <f>IF(MONTH(Calls[[#This Row],[Date of Call]])&lt;6,YEAR(Calls[[#This Row],[Date of Call]]),YEAR(Calls[[#This Row],[Date of Call]])+1)</f>
        <v>2023</v>
      </c>
      <c r="J23" t="str">
        <f>TEXT(Calls[[#This Row],[Date of Call]],"DDDD")</f>
        <v>Friday</v>
      </c>
      <c r="K23" t="str" cm="1">
        <f t="array" ref="K23">_xlfn.IFS(Calls[[#This Row],[Duration]]&lt;10,"Under 10 Mins",Calls[[#This Row],[Duration]]&lt;=30,"10 - 30 Mins",Calls[[#This Row],[Duration]]&lt;=60,"30 - 60 Mins",Calls[[#This Row],[Duration]]&lt;=120,"1 - 2 Hours",TRUE,"More than 2  Hours")</f>
        <v>30 - 60 Mins</v>
      </c>
      <c r="L23">
        <f>ROUND(Calls[[#This Row],[Satisfaction Rating]],0)</f>
        <v>4</v>
      </c>
    </row>
    <row r="24" spans="2:18" x14ac:dyDescent="0.3">
      <c r="B24" s="22" t="s">
        <v>46</v>
      </c>
      <c r="C24" s="4" t="s">
        <v>12</v>
      </c>
      <c r="D24" s="4">
        <v>128</v>
      </c>
      <c r="E24" s="5" t="s">
        <v>10</v>
      </c>
      <c r="F24" s="9">
        <v>44932</v>
      </c>
      <c r="G24" s="4">
        <v>72</v>
      </c>
      <c r="H24" s="23">
        <v>5</v>
      </c>
      <c r="I24">
        <f>IF(MONTH(Calls[[#This Row],[Date of Call]])&lt;6,YEAR(Calls[[#This Row],[Date of Call]]),YEAR(Calls[[#This Row],[Date of Call]])+1)</f>
        <v>2023</v>
      </c>
      <c r="J24" t="str">
        <f>TEXT(Calls[[#This Row],[Date of Call]],"DDDD")</f>
        <v>Friday</v>
      </c>
      <c r="K24" t="str" cm="1">
        <f t="array" ref="K24">_xlfn.IFS(Calls[[#This Row],[Duration]]&lt;10,"Under 10 Mins",Calls[[#This Row],[Duration]]&lt;=30,"10 - 30 Mins",Calls[[#This Row],[Duration]]&lt;=60,"30 - 60 Mins",Calls[[#This Row],[Duration]]&lt;=120,"1 - 2 Hours",TRUE,"More than 2  Hours")</f>
        <v>More than 2  Hours</v>
      </c>
      <c r="L24">
        <f>ROUND(Calls[[#This Row],[Satisfaction Rating]],0)</f>
        <v>5</v>
      </c>
    </row>
    <row r="25" spans="2:18" x14ac:dyDescent="0.3">
      <c r="B25" s="22" t="s">
        <v>47</v>
      </c>
      <c r="C25" s="4" t="s">
        <v>12</v>
      </c>
      <c r="D25" s="4">
        <v>38</v>
      </c>
      <c r="E25" s="5" t="s">
        <v>13</v>
      </c>
      <c r="F25" s="9">
        <v>44933</v>
      </c>
      <c r="G25" s="4">
        <v>92</v>
      </c>
      <c r="H25" s="23">
        <v>4.9000000000000004</v>
      </c>
      <c r="I25">
        <f>IF(MONTH(Calls[[#This Row],[Date of Call]])&lt;6,YEAR(Calls[[#This Row],[Date of Call]]),YEAR(Calls[[#This Row],[Date of Call]])+1)</f>
        <v>2023</v>
      </c>
      <c r="J25" t="str">
        <f>TEXT(Calls[[#This Row],[Date of Call]],"DDDD")</f>
        <v>Saturday</v>
      </c>
      <c r="K25" t="str" cm="1">
        <f t="array" ref="K25">_xlfn.IFS(Calls[[#This Row],[Duration]]&lt;10,"Under 10 Mins",Calls[[#This Row],[Duration]]&lt;=30,"10 - 30 Mins",Calls[[#This Row],[Duration]]&lt;=60,"30 - 60 Mins",Calls[[#This Row],[Duration]]&lt;=120,"1 - 2 Hours",TRUE,"More than 2  Hours")</f>
        <v>30 - 60 Mins</v>
      </c>
      <c r="L25">
        <f>ROUND(Calls[[#This Row],[Satisfaction Rating]],0)</f>
        <v>5</v>
      </c>
    </row>
    <row r="26" spans="2:18" x14ac:dyDescent="0.3">
      <c r="B26" s="22" t="s">
        <v>48</v>
      </c>
      <c r="C26" s="4" t="s">
        <v>20</v>
      </c>
      <c r="D26" s="4">
        <v>67</v>
      </c>
      <c r="E26" s="5" t="s">
        <v>13</v>
      </c>
      <c r="F26" s="9">
        <v>44934</v>
      </c>
      <c r="G26" s="4">
        <v>165</v>
      </c>
      <c r="H26" s="23">
        <v>4.5</v>
      </c>
      <c r="I26">
        <f>IF(MONTH(Calls[[#This Row],[Date of Call]])&lt;6,YEAR(Calls[[#This Row],[Date of Call]]),YEAR(Calls[[#This Row],[Date of Call]])+1)</f>
        <v>2023</v>
      </c>
      <c r="J26" t="str">
        <f>TEXT(Calls[[#This Row],[Date of Call]],"DDDD")</f>
        <v>Sunday</v>
      </c>
      <c r="K26" t="str" cm="1">
        <f t="array" ref="K26">_xlfn.IFS(Calls[[#This Row],[Duration]]&lt;10,"Under 10 Mins",Calls[[#This Row],[Duration]]&lt;=30,"10 - 30 Mins",Calls[[#This Row],[Duration]]&lt;=60,"30 - 60 Mins",Calls[[#This Row],[Duration]]&lt;=120,"1 - 2 Hours",TRUE,"More than 2  Hours")</f>
        <v>1 - 2 Hours</v>
      </c>
      <c r="L26">
        <f>ROUND(Calls[[#This Row],[Satisfaction Rating]],0)</f>
        <v>5</v>
      </c>
    </row>
    <row r="27" spans="2:18" x14ac:dyDescent="0.3">
      <c r="B27" s="22" t="s">
        <v>49</v>
      </c>
      <c r="C27" s="4" t="s">
        <v>19</v>
      </c>
      <c r="D27" s="4">
        <v>58</v>
      </c>
      <c r="E27" s="5" t="s">
        <v>9</v>
      </c>
      <c r="F27" s="9">
        <v>44934</v>
      </c>
      <c r="G27" s="4">
        <v>140</v>
      </c>
      <c r="H27" s="23">
        <v>2.1</v>
      </c>
      <c r="I27">
        <f>IF(MONTH(Calls[[#This Row],[Date of Call]])&lt;6,YEAR(Calls[[#This Row],[Date of Call]]),YEAR(Calls[[#This Row],[Date of Call]])+1)</f>
        <v>2023</v>
      </c>
      <c r="J27" t="str">
        <f>TEXT(Calls[[#This Row],[Date of Call]],"DDDD")</f>
        <v>Sunday</v>
      </c>
      <c r="K27" t="str" cm="1">
        <f t="array" ref="K27">_xlfn.IFS(Calls[[#This Row],[Duration]]&lt;10,"Under 10 Mins",Calls[[#This Row],[Duration]]&lt;=30,"10 - 30 Mins",Calls[[#This Row],[Duration]]&lt;=60,"30 - 60 Mins",Calls[[#This Row],[Duration]]&lt;=120,"1 - 2 Hours",TRUE,"More than 2  Hours")</f>
        <v>30 - 60 Mins</v>
      </c>
      <c r="L27">
        <f>ROUND(Calls[[#This Row],[Satisfaction Rating]],0)</f>
        <v>2</v>
      </c>
    </row>
    <row r="28" spans="2:18" x14ac:dyDescent="0.3">
      <c r="B28" s="22" t="s">
        <v>50</v>
      </c>
      <c r="C28" s="4" t="s">
        <v>18</v>
      </c>
      <c r="D28" s="4">
        <v>54</v>
      </c>
      <c r="E28" s="5" t="s">
        <v>11</v>
      </c>
      <c r="F28" s="9">
        <v>44934</v>
      </c>
      <c r="G28" s="4">
        <v>111</v>
      </c>
      <c r="H28" s="23">
        <v>3.3</v>
      </c>
      <c r="I28">
        <f>IF(MONTH(Calls[[#This Row],[Date of Call]])&lt;6,YEAR(Calls[[#This Row],[Date of Call]]),YEAR(Calls[[#This Row],[Date of Call]])+1)</f>
        <v>2023</v>
      </c>
      <c r="J28" t="str">
        <f>TEXT(Calls[[#This Row],[Date of Call]],"DDDD")</f>
        <v>Sunday</v>
      </c>
      <c r="K28" t="str" cm="1">
        <f t="array" ref="K28">_xlfn.IFS(Calls[[#This Row],[Duration]]&lt;10,"Under 10 Mins",Calls[[#This Row],[Duration]]&lt;=30,"10 - 30 Mins",Calls[[#This Row],[Duration]]&lt;=60,"30 - 60 Mins",Calls[[#This Row],[Duration]]&lt;=120,"1 - 2 Hours",TRUE,"More than 2  Hours")</f>
        <v>30 - 60 Mins</v>
      </c>
      <c r="L28">
        <f>ROUND(Calls[[#This Row],[Satisfaction Rating]],0)</f>
        <v>3</v>
      </c>
    </row>
    <row r="29" spans="2:18" x14ac:dyDescent="0.3">
      <c r="B29" s="22" t="s">
        <v>51</v>
      </c>
      <c r="C29" s="4" t="s">
        <v>16</v>
      </c>
      <c r="D29" s="4">
        <v>28</v>
      </c>
      <c r="E29" s="5" t="s">
        <v>10</v>
      </c>
      <c r="F29" s="9">
        <v>44935</v>
      </c>
      <c r="G29" s="4">
        <v>63</v>
      </c>
      <c r="H29" s="23">
        <v>4.0999999999999996</v>
      </c>
      <c r="I29">
        <f>IF(MONTH(Calls[[#This Row],[Date of Call]])&lt;6,YEAR(Calls[[#This Row],[Date of Call]]),YEAR(Calls[[#This Row],[Date of Call]])+1)</f>
        <v>2023</v>
      </c>
      <c r="J29" t="str">
        <f>TEXT(Calls[[#This Row],[Date of Call]],"DDDD")</f>
        <v>Monday</v>
      </c>
      <c r="K29" t="str" cm="1">
        <f t="array" ref="K29">_xlfn.IFS(Calls[[#This Row],[Duration]]&lt;10,"Under 10 Mins",Calls[[#This Row],[Duration]]&lt;=30,"10 - 30 Mins",Calls[[#This Row],[Duration]]&lt;=60,"30 - 60 Mins",Calls[[#This Row],[Duration]]&lt;=120,"1 - 2 Hours",TRUE,"More than 2  Hours")</f>
        <v>10 - 30 Mins</v>
      </c>
      <c r="L29">
        <f>ROUND(Calls[[#This Row],[Satisfaction Rating]],0)</f>
        <v>4</v>
      </c>
    </row>
    <row r="30" spans="2:18" x14ac:dyDescent="0.3">
      <c r="B30" s="22" t="s">
        <v>52</v>
      </c>
      <c r="C30" s="4" t="s">
        <v>24</v>
      </c>
      <c r="D30" s="4">
        <v>73</v>
      </c>
      <c r="E30" s="5" t="s">
        <v>10</v>
      </c>
      <c r="F30" s="9">
        <v>44935</v>
      </c>
      <c r="G30" s="4">
        <v>80</v>
      </c>
      <c r="H30" s="23">
        <v>4.2</v>
      </c>
      <c r="I30">
        <f>IF(MONTH(Calls[[#This Row],[Date of Call]])&lt;6,YEAR(Calls[[#This Row],[Date of Call]]),YEAR(Calls[[#This Row],[Date of Call]])+1)</f>
        <v>2023</v>
      </c>
      <c r="J30" t="str">
        <f>TEXT(Calls[[#This Row],[Date of Call]],"DDDD")</f>
        <v>Monday</v>
      </c>
      <c r="K30" t="str" cm="1">
        <f t="array" ref="K30">_xlfn.IFS(Calls[[#This Row],[Duration]]&lt;10,"Under 10 Mins",Calls[[#This Row],[Duration]]&lt;=30,"10 - 30 Mins",Calls[[#This Row],[Duration]]&lt;=60,"30 - 60 Mins",Calls[[#This Row],[Duration]]&lt;=120,"1 - 2 Hours",TRUE,"More than 2  Hours")</f>
        <v>1 - 2 Hours</v>
      </c>
      <c r="L30">
        <f>ROUND(Calls[[#This Row],[Satisfaction Rating]],0)</f>
        <v>4</v>
      </c>
    </row>
    <row r="31" spans="2:18" x14ac:dyDescent="0.3">
      <c r="B31" s="22" t="s">
        <v>53</v>
      </c>
      <c r="C31" s="4" t="s">
        <v>8</v>
      </c>
      <c r="D31" s="4">
        <v>81</v>
      </c>
      <c r="E31" s="5" t="s">
        <v>10</v>
      </c>
      <c r="F31" s="9">
        <v>44936</v>
      </c>
      <c r="G31" s="4">
        <v>50</v>
      </c>
      <c r="H31" s="23">
        <v>4.5999999999999996</v>
      </c>
      <c r="I31">
        <f>IF(MONTH(Calls[[#This Row],[Date of Call]])&lt;6,YEAR(Calls[[#This Row],[Date of Call]]),YEAR(Calls[[#This Row],[Date of Call]])+1)</f>
        <v>2023</v>
      </c>
      <c r="J31" t="str">
        <f>TEXT(Calls[[#This Row],[Date of Call]],"DDDD")</f>
        <v>Tuesday</v>
      </c>
      <c r="K31" t="str" cm="1">
        <f t="array" ref="K31">_xlfn.IFS(Calls[[#This Row],[Duration]]&lt;10,"Under 10 Mins",Calls[[#This Row],[Duration]]&lt;=30,"10 - 30 Mins",Calls[[#This Row],[Duration]]&lt;=60,"30 - 60 Mins",Calls[[#This Row],[Duration]]&lt;=120,"1 - 2 Hours",TRUE,"More than 2  Hours")</f>
        <v>1 - 2 Hours</v>
      </c>
      <c r="L31">
        <f>ROUND(Calls[[#This Row],[Satisfaction Rating]],0)</f>
        <v>5</v>
      </c>
    </row>
    <row r="32" spans="2:18" x14ac:dyDescent="0.3">
      <c r="B32" s="22" t="s">
        <v>54</v>
      </c>
      <c r="C32" s="4" t="s">
        <v>22</v>
      </c>
      <c r="D32" s="4">
        <v>31</v>
      </c>
      <c r="E32" s="5" t="s">
        <v>13</v>
      </c>
      <c r="F32" s="9">
        <v>44936</v>
      </c>
      <c r="G32" s="4">
        <v>123</v>
      </c>
      <c r="H32" s="23">
        <v>2.9</v>
      </c>
      <c r="I32">
        <f>IF(MONTH(Calls[[#This Row],[Date of Call]])&lt;6,YEAR(Calls[[#This Row],[Date of Call]]),YEAR(Calls[[#This Row],[Date of Call]])+1)</f>
        <v>2023</v>
      </c>
      <c r="J32" t="str">
        <f>TEXT(Calls[[#This Row],[Date of Call]],"DDDD")</f>
        <v>Tuesday</v>
      </c>
      <c r="K32" t="str" cm="1">
        <f t="array" ref="K32">_xlfn.IFS(Calls[[#This Row],[Duration]]&lt;10,"Under 10 Mins",Calls[[#This Row],[Duration]]&lt;=30,"10 - 30 Mins",Calls[[#This Row],[Duration]]&lt;=60,"30 - 60 Mins",Calls[[#This Row],[Duration]]&lt;=120,"1 - 2 Hours",TRUE,"More than 2  Hours")</f>
        <v>30 - 60 Mins</v>
      </c>
      <c r="L32">
        <f>ROUND(Calls[[#This Row],[Satisfaction Rating]],0)</f>
        <v>3</v>
      </c>
    </row>
    <row r="33" spans="2:12" x14ac:dyDescent="0.3">
      <c r="B33" s="22" t="s">
        <v>55</v>
      </c>
      <c r="C33" s="4" t="s">
        <v>19</v>
      </c>
      <c r="D33" s="4">
        <v>155</v>
      </c>
      <c r="E33" s="5" t="s">
        <v>11</v>
      </c>
      <c r="F33" s="9">
        <v>44936</v>
      </c>
      <c r="G33" s="4">
        <v>110</v>
      </c>
      <c r="H33" s="23">
        <v>4.8</v>
      </c>
      <c r="I33">
        <f>IF(MONTH(Calls[[#This Row],[Date of Call]])&lt;6,YEAR(Calls[[#This Row],[Date of Call]]),YEAR(Calls[[#This Row],[Date of Call]])+1)</f>
        <v>2023</v>
      </c>
      <c r="J33" t="str">
        <f>TEXT(Calls[[#This Row],[Date of Call]],"DDDD")</f>
        <v>Tuesday</v>
      </c>
      <c r="K33" t="str" cm="1">
        <f t="array" ref="K33">_xlfn.IFS(Calls[[#This Row],[Duration]]&lt;10,"Under 10 Mins",Calls[[#This Row],[Duration]]&lt;=30,"10 - 30 Mins",Calls[[#This Row],[Duration]]&lt;=60,"30 - 60 Mins",Calls[[#This Row],[Duration]]&lt;=120,"1 - 2 Hours",TRUE,"More than 2  Hours")</f>
        <v>More than 2  Hours</v>
      </c>
      <c r="L33">
        <f>ROUND(Calls[[#This Row],[Satisfaction Rating]],0)</f>
        <v>5</v>
      </c>
    </row>
    <row r="34" spans="2:12" x14ac:dyDescent="0.3">
      <c r="B34" s="22" t="s">
        <v>56</v>
      </c>
      <c r="C34" s="4" t="s">
        <v>22</v>
      </c>
      <c r="D34" s="4">
        <v>80</v>
      </c>
      <c r="E34" s="5" t="s">
        <v>10</v>
      </c>
      <c r="F34" s="9">
        <v>44936</v>
      </c>
      <c r="G34" s="4">
        <v>140</v>
      </c>
      <c r="H34" s="23">
        <v>4.2</v>
      </c>
      <c r="I34">
        <f>IF(MONTH(Calls[[#This Row],[Date of Call]])&lt;6,YEAR(Calls[[#This Row],[Date of Call]]),YEAR(Calls[[#This Row],[Date of Call]])+1)</f>
        <v>2023</v>
      </c>
      <c r="J34" t="str">
        <f>TEXT(Calls[[#This Row],[Date of Call]],"DDDD")</f>
        <v>Tuesday</v>
      </c>
      <c r="K34" t="str" cm="1">
        <f t="array" ref="K34">_xlfn.IFS(Calls[[#This Row],[Duration]]&lt;10,"Under 10 Mins",Calls[[#This Row],[Duration]]&lt;=30,"10 - 30 Mins",Calls[[#This Row],[Duration]]&lt;=60,"30 - 60 Mins",Calls[[#This Row],[Duration]]&lt;=120,"1 - 2 Hours",TRUE,"More than 2  Hours")</f>
        <v>1 - 2 Hours</v>
      </c>
      <c r="L34">
        <f>ROUND(Calls[[#This Row],[Satisfaction Rating]],0)</f>
        <v>4</v>
      </c>
    </row>
    <row r="35" spans="2:12" x14ac:dyDescent="0.3">
      <c r="B35" s="22" t="s">
        <v>57</v>
      </c>
      <c r="C35" s="4" t="s">
        <v>8</v>
      </c>
      <c r="D35" s="4">
        <v>82</v>
      </c>
      <c r="E35" s="5" t="s">
        <v>10</v>
      </c>
      <c r="F35" s="9">
        <v>44938</v>
      </c>
      <c r="G35" s="4">
        <v>42</v>
      </c>
      <c r="H35" s="23">
        <v>3.7</v>
      </c>
      <c r="I35">
        <f>IF(MONTH(Calls[[#This Row],[Date of Call]])&lt;6,YEAR(Calls[[#This Row],[Date of Call]]),YEAR(Calls[[#This Row],[Date of Call]])+1)</f>
        <v>2023</v>
      </c>
      <c r="J35" t="str">
        <f>TEXT(Calls[[#This Row],[Date of Call]],"DDDD")</f>
        <v>Thursday</v>
      </c>
      <c r="K35" t="str" cm="1">
        <f t="array" ref="K35">_xlfn.IFS(Calls[[#This Row],[Duration]]&lt;10,"Under 10 Mins",Calls[[#This Row],[Duration]]&lt;=30,"10 - 30 Mins",Calls[[#This Row],[Duration]]&lt;=60,"30 - 60 Mins",Calls[[#This Row],[Duration]]&lt;=120,"1 - 2 Hours",TRUE,"More than 2  Hours")</f>
        <v>1 - 2 Hours</v>
      </c>
      <c r="L35">
        <f>ROUND(Calls[[#This Row],[Satisfaction Rating]],0)</f>
        <v>4</v>
      </c>
    </row>
    <row r="36" spans="2:12" x14ac:dyDescent="0.3">
      <c r="B36" s="22" t="s">
        <v>58</v>
      </c>
      <c r="C36" s="4" t="s">
        <v>8</v>
      </c>
      <c r="D36" s="4">
        <v>29</v>
      </c>
      <c r="E36" s="5" t="s">
        <v>11</v>
      </c>
      <c r="F36" s="9">
        <v>44938</v>
      </c>
      <c r="G36" s="4">
        <v>170</v>
      </c>
      <c r="H36" s="23">
        <v>5</v>
      </c>
      <c r="I36">
        <f>IF(MONTH(Calls[[#This Row],[Date of Call]])&lt;6,YEAR(Calls[[#This Row],[Date of Call]]),YEAR(Calls[[#This Row],[Date of Call]])+1)</f>
        <v>2023</v>
      </c>
      <c r="J36" t="str">
        <f>TEXT(Calls[[#This Row],[Date of Call]],"DDDD")</f>
        <v>Thursday</v>
      </c>
      <c r="K36" t="str" cm="1">
        <f t="array" ref="K36">_xlfn.IFS(Calls[[#This Row],[Duration]]&lt;10,"Under 10 Mins",Calls[[#This Row],[Duration]]&lt;=30,"10 - 30 Mins",Calls[[#This Row],[Duration]]&lt;=60,"30 - 60 Mins",Calls[[#This Row],[Duration]]&lt;=120,"1 - 2 Hours",TRUE,"More than 2  Hours")</f>
        <v>10 - 30 Mins</v>
      </c>
      <c r="L36">
        <f>ROUND(Calls[[#This Row],[Satisfaction Rating]],0)</f>
        <v>5</v>
      </c>
    </row>
    <row r="37" spans="2:12" x14ac:dyDescent="0.3">
      <c r="B37" s="22" t="s">
        <v>59</v>
      </c>
      <c r="C37" s="4" t="s">
        <v>7</v>
      </c>
      <c r="D37" s="4">
        <v>160</v>
      </c>
      <c r="E37" s="5" t="s">
        <v>9</v>
      </c>
      <c r="F37" s="9">
        <v>44940</v>
      </c>
      <c r="G37" s="4">
        <v>105</v>
      </c>
      <c r="H37" s="23">
        <v>5</v>
      </c>
      <c r="I37">
        <f>IF(MONTH(Calls[[#This Row],[Date of Call]])&lt;6,YEAR(Calls[[#This Row],[Date of Call]]),YEAR(Calls[[#This Row],[Date of Call]])+1)</f>
        <v>2023</v>
      </c>
      <c r="J37" t="str">
        <f>TEXT(Calls[[#This Row],[Date of Call]],"DDDD")</f>
        <v>Saturday</v>
      </c>
      <c r="K37" t="str" cm="1">
        <f t="array" ref="K37">_xlfn.IFS(Calls[[#This Row],[Duration]]&lt;10,"Under 10 Mins",Calls[[#This Row],[Duration]]&lt;=30,"10 - 30 Mins",Calls[[#This Row],[Duration]]&lt;=60,"30 - 60 Mins",Calls[[#This Row],[Duration]]&lt;=120,"1 - 2 Hours",TRUE,"More than 2  Hours")</f>
        <v>More than 2  Hours</v>
      </c>
      <c r="L37">
        <f>ROUND(Calls[[#This Row],[Satisfaction Rating]],0)</f>
        <v>5</v>
      </c>
    </row>
    <row r="38" spans="2:12" x14ac:dyDescent="0.3">
      <c r="B38" s="22" t="s">
        <v>60</v>
      </c>
      <c r="C38" s="4" t="s">
        <v>17</v>
      </c>
      <c r="D38" s="4">
        <v>105</v>
      </c>
      <c r="E38" s="5" t="s">
        <v>10</v>
      </c>
      <c r="F38" s="9">
        <v>44941</v>
      </c>
      <c r="G38" s="4">
        <v>125</v>
      </c>
      <c r="H38" s="23">
        <v>4.8</v>
      </c>
      <c r="I38">
        <f>IF(MONTH(Calls[[#This Row],[Date of Call]])&lt;6,YEAR(Calls[[#This Row],[Date of Call]]),YEAR(Calls[[#This Row],[Date of Call]])+1)</f>
        <v>2023</v>
      </c>
      <c r="J38" t="str">
        <f>TEXT(Calls[[#This Row],[Date of Call]],"DDDD")</f>
        <v>Sunday</v>
      </c>
      <c r="K38" t="str" cm="1">
        <f t="array" ref="K38">_xlfn.IFS(Calls[[#This Row],[Duration]]&lt;10,"Under 10 Mins",Calls[[#This Row],[Duration]]&lt;=30,"10 - 30 Mins",Calls[[#This Row],[Duration]]&lt;=60,"30 - 60 Mins",Calls[[#This Row],[Duration]]&lt;=120,"1 - 2 Hours",TRUE,"More than 2  Hours")</f>
        <v>1 - 2 Hours</v>
      </c>
      <c r="L38">
        <f>ROUND(Calls[[#This Row],[Satisfaction Rating]],0)</f>
        <v>5</v>
      </c>
    </row>
    <row r="39" spans="2:12" x14ac:dyDescent="0.3">
      <c r="B39" s="22" t="s">
        <v>61</v>
      </c>
      <c r="C39" s="4" t="s">
        <v>22</v>
      </c>
      <c r="D39" s="4">
        <v>75</v>
      </c>
      <c r="E39" s="5" t="s">
        <v>6</v>
      </c>
      <c r="F39" s="9">
        <v>44941</v>
      </c>
      <c r="G39" s="4">
        <v>26</v>
      </c>
      <c r="H39" s="23">
        <v>2.4</v>
      </c>
      <c r="I39">
        <f>IF(MONTH(Calls[[#This Row],[Date of Call]])&lt;6,YEAR(Calls[[#This Row],[Date of Call]]),YEAR(Calls[[#This Row],[Date of Call]])+1)</f>
        <v>2023</v>
      </c>
      <c r="J39" t="str">
        <f>TEXT(Calls[[#This Row],[Date of Call]],"DDDD")</f>
        <v>Sunday</v>
      </c>
      <c r="K39" t="str" cm="1">
        <f t="array" ref="K39">_xlfn.IFS(Calls[[#This Row],[Duration]]&lt;10,"Under 10 Mins",Calls[[#This Row],[Duration]]&lt;=30,"10 - 30 Mins",Calls[[#This Row],[Duration]]&lt;=60,"30 - 60 Mins",Calls[[#This Row],[Duration]]&lt;=120,"1 - 2 Hours",TRUE,"More than 2  Hours")</f>
        <v>1 - 2 Hours</v>
      </c>
      <c r="L39">
        <f>ROUND(Calls[[#This Row],[Satisfaction Rating]],0)</f>
        <v>2</v>
      </c>
    </row>
    <row r="40" spans="2:12" x14ac:dyDescent="0.3">
      <c r="B40" s="22" t="s">
        <v>62</v>
      </c>
      <c r="C40" s="4" t="s">
        <v>19</v>
      </c>
      <c r="D40" s="4">
        <v>94</v>
      </c>
      <c r="E40" s="5" t="s">
        <v>6</v>
      </c>
      <c r="F40" s="9">
        <v>44942</v>
      </c>
      <c r="G40" s="4">
        <v>120</v>
      </c>
      <c r="H40" s="23">
        <v>3.1</v>
      </c>
      <c r="I40">
        <f>IF(MONTH(Calls[[#This Row],[Date of Call]])&lt;6,YEAR(Calls[[#This Row],[Date of Call]]),YEAR(Calls[[#This Row],[Date of Call]])+1)</f>
        <v>2023</v>
      </c>
      <c r="J40" t="str">
        <f>TEXT(Calls[[#This Row],[Date of Call]],"DDDD")</f>
        <v>Monday</v>
      </c>
      <c r="K40" t="str" cm="1">
        <f t="array" ref="K40">_xlfn.IFS(Calls[[#This Row],[Duration]]&lt;10,"Under 10 Mins",Calls[[#This Row],[Duration]]&lt;=30,"10 - 30 Mins",Calls[[#This Row],[Duration]]&lt;=60,"30 - 60 Mins",Calls[[#This Row],[Duration]]&lt;=120,"1 - 2 Hours",TRUE,"More than 2  Hours")</f>
        <v>1 - 2 Hours</v>
      </c>
      <c r="L40">
        <f>ROUND(Calls[[#This Row],[Satisfaction Rating]],0)</f>
        <v>3</v>
      </c>
    </row>
    <row r="41" spans="2:12" x14ac:dyDescent="0.3">
      <c r="B41" s="22" t="s">
        <v>63</v>
      </c>
      <c r="C41" s="4" t="s">
        <v>12</v>
      </c>
      <c r="D41" s="4">
        <v>90</v>
      </c>
      <c r="E41" s="5" t="s">
        <v>9</v>
      </c>
      <c r="F41" s="9">
        <v>44942</v>
      </c>
      <c r="G41" s="4">
        <v>132</v>
      </c>
      <c r="H41" s="23">
        <v>3.2</v>
      </c>
      <c r="I41">
        <f>IF(MONTH(Calls[[#This Row],[Date of Call]])&lt;6,YEAR(Calls[[#This Row],[Date of Call]]),YEAR(Calls[[#This Row],[Date of Call]])+1)</f>
        <v>2023</v>
      </c>
      <c r="J41" t="str">
        <f>TEXT(Calls[[#This Row],[Date of Call]],"DDDD")</f>
        <v>Monday</v>
      </c>
      <c r="K41" t="str" cm="1">
        <f t="array" ref="K41">_xlfn.IFS(Calls[[#This Row],[Duration]]&lt;10,"Under 10 Mins",Calls[[#This Row],[Duration]]&lt;=30,"10 - 30 Mins",Calls[[#This Row],[Duration]]&lt;=60,"30 - 60 Mins",Calls[[#This Row],[Duration]]&lt;=120,"1 - 2 Hours",TRUE,"More than 2  Hours")</f>
        <v>1 - 2 Hours</v>
      </c>
      <c r="L41">
        <f>ROUND(Calls[[#This Row],[Satisfaction Rating]],0)</f>
        <v>3</v>
      </c>
    </row>
    <row r="42" spans="2:12" x14ac:dyDescent="0.3">
      <c r="B42" s="22" t="s">
        <v>64</v>
      </c>
      <c r="C42" s="4" t="s">
        <v>19</v>
      </c>
      <c r="D42" s="4">
        <v>81</v>
      </c>
      <c r="E42" s="5" t="s">
        <v>13</v>
      </c>
      <c r="F42" s="9">
        <v>44943</v>
      </c>
      <c r="G42" s="4">
        <v>86</v>
      </c>
      <c r="H42" s="23">
        <v>2.4</v>
      </c>
      <c r="I42">
        <f>IF(MONTH(Calls[[#This Row],[Date of Call]])&lt;6,YEAR(Calls[[#This Row],[Date of Call]]),YEAR(Calls[[#This Row],[Date of Call]])+1)</f>
        <v>2023</v>
      </c>
      <c r="J42" t="str">
        <f>TEXT(Calls[[#This Row],[Date of Call]],"DDDD")</f>
        <v>Tuesday</v>
      </c>
      <c r="K42" t="str" cm="1">
        <f t="array" ref="K42">_xlfn.IFS(Calls[[#This Row],[Duration]]&lt;10,"Under 10 Mins",Calls[[#This Row],[Duration]]&lt;=30,"10 - 30 Mins",Calls[[#This Row],[Duration]]&lt;=60,"30 - 60 Mins",Calls[[#This Row],[Duration]]&lt;=120,"1 - 2 Hours",TRUE,"More than 2  Hours")</f>
        <v>1 - 2 Hours</v>
      </c>
      <c r="L42">
        <f>ROUND(Calls[[#This Row],[Satisfaction Rating]],0)</f>
        <v>2</v>
      </c>
    </row>
    <row r="43" spans="2:12" x14ac:dyDescent="0.3">
      <c r="B43" s="22" t="s">
        <v>65</v>
      </c>
      <c r="C43" s="4" t="s">
        <v>22</v>
      </c>
      <c r="D43" s="4">
        <v>106</v>
      </c>
      <c r="E43" s="5" t="s">
        <v>10</v>
      </c>
      <c r="F43" s="9">
        <v>44943</v>
      </c>
      <c r="G43" s="4">
        <v>108</v>
      </c>
      <c r="H43" s="23">
        <v>5</v>
      </c>
      <c r="I43">
        <f>IF(MONTH(Calls[[#This Row],[Date of Call]])&lt;6,YEAR(Calls[[#This Row],[Date of Call]]),YEAR(Calls[[#This Row],[Date of Call]])+1)</f>
        <v>2023</v>
      </c>
      <c r="J43" t="str">
        <f>TEXT(Calls[[#This Row],[Date of Call]],"DDDD")</f>
        <v>Tuesday</v>
      </c>
      <c r="K43" t="str" cm="1">
        <f t="array" ref="K43">_xlfn.IFS(Calls[[#This Row],[Duration]]&lt;10,"Under 10 Mins",Calls[[#This Row],[Duration]]&lt;=30,"10 - 30 Mins",Calls[[#This Row],[Duration]]&lt;=60,"30 - 60 Mins",Calls[[#This Row],[Duration]]&lt;=120,"1 - 2 Hours",TRUE,"More than 2  Hours")</f>
        <v>1 - 2 Hours</v>
      </c>
      <c r="L43">
        <f>ROUND(Calls[[#This Row],[Satisfaction Rating]],0)</f>
        <v>5</v>
      </c>
    </row>
    <row r="44" spans="2:12" x14ac:dyDescent="0.3">
      <c r="B44" s="22" t="s">
        <v>66</v>
      </c>
      <c r="C44" s="4" t="s">
        <v>12</v>
      </c>
      <c r="D44" s="4">
        <v>74</v>
      </c>
      <c r="E44" s="5" t="s">
        <v>13</v>
      </c>
      <c r="F44" s="9">
        <v>44943</v>
      </c>
      <c r="G44" s="4">
        <v>96</v>
      </c>
      <c r="H44" s="23">
        <v>4.7</v>
      </c>
      <c r="I44">
        <f>IF(MONTH(Calls[[#This Row],[Date of Call]])&lt;6,YEAR(Calls[[#This Row],[Date of Call]]),YEAR(Calls[[#This Row],[Date of Call]])+1)</f>
        <v>2023</v>
      </c>
      <c r="J44" t="str">
        <f>TEXT(Calls[[#This Row],[Date of Call]],"DDDD")</f>
        <v>Tuesday</v>
      </c>
      <c r="K44" t="str" cm="1">
        <f t="array" ref="K44">_xlfn.IFS(Calls[[#This Row],[Duration]]&lt;10,"Under 10 Mins",Calls[[#This Row],[Duration]]&lt;=30,"10 - 30 Mins",Calls[[#This Row],[Duration]]&lt;=60,"30 - 60 Mins",Calls[[#This Row],[Duration]]&lt;=120,"1 - 2 Hours",TRUE,"More than 2  Hours")</f>
        <v>1 - 2 Hours</v>
      </c>
      <c r="L44">
        <f>ROUND(Calls[[#This Row],[Satisfaction Rating]],0)</f>
        <v>5</v>
      </c>
    </row>
    <row r="45" spans="2:12" x14ac:dyDescent="0.3">
      <c r="B45" s="22" t="s">
        <v>67</v>
      </c>
      <c r="C45" s="4" t="s">
        <v>18</v>
      </c>
      <c r="D45" s="4">
        <v>105</v>
      </c>
      <c r="E45" s="5" t="s">
        <v>9</v>
      </c>
      <c r="F45" s="9">
        <v>44944</v>
      </c>
      <c r="G45" s="4">
        <v>80</v>
      </c>
      <c r="H45" s="23">
        <v>4.7</v>
      </c>
      <c r="I45">
        <f>IF(MONTH(Calls[[#This Row],[Date of Call]])&lt;6,YEAR(Calls[[#This Row],[Date of Call]]),YEAR(Calls[[#This Row],[Date of Call]])+1)</f>
        <v>2023</v>
      </c>
      <c r="J45" t="str">
        <f>TEXT(Calls[[#This Row],[Date of Call]],"DDDD")</f>
        <v>Wednesday</v>
      </c>
      <c r="K45" t="str" cm="1">
        <f t="array" ref="K45">_xlfn.IFS(Calls[[#This Row],[Duration]]&lt;10,"Under 10 Mins",Calls[[#This Row],[Duration]]&lt;=30,"10 - 30 Mins",Calls[[#This Row],[Duration]]&lt;=60,"30 - 60 Mins",Calls[[#This Row],[Duration]]&lt;=120,"1 - 2 Hours",TRUE,"More than 2  Hours")</f>
        <v>1 - 2 Hours</v>
      </c>
      <c r="L45">
        <f>ROUND(Calls[[#This Row],[Satisfaction Rating]],0)</f>
        <v>5</v>
      </c>
    </row>
    <row r="46" spans="2:12" x14ac:dyDescent="0.3">
      <c r="B46" s="22" t="s">
        <v>68</v>
      </c>
      <c r="C46" s="4" t="s">
        <v>22</v>
      </c>
      <c r="D46" s="4">
        <v>89</v>
      </c>
      <c r="E46" s="5" t="s">
        <v>10</v>
      </c>
      <c r="F46" s="9">
        <v>44944</v>
      </c>
      <c r="G46" s="4">
        <v>155</v>
      </c>
      <c r="H46" s="23">
        <v>4.0999999999999996</v>
      </c>
      <c r="I46">
        <f>IF(MONTH(Calls[[#This Row],[Date of Call]])&lt;6,YEAR(Calls[[#This Row],[Date of Call]]),YEAR(Calls[[#This Row],[Date of Call]])+1)</f>
        <v>2023</v>
      </c>
      <c r="J46" t="str">
        <f>TEXT(Calls[[#This Row],[Date of Call]],"DDDD")</f>
        <v>Wednesday</v>
      </c>
      <c r="K46" t="str" cm="1">
        <f t="array" ref="K46">_xlfn.IFS(Calls[[#This Row],[Duration]]&lt;10,"Under 10 Mins",Calls[[#This Row],[Duration]]&lt;=30,"10 - 30 Mins",Calls[[#This Row],[Duration]]&lt;=60,"30 - 60 Mins",Calls[[#This Row],[Duration]]&lt;=120,"1 - 2 Hours",TRUE,"More than 2  Hours")</f>
        <v>1 - 2 Hours</v>
      </c>
      <c r="L46">
        <f>ROUND(Calls[[#This Row],[Satisfaction Rating]],0)</f>
        <v>4</v>
      </c>
    </row>
    <row r="47" spans="2:12" x14ac:dyDescent="0.3">
      <c r="B47" s="22" t="s">
        <v>69</v>
      </c>
      <c r="C47" s="4" t="s">
        <v>14</v>
      </c>
      <c r="D47" s="4">
        <v>132</v>
      </c>
      <c r="E47" s="5" t="s">
        <v>6</v>
      </c>
      <c r="F47" s="9">
        <v>44944</v>
      </c>
      <c r="G47" s="4">
        <v>168</v>
      </c>
      <c r="H47" s="23">
        <v>4.0999999999999996</v>
      </c>
      <c r="I47">
        <f>IF(MONTH(Calls[[#This Row],[Date of Call]])&lt;6,YEAR(Calls[[#This Row],[Date of Call]]),YEAR(Calls[[#This Row],[Date of Call]])+1)</f>
        <v>2023</v>
      </c>
      <c r="J47" t="str">
        <f>TEXT(Calls[[#This Row],[Date of Call]],"DDDD")</f>
        <v>Wednesday</v>
      </c>
      <c r="K47" t="str" cm="1">
        <f t="array" ref="K47">_xlfn.IFS(Calls[[#This Row],[Duration]]&lt;10,"Under 10 Mins",Calls[[#This Row],[Duration]]&lt;=30,"10 - 30 Mins",Calls[[#This Row],[Duration]]&lt;=60,"30 - 60 Mins",Calls[[#This Row],[Duration]]&lt;=120,"1 - 2 Hours",TRUE,"More than 2  Hours")</f>
        <v>More than 2  Hours</v>
      </c>
      <c r="L47">
        <f>ROUND(Calls[[#This Row],[Satisfaction Rating]],0)</f>
        <v>4</v>
      </c>
    </row>
    <row r="48" spans="2:12" x14ac:dyDescent="0.3">
      <c r="B48" s="22" t="s">
        <v>70</v>
      </c>
      <c r="C48" s="4" t="s">
        <v>17</v>
      </c>
      <c r="D48" s="4">
        <v>105</v>
      </c>
      <c r="E48" s="5" t="s">
        <v>11</v>
      </c>
      <c r="F48" s="9">
        <v>44944</v>
      </c>
      <c r="G48" s="4">
        <v>56</v>
      </c>
      <c r="H48" s="23">
        <v>3.6</v>
      </c>
      <c r="I48">
        <f>IF(MONTH(Calls[[#This Row],[Date of Call]])&lt;6,YEAR(Calls[[#This Row],[Date of Call]]),YEAR(Calls[[#This Row],[Date of Call]])+1)</f>
        <v>2023</v>
      </c>
      <c r="J48" t="str">
        <f>TEXT(Calls[[#This Row],[Date of Call]],"DDDD")</f>
        <v>Wednesday</v>
      </c>
      <c r="K48" t="str" cm="1">
        <f t="array" ref="K48">_xlfn.IFS(Calls[[#This Row],[Duration]]&lt;10,"Under 10 Mins",Calls[[#This Row],[Duration]]&lt;=30,"10 - 30 Mins",Calls[[#This Row],[Duration]]&lt;=60,"30 - 60 Mins",Calls[[#This Row],[Duration]]&lt;=120,"1 - 2 Hours",TRUE,"More than 2  Hours")</f>
        <v>1 - 2 Hours</v>
      </c>
      <c r="L48">
        <f>ROUND(Calls[[#This Row],[Satisfaction Rating]],0)</f>
        <v>4</v>
      </c>
    </row>
    <row r="49" spans="2:12" x14ac:dyDescent="0.3">
      <c r="B49" s="22" t="s">
        <v>71</v>
      </c>
      <c r="C49" s="4" t="s">
        <v>8</v>
      </c>
      <c r="D49" s="4">
        <v>13</v>
      </c>
      <c r="E49" s="5" t="s">
        <v>6</v>
      </c>
      <c r="F49" s="9">
        <v>44945</v>
      </c>
      <c r="G49" s="4">
        <v>32</v>
      </c>
      <c r="H49" s="23">
        <v>4.4000000000000004</v>
      </c>
      <c r="I49">
        <f>IF(MONTH(Calls[[#This Row],[Date of Call]])&lt;6,YEAR(Calls[[#This Row],[Date of Call]]),YEAR(Calls[[#This Row],[Date of Call]])+1)</f>
        <v>2023</v>
      </c>
      <c r="J49" t="str">
        <f>TEXT(Calls[[#This Row],[Date of Call]],"DDDD")</f>
        <v>Thursday</v>
      </c>
      <c r="K49" t="str" cm="1">
        <f t="array" ref="K49">_xlfn.IFS(Calls[[#This Row],[Duration]]&lt;10,"Under 10 Mins",Calls[[#This Row],[Duration]]&lt;=30,"10 - 30 Mins",Calls[[#This Row],[Duration]]&lt;=60,"30 - 60 Mins",Calls[[#This Row],[Duration]]&lt;=120,"1 - 2 Hours",TRUE,"More than 2  Hours")</f>
        <v>10 - 30 Mins</v>
      </c>
      <c r="L49">
        <f>ROUND(Calls[[#This Row],[Satisfaction Rating]],0)</f>
        <v>4</v>
      </c>
    </row>
    <row r="50" spans="2:12" x14ac:dyDescent="0.3">
      <c r="B50" s="22" t="s">
        <v>72</v>
      </c>
      <c r="C50" s="4" t="s">
        <v>21</v>
      </c>
      <c r="D50" s="4">
        <v>131</v>
      </c>
      <c r="E50" s="5" t="s">
        <v>11</v>
      </c>
      <c r="F50" s="9">
        <v>44945</v>
      </c>
      <c r="G50" s="4">
        <v>78</v>
      </c>
      <c r="H50" s="23">
        <v>4.4000000000000004</v>
      </c>
      <c r="I50">
        <f>IF(MONTH(Calls[[#This Row],[Date of Call]])&lt;6,YEAR(Calls[[#This Row],[Date of Call]]),YEAR(Calls[[#This Row],[Date of Call]])+1)</f>
        <v>2023</v>
      </c>
      <c r="J50" t="str">
        <f>TEXT(Calls[[#This Row],[Date of Call]],"DDDD")</f>
        <v>Thursday</v>
      </c>
      <c r="K50" t="str" cm="1">
        <f t="array" ref="K50">_xlfn.IFS(Calls[[#This Row],[Duration]]&lt;10,"Under 10 Mins",Calls[[#This Row],[Duration]]&lt;=30,"10 - 30 Mins",Calls[[#This Row],[Duration]]&lt;=60,"30 - 60 Mins",Calls[[#This Row],[Duration]]&lt;=120,"1 - 2 Hours",TRUE,"More than 2  Hours")</f>
        <v>More than 2  Hours</v>
      </c>
      <c r="L50">
        <f>ROUND(Calls[[#This Row],[Satisfaction Rating]],0)</f>
        <v>4</v>
      </c>
    </row>
    <row r="51" spans="2:12" x14ac:dyDescent="0.3">
      <c r="B51" s="22" t="s">
        <v>73</v>
      </c>
      <c r="C51" s="4" t="s">
        <v>12</v>
      </c>
      <c r="D51" s="4">
        <v>104</v>
      </c>
      <c r="E51" s="5" t="s">
        <v>10</v>
      </c>
      <c r="F51" s="9">
        <v>44945</v>
      </c>
      <c r="G51" s="4">
        <v>86</v>
      </c>
      <c r="H51" s="23">
        <v>4</v>
      </c>
      <c r="I51">
        <f>IF(MONTH(Calls[[#This Row],[Date of Call]])&lt;6,YEAR(Calls[[#This Row],[Date of Call]]),YEAR(Calls[[#This Row],[Date of Call]])+1)</f>
        <v>2023</v>
      </c>
      <c r="J51" t="str">
        <f>TEXT(Calls[[#This Row],[Date of Call]],"DDDD")</f>
        <v>Thursday</v>
      </c>
      <c r="K51" t="str" cm="1">
        <f t="array" ref="K51">_xlfn.IFS(Calls[[#This Row],[Duration]]&lt;10,"Under 10 Mins",Calls[[#This Row],[Duration]]&lt;=30,"10 - 30 Mins",Calls[[#This Row],[Duration]]&lt;=60,"30 - 60 Mins",Calls[[#This Row],[Duration]]&lt;=120,"1 - 2 Hours",TRUE,"More than 2  Hours")</f>
        <v>1 - 2 Hours</v>
      </c>
      <c r="L51">
        <f>ROUND(Calls[[#This Row],[Satisfaction Rating]],0)</f>
        <v>4</v>
      </c>
    </row>
    <row r="52" spans="2:12" x14ac:dyDescent="0.3">
      <c r="B52" s="22" t="s">
        <v>74</v>
      </c>
      <c r="C52" s="4" t="s">
        <v>20</v>
      </c>
      <c r="D52" s="4">
        <v>90</v>
      </c>
      <c r="E52" s="5" t="s">
        <v>9</v>
      </c>
      <c r="F52" s="9">
        <v>44946</v>
      </c>
      <c r="G52" s="4">
        <v>64</v>
      </c>
      <c r="H52" s="23">
        <v>3.8</v>
      </c>
      <c r="I52">
        <f>IF(MONTH(Calls[[#This Row],[Date of Call]])&lt;6,YEAR(Calls[[#This Row],[Date of Call]]),YEAR(Calls[[#This Row],[Date of Call]])+1)</f>
        <v>2023</v>
      </c>
      <c r="J52" t="str">
        <f>TEXT(Calls[[#This Row],[Date of Call]],"DDDD")</f>
        <v>Friday</v>
      </c>
      <c r="K52" t="str" cm="1">
        <f t="array" ref="K52">_xlfn.IFS(Calls[[#This Row],[Duration]]&lt;10,"Under 10 Mins",Calls[[#This Row],[Duration]]&lt;=30,"10 - 30 Mins",Calls[[#This Row],[Duration]]&lt;=60,"30 - 60 Mins",Calls[[#This Row],[Duration]]&lt;=120,"1 - 2 Hours",TRUE,"More than 2  Hours")</f>
        <v>1 - 2 Hours</v>
      </c>
      <c r="L52">
        <f>ROUND(Calls[[#This Row],[Satisfaction Rating]],0)</f>
        <v>4</v>
      </c>
    </row>
    <row r="53" spans="2:12" x14ac:dyDescent="0.3">
      <c r="B53" s="22" t="s">
        <v>75</v>
      </c>
      <c r="C53" s="4" t="s">
        <v>16</v>
      </c>
      <c r="D53" s="4">
        <v>37</v>
      </c>
      <c r="E53" s="5" t="s">
        <v>9</v>
      </c>
      <c r="F53" s="9">
        <v>44946</v>
      </c>
      <c r="G53" s="4">
        <v>96</v>
      </c>
      <c r="H53" s="23">
        <v>3.6</v>
      </c>
      <c r="I53">
        <f>IF(MONTH(Calls[[#This Row],[Date of Call]])&lt;6,YEAR(Calls[[#This Row],[Date of Call]]),YEAR(Calls[[#This Row],[Date of Call]])+1)</f>
        <v>2023</v>
      </c>
      <c r="J53" t="str">
        <f>TEXT(Calls[[#This Row],[Date of Call]],"DDDD")</f>
        <v>Friday</v>
      </c>
      <c r="K53" t="str" cm="1">
        <f t="array" ref="K53">_xlfn.IFS(Calls[[#This Row],[Duration]]&lt;10,"Under 10 Mins",Calls[[#This Row],[Duration]]&lt;=30,"10 - 30 Mins",Calls[[#This Row],[Duration]]&lt;=60,"30 - 60 Mins",Calls[[#This Row],[Duration]]&lt;=120,"1 - 2 Hours",TRUE,"More than 2  Hours")</f>
        <v>30 - 60 Mins</v>
      </c>
      <c r="L53">
        <f>ROUND(Calls[[#This Row],[Satisfaction Rating]],0)</f>
        <v>4</v>
      </c>
    </row>
    <row r="54" spans="2:12" x14ac:dyDescent="0.3">
      <c r="B54" s="22" t="s">
        <v>76</v>
      </c>
      <c r="C54" s="4" t="s">
        <v>24</v>
      </c>
      <c r="D54" s="4">
        <v>149</v>
      </c>
      <c r="E54" s="5" t="s">
        <v>11</v>
      </c>
      <c r="F54" s="9">
        <v>44946</v>
      </c>
      <c r="G54" s="4">
        <v>72</v>
      </c>
      <c r="H54" s="23">
        <v>4.3</v>
      </c>
      <c r="I54">
        <f>IF(MONTH(Calls[[#This Row],[Date of Call]])&lt;6,YEAR(Calls[[#This Row],[Date of Call]]),YEAR(Calls[[#This Row],[Date of Call]])+1)</f>
        <v>2023</v>
      </c>
      <c r="J54" t="str">
        <f>TEXT(Calls[[#This Row],[Date of Call]],"DDDD")</f>
        <v>Friday</v>
      </c>
      <c r="K54" t="str" cm="1">
        <f t="array" ref="K54">_xlfn.IFS(Calls[[#This Row],[Duration]]&lt;10,"Under 10 Mins",Calls[[#This Row],[Duration]]&lt;=30,"10 - 30 Mins",Calls[[#This Row],[Duration]]&lt;=60,"30 - 60 Mins",Calls[[#This Row],[Duration]]&lt;=120,"1 - 2 Hours",TRUE,"More than 2  Hours")</f>
        <v>More than 2  Hours</v>
      </c>
      <c r="L54">
        <f>ROUND(Calls[[#This Row],[Satisfaction Rating]],0)</f>
        <v>4</v>
      </c>
    </row>
    <row r="55" spans="2:12" x14ac:dyDescent="0.3">
      <c r="B55" s="22" t="s">
        <v>77</v>
      </c>
      <c r="C55" s="4" t="s">
        <v>14</v>
      </c>
      <c r="D55" s="4">
        <v>100</v>
      </c>
      <c r="E55" s="5" t="s">
        <v>13</v>
      </c>
      <c r="F55" s="9">
        <v>44947</v>
      </c>
      <c r="G55" s="4">
        <v>135</v>
      </c>
      <c r="H55" s="23">
        <v>3.8</v>
      </c>
      <c r="I55">
        <f>IF(MONTH(Calls[[#This Row],[Date of Call]])&lt;6,YEAR(Calls[[#This Row],[Date of Call]]),YEAR(Calls[[#This Row],[Date of Call]])+1)</f>
        <v>2023</v>
      </c>
      <c r="J55" t="str">
        <f>TEXT(Calls[[#This Row],[Date of Call]],"DDDD")</f>
        <v>Saturday</v>
      </c>
      <c r="K55" t="str" cm="1">
        <f t="array" ref="K55">_xlfn.IFS(Calls[[#This Row],[Duration]]&lt;10,"Under 10 Mins",Calls[[#This Row],[Duration]]&lt;=30,"10 - 30 Mins",Calls[[#This Row],[Duration]]&lt;=60,"30 - 60 Mins",Calls[[#This Row],[Duration]]&lt;=120,"1 - 2 Hours",TRUE,"More than 2  Hours")</f>
        <v>1 - 2 Hours</v>
      </c>
      <c r="L55">
        <f>ROUND(Calls[[#This Row],[Satisfaction Rating]],0)</f>
        <v>4</v>
      </c>
    </row>
    <row r="56" spans="2:12" x14ac:dyDescent="0.3">
      <c r="B56" s="22" t="s">
        <v>78</v>
      </c>
      <c r="C56" s="4" t="s">
        <v>14</v>
      </c>
      <c r="D56" s="4">
        <v>79</v>
      </c>
      <c r="E56" s="5" t="s">
        <v>6</v>
      </c>
      <c r="F56" s="9">
        <v>44947</v>
      </c>
      <c r="G56" s="4">
        <v>140</v>
      </c>
      <c r="H56" s="23">
        <v>4.5</v>
      </c>
      <c r="I56">
        <f>IF(MONTH(Calls[[#This Row],[Date of Call]])&lt;6,YEAR(Calls[[#This Row],[Date of Call]]),YEAR(Calls[[#This Row],[Date of Call]])+1)</f>
        <v>2023</v>
      </c>
      <c r="J56" t="str">
        <f>TEXT(Calls[[#This Row],[Date of Call]],"DDDD")</f>
        <v>Saturday</v>
      </c>
      <c r="K56" t="str" cm="1">
        <f t="array" ref="K56">_xlfn.IFS(Calls[[#This Row],[Duration]]&lt;10,"Under 10 Mins",Calls[[#This Row],[Duration]]&lt;=30,"10 - 30 Mins",Calls[[#This Row],[Duration]]&lt;=60,"30 - 60 Mins",Calls[[#This Row],[Duration]]&lt;=120,"1 - 2 Hours",TRUE,"More than 2  Hours")</f>
        <v>1 - 2 Hours</v>
      </c>
      <c r="L56">
        <f>ROUND(Calls[[#This Row],[Satisfaction Rating]],0)</f>
        <v>5</v>
      </c>
    </row>
    <row r="57" spans="2:12" x14ac:dyDescent="0.3">
      <c r="B57" s="22" t="s">
        <v>79</v>
      </c>
      <c r="C57" s="4" t="s">
        <v>5</v>
      </c>
      <c r="D57" s="4">
        <v>157</v>
      </c>
      <c r="E57" s="5" t="s">
        <v>11</v>
      </c>
      <c r="F57" s="9">
        <v>44947</v>
      </c>
      <c r="G57" s="4">
        <v>69</v>
      </c>
      <c r="H57" s="23">
        <v>4.5</v>
      </c>
      <c r="I57">
        <f>IF(MONTH(Calls[[#This Row],[Date of Call]])&lt;6,YEAR(Calls[[#This Row],[Date of Call]]),YEAR(Calls[[#This Row],[Date of Call]])+1)</f>
        <v>2023</v>
      </c>
      <c r="J57" t="str">
        <f>TEXT(Calls[[#This Row],[Date of Call]],"DDDD")</f>
        <v>Saturday</v>
      </c>
      <c r="K57" t="str" cm="1">
        <f t="array" ref="K57">_xlfn.IFS(Calls[[#This Row],[Duration]]&lt;10,"Under 10 Mins",Calls[[#This Row],[Duration]]&lt;=30,"10 - 30 Mins",Calls[[#This Row],[Duration]]&lt;=60,"30 - 60 Mins",Calls[[#This Row],[Duration]]&lt;=120,"1 - 2 Hours",TRUE,"More than 2  Hours")</f>
        <v>More than 2  Hours</v>
      </c>
      <c r="L57">
        <f>ROUND(Calls[[#This Row],[Satisfaction Rating]],0)</f>
        <v>5</v>
      </c>
    </row>
    <row r="58" spans="2:12" x14ac:dyDescent="0.3">
      <c r="B58" s="22" t="s">
        <v>80</v>
      </c>
      <c r="C58" s="4" t="s">
        <v>14</v>
      </c>
      <c r="D58" s="4">
        <v>59</v>
      </c>
      <c r="E58" s="5" t="s">
        <v>10</v>
      </c>
      <c r="F58" s="9">
        <v>44948</v>
      </c>
      <c r="G58" s="4">
        <v>136</v>
      </c>
      <c r="H58" s="23">
        <v>4.5999999999999996</v>
      </c>
      <c r="I58">
        <f>IF(MONTH(Calls[[#This Row],[Date of Call]])&lt;6,YEAR(Calls[[#This Row],[Date of Call]]),YEAR(Calls[[#This Row],[Date of Call]])+1)</f>
        <v>2023</v>
      </c>
      <c r="J58" t="str">
        <f>TEXT(Calls[[#This Row],[Date of Call]],"DDDD")</f>
        <v>Sunday</v>
      </c>
      <c r="K58" t="str" cm="1">
        <f t="array" ref="K58">_xlfn.IFS(Calls[[#This Row],[Duration]]&lt;10,"Under 10 Mins",Calls[[#This Row],[Duration]]&lt;=30,"10 - 30 Mins",Calls[[#This Row],[Duration]]&lt;=60,"30 - 60 Mins",Calls[[#This Row],[Duration]]&lt;=120,"1 - 2 Hours",TRUE,"More than 2  Hours")</f>
        <v>30 - 60 Mins</v>
      </c>
      <c r="L58">
        <f>ROUND(Calls[[#This Row],[Satisfaction Rating]],0)</f>
        <v>5</v>
      </c>
    </row>
    <row r="59" spans="2:12" x14ac:dyDescent="0.3">
      <c r="B59" s="22" t="s">
        <v>81</v>
      </c>
      <c r="C59" s="4" t="s">
        <v>16</v>
      </c>
      <c r="D59" s="4">
        <v>83</v>
      </c>
      <c r="E59" s="5" t="s">
        <v>11</v>
      </c>
      <c r="F59" s="9">
        <v>44948</v>
      </c>
      <c r="G59" s="4">
        <v>28</v>
      </c>
      <c r="H59" s="23">
        <v>4.5</v>
      </c>
      <c r="I59">
        <f>IF(MONTH(Calls[[#This Row],[Date of Call]])&lt;6,YEAR(Calls[[#This Row],[Date of Call]]),YEAR(Calls[[#This Row],[Date of Call]])+1)</f>
        <v>2023</v>
      </c>
      <c r="J59" t="str">
        <f>TEXT(Calls[[#This Row],[Date of Call]],"DDDD")</f>
        <v>Sunday</v>
      </c>
      <c r="K59" t="str" cm="1">
        <f t="array" ref="K59">_xlfn.IFS(Calls[[#This Row],[Duration]]&lt;10,"Under 10 Mins",Calls[[#This Row],[Duration]]&lt;=30,"10 - 30 Mins",Calls[[#This Row],[Duration]]&lt;=60,"30 - 60 Mins",Calls[[#This Row],[Duration]]&lt;=120,"1 - 2 Hours",TRUE,"More than 2  Hours")</f>
        <v>1 - 2 Hours</v>
      </c>
      <c r="L59">
        <f>ROUND(Calls[[#This Row],[Satisfaction Rating]],0)</f>
        <v>5</v>
      </c>
    </row>
    <row r="60" spans="2:12" x14ac:dyDescent="0.3">
      <c r="B60" s="22" t="s">
        <v>82</v>
      </c>
      <c r="C60" s="4" t="s">
        <v>5</v>
      </c>
      <c r="D60" s="4">
        <v>58</v>
      </c>
      <c r="E60" s="5" t="s">
        <v>9</v>
      </c>
      <c r="F60" s="9">
        <v>44949</v>
      </c>
      <c r="G60" s="4">
        <v>135</v>
      </c>
      <c r="H60" s="23">
        <v>3.3</v>
      </c>
      <c r="I60">
        <f>IF(MONTH(Calls[[#This Row],[Date of Call]])&lt;6,YEAR(Calls[[#This Row],[Date of Call]]),YEAR(Calls[[#This Row],[Date of Call]])+1)</f>
        <v>2023</v>
      </c>
      <c r="J60" t="str">
        <f>TEXT(Calls[[#This Row],[Date of Call]],"DDDD")</f>
        <v>Monday</v>
      </c>
      <c r="K60" t="str" cm="1">
        <f t="array" ref="K60">_xlfn.IFS(Calls[[#This Row],[Duration]]&lt;10,"Under 10 Mins",Calls[[#This Row],[Duration]]&lt;=30,"10 - 30 Mins",Calls[[#This Row],[Duration]]&lt;=60,"30 - 60 Mins",Calls[[#This Row],[Duration]]&lt;=120,"1 - 2 Hours",TRUE,"More than 2  Hours")</f>
        <v>30 - 60 Mins</v>
      </c>
      <c r="L60">
        <f>ROUND(Calls[[#This Row],[Satisfaction Rating]],0)</f>
        <v>3</v>
      </c>
    </row>
    <row r="61" spans="2:12" x14ac:dyDescent="0.3">
      <c r="B61" s="22" t="s">
        <v>83</v>
      </c>
      <c r="C61" s="4" t="s">
        <v>19</v>
      </c>
      <c r="D61" s="4">
        <v>118</v>
      </c>
      <c r="E61" s="5" t="s">
        <v>9</v>
      </c>
      <c r="F61" s="9">
        <v>44949</v>
      </c>
      <c r="G61" s="4">
        <v>126</v>
      </c>
      <c r="H61" s="23">
        <v>2.2999999999999998</v>
      </c>
      <c r="I61">
        <f>IF(MONTH(Calls[[#This Row],[Date of Call]])&lt;6,YEAR(Calls[[#This Row],[Date of Call]]),YEAR(Calls[[#This Row],[Date of Call]])+1)</f>
        <v>2023</v>
      </c>
      <c r="J61" t="str">
        <f>TEXT(Calls[[#This Row],[Date of Call]],"DDDD")</f>
        <v>Monday</v>
      </c>
      <c r="K61" t="str" cm="1">
        <f t="array" ref="K61">_xlfn.IFS(Calls[[#This Row],[Duration]]&lt;10,"Under 10 Mins",Calls[[#This Row],[Duration]]&lt;=30,"10 - 30 Mins",Calls[[#This Row],[Duration]]&lt;=60,"30 - 60 Mins",Calls[[#This Row],[Duration]]&lt;=120,"1 - 2 Hours",TRUE,"More than 2  Hours")</f>
        <v>1 - 2 Hours</v>
      </c>
      <c r="L61">
        <f>ROUND(Calls[[#This Row],[Satisfaction Rating]],0)</f>
        <v>2</v>
      </c>
    </row>
    <row r="62" spans="2:12" x14ac:dyDescent="0.3">
      <c r="B62" s="22" t="s">
        <v>84</v>
      </c>
      <c r="C62" s="4" t="s">
        <v>8</v>
      </c>
      <c r="D62" s="4">
        <v>63</v>
      </c>
      <c r="E62" s="5" t="s">
        <v>10</v>
      </c>
      <c r="F62" s="9">
        <v>44949</v>
      </c>
      <c r="G62" s="4">
        <v>160</v>
      </c>
      <c r="H62" s="23">
        <v>4.3</v>
      </c>
      <c r="I62">
        <f>IF(MONTH(Calls[[#This Row],[Date of Call]])&lt;6,YEAR(Calls[[#This Row],[Date of Call]]),YEAR(Calls[[#This Row],[Date of Call]])+1)</f>
        <v>2023</v>
      </c>
      <c r="J62" t="str">
        <f>TEXT(Calls[[#This Row],[Date of Call]],"DDDD")</f>
        <v>Monday</v>
      </c>
      <c r="K62" t="str" cm="1">
        <f t="array" ref="K62">_xlfn.IFS(Calls[[#This Row],[Duration]]&lt;10,"Under 10 Mins",Calls[[#This Row],[Duration]]&lt;=30,"10 - 30 Mins",Calls[[#This Row],[Duration]]&lt;=60,"30 - 60 Mins",Calls[[#This Row],[Duration]]&lt;=120,"1 - 2 Hours",TRUE,"More than 2  Hours")</f>
        <v>1 - 2 Hours</v>
      </c>
      <c r="L62">
        <f>ROUND(Calls[[#This Row],[Satisfaction Rating]],0)</f>
        <v>4</v>
      </c>
    </row>
    <row r="63" spans="2:12" x14ac:dyDescent="0.3">
      <c r="B63" s="22" t="s">
        <v>85</v>
      </c>
      <c r="C63" s="4" t="s">
        <v>5</v>
      </c>
      <c r="D63" s="4">
        <v>95</v>
      </c>
      <c r="E63" s="5" t="s">
        <v>9</v>
      </c>
      <c r="F63" s="9">
        <v>44950</v>
      </c>
      <c r="G63" s="4">
        <v>48</v>
      </c>
      <c r="H63" s="23">
        <v>4.5999999999999996</v>
      </c>
      <c r="I63">
        <f>IF(MONTH(Calls[[#This Row],[Date of Call]])&lt;6,YEAR(Calls[[#This Row],[Date of Call]]),YEAR(Calls[[#This Row],[Date of Call]])+1)</f>
        <v>2023</v>
      </c>
      <c r="J63" t="str">
        <f>TEXT(Calls[[#This Row],[Date of Call]],"DDDD")</f>
        <v>Tuesday</v>
      </c>
      <c r="K63" t="str" cm="1">
        <f t="array" ref="K63">_xlfn.IFS(Calls[[#This Row],[Duration]]&lt;10,"Under 10 Mins",Calls[[#This Row],[Duration]]&lt;=30,"10 - 30 Mins",Calls[[#This Row],[Duration]]&lt;=60,"30 - 60 Mins",Calls[[#This Row],[Duration]]&lt;=120,"1 - 2 Hours",TRUE,"More than 2  Hours")</f>
        <v>1 - 2 Hours</v>
      </c>
      <c r="L63">
        <f>ROUND(Calls[[#This Row],[Satisfaction Rating]],0)</f>
        <v>5</v>
      </c>
    </row>
    <row r="64" spans="2:12" x14ac:dyDescent="0.3">
      <c r="B64" s="22" t="s">
        <v>86</v>
      </c>
      <c r="C64" s="4" t="s">
        <v>14</v>
      </c>
      <c r="D64" s="4">
        <v>74</v>
      </c>
      <c r="E64" s="5" t="s">
        <v>11</v>
      </c>
      <c r="F64" s="9">
        <v>44950</v>
      </c>
      <c r="G64" s="4">
        <v>66</v>
      </c>
      <c r="H64" s="23">
        <v>4</v>
      </c>
      <c r="I64">
        <f>IF(MONTH(Calls[[#This Row],[Date of Call]])&lt;6,YEAR(Calls[[#This Row],[Date of Call]]),YEAR(Calls[[#This Row],[Date of Call]])+1)</f>
        <v>2023</v>
      </c>
      <c r="J64" t="str">
        <f>TEXT(Calls[[#This Row],[Date of Call]],"DDDD")</f>
        <v>Tuesday</v>
      </c>
      <c r="K64" t="str" cm="1">
        <f t="array" ref="K64">_xlfn.IFS(Calls[[#This Row],[Duration]]&lt;10,"Under 10 Mins",Calls[[#This Row],[Duration]]&lt;=30,"10 - 30 Mins",Calls[[#This Row],[Duration]]&lt;=60,"30 - 60 Mins",Calls[[#This Row],[Duration]]&lt;=120,"1 - 2 Hours",TRUE,"More than 2  Hours")</f>
        <v>1 - 2 Hours</v>
      </c>
      <c r="L64">
        <f>ROUND(Calls[[#This Row],[Satisfaction Rating]],0)</f>
        <v>4</v>
      </c>
    </row>
    <row r="65" spans="2:12" x14ac:dyDescent="0.3">
      <c r="B65" s="22" t="s">
        <v>87</v>
      </c>
      <c r="C65" s="4" t="s">
        <v>18</v>
      </c>
      <c r="D65" s="4">
        <v>130</v>
      </c>
      <c r="E65" s="5" t="s">
        <v>13</v>
      </c>
      <c r="F65" s="9">
        <v>44950</v>
      </c>
      <c r="G65" s="4">
        <v>126</v>
      </c>
      <c r="H65" s="23">
        <v>2.5</v>
      </c>
      <c r="I65">
        <f>IF(MONTH(Calls[[#This Row],[Date of Call]])&lt;6,YEAR(Calls[[#This Row],[Date of Call]]),YEAR(Calls[[#This Row],[Date of Call]])+1)</f>
        <v>2023</v>
      </c>
      <c r="J65" t="str">
        <f>TEXT(Calls[[#This Row],[Date of Call]],"DDDD")</f>
        <v>Tuesday</v>
      </c>
      <c r="K65" t="str" cm="1">
        <f t="array" ref="K65">_xlfn.IFS(Calls[[#This Row],[Duration]]&lt;10,"Under 10 Mins",Calls[[#This Row],[Duration]]&lt;=30,"10 - 30 Mins",Calls[[#This Row],[Duration]]&lt;=60,"30 - 60 Mins",Calls[[#This Row],[Duration]]&lt;=120,"1 - 2 Hours",TRUE,"More than 2  Hours")</f>
        <v>More than 2  Hours</v>
      </c>
      <c r="L65">
        <f>ROUND(Calls[[#This Row],[Satisfaction Rating]],0)</f>
        <v>3</v>
      </c>
    </row>
    <row r="66" spans="2:12" x14ac:dyDescent="0.3">
      <c r="B66" s="22" t="s">
        <v>88</v>
      </c>
      <c r="C66" s="4" t="s">
        <v>19</v>
      </c>
      <c r="D66" s="4">
        <v>110</v>
      </c>
      <c r="E66" s="5" t="s">
        <v>6</v>
      </c>
      <c r="F66" s="9">
        <v>44950</v>
      </c>
      <c r="G66" s="4">
        <v>96</v>
      </c>
      <c r="H66" s="23">
        <v>5</v>
      </c>
      <c r="I66">
        <f>IF(MONTH(Calls[[#This Row],[Date of Call]])&lt;6,YEAR(Calls[[#This Row],[Date of Call]]),YEAR(Calls[[#This Row],[Date of Call]])+1)</f>
        <v>2023</v>
      </c>
      <c r="J66" t="str">
        <f>TEXT(Calls[[#This Row],[Date of Call]],"DDDD")</f>
        <v>Tuesday</v>
      </c>
      <c r="K66" t="str" cm="1">
        <f t="array" ref="K66">_xlfn.IFS(Calls[[#This Row],[Duration]]&lt;10,"Under 10 Mins",Calls[[#This Row],[Duration]]&lt;=30,"10 - 30 Mins",Calls[[#This Row],[Duration]]&lt;=60,"30 - 60 Mins",Calls[[#This Row],[Duration]]&lt;=120,"1 - 2 Hours",TRUE,"More than 2  Hours")</f>
        <v>1 - 2 Hours</v>
      </c>
      <c r="L66">
        <f>ROUND(Calls[[#This Row],[Satisfaction Rating]],0)</f>
        <v>5</v>
      </c>
    </row>
    <row r="67" spans="2:12" x14ac:dyDescent="0.3">
      <c r="B67" s="22" t="s">
        <v>89</v>
      </c>
      <c r="C67" s="4" t="s">
        <v>14</v>
      </c>
      <c r="D67" s="4">
        <v>71</v>
      </c>
      <c r="E67" s="5" t="s">
        <v>10</v>
      </c>
      <c r="F67" s="9">
        <v>44951</v>
      </c>
      <c r="G67" s="4">
        <v>90</v>
      </c>
      <c r="H67" s="23">
        <v>3.8</v>
      </c>
      <c r="I67">
        <f>IF(MONTH(Calls[[#This Row],[Date of Call]])&lt;6,YEAR(Calls[[#This Row],[Date of Call]]),YEAR(Calls[[#This Row],[Date of Call]])+1)</f>
        <v>2023</v>
      </c>
      <c r="J67" t="str">
        <f>TEXT(Calls[[#This Row],[Date of Call]],"DDDD")</f>
        <v>Wednesday</v>
      </c>
      <c r="K67" t="str" cm="1">
        <f t="array" ref="K67">_xlfn.IFS(Calls[[#This Row],[Duration]]&lt;10,"Under 10 Mins",Calls[[#This Row],[Duration]]&lt;=30,"10 - 30 Mins",Calls[[#This Row],[Duration]]&lt;=60,"30 - 60 Mins",Calls[[#This Row],[Duration]]&lt;=120,"1 - 2 Hours",TRUE,"More than 2  Hours")</f>
        <v>1 - 2 Hours</v>
      </c>
      <c r="L67">
        <f>ROUND(Calls[[#This Row],[Satisfaction Rating]],0)</f>
        <v>4</v>
      </c>
    </row>
    <row r="68" spans="2:12" x14ac:dyDescent="0.3">
      <c r="B68" s="22" t="s">
        <v>90</v>
      </c>
      <c r="C68" s="4" t="s">
        <v>17</v>
      </c>
      <c r="D68" s="4">
        <v>147</v>
      </c>
      <c r="E68" s="5" t="s">
        <v>13</v>
      </c>
      <c r="F68" s="9">
        <v>44951</v>
      </c>
      <c r="G68" s="4">
        <v>105</v>
      </c>
      <c r="H68" s="23">
        <v>4.4000000000000004</v>
      </c>
      <c r="I68">
        <f>IF(MONTH(Calls[[#This Row],[Date of Call]])&lt;6,YEAR(Calls[[#This Row],[Date of Call]]),YEAR(Calls[[#This Row],[Date of Call]])+1)</f>
        <v>2023</v>
      </c>
      <c r="J68" t="str">
        <f>TEXT(Calls[[#This Row],[Date of Call]],"DDDD")</f>
        <v>Wednesday</v>
      </c>
      <c r="K68" t="str" cm="1">
        <f t="array" ref="K68">_xlfn.IFS(Calls[[#This Row],[Duration]]&lt;10,"Under 10 Mins",Calls[[#This Row],[Duration]]&lt;=30,"10 - 30 Mins",Calls[[#This Row],[Duration]]&lt;=60,"30 - 60 Mins",Calls[[#This Row],[Duration]]&lt;=120,"1 - 2 Hours",TRUE,"More than 2  Hours")</f>
        <v>More than 2  Hours</v>
      </c>
      <c r="L68">
        <f>ROUND(Calls[[#This Row],[Satisfaction Rating]],0)</f>
        <v>4</v>
      </c>
    </row>
    <row r="69" spans="2:12" x14ac:dyDescent="0.3">
      <c r="B69" s="22" t="s">
        <v>91</v>
      </c>
      <c r="C69" s="4" t="s">
        <v>12</v>
      </c>
      <c r="D69" s="4">
        <v>69</v>
      </c>
      <c r="E69" s="5" t="s">
        <v>9</v>
      </c>
      <c r="F69" s="9">
        <v>44952</v>
      </c>
      <c r="G69" s="4">
        <v>40</v>
      </c>
      <c r="H69" s="23">
        <v>3.8</v>
      </c>
      <c r="I69">
        <f>IF(MONTH(Calls[[#This Row],[Date of Call]])&lt;6,YEAR(Calls[[#This Row],[Date of Call]]),YEAR(Calls[[#This Row],[Date of Call]])+1)</f>
        <v>2023</v>
      </c>
      <c r="J69" t="str">
        <f>TEXT(Calls[[#This Row],[Date of Call]],"DDDD")</f>
        <v>Thursday</v>
      </c>
      <c r="K69" t="str" cm="1">
        <f t="array" ref="K69">_xlfn.IFS(Calls[[#This Row],[Duration]]&lt;10,"Under 10 Mins",Calls[[#This Row],[Duration]]&lt;=30,"10 - 30 Mins",Calls[[#This Row],[Duration]]&lt;=60,"30 - 60 Mins",Calls[[#This Row],[Duration]]&lt;=120,"1 - 2 Hours",TRUE,"More than 2  Hours")</f>
        <v>1 - 2 Hours</v>
      </c>
      <c r="L69">
        <f>ROUND(Calls[[#This Row],[Satisfaction Rating]],0)</f>
        <v>4</v>
      </c>
    </row>
    <row r="70" spans="2:12" x14ac:dyDescent="0.3">
      <c r="B70" s="22" t="s">
        <v>92</v>
      </c>
      <c r="C70" s="4" t="s">
        <v>19</v>
      </c>
      <c r="D70" s="4">
        <v>50</v>
      </c>
      <c r="E70" s="5" t="s">
        <v>10</v>
      </c>
      <c r="F70" s="9">
        <v>44952</v>
      </c>
      <c r="G70" s="4">
        <v>60</v>
      </c>
      <c r="H70" s="23">
        <v>2</v>
      </c>
      <c r="I70">
        <f>IF(MONTH(Calls[[#This Row],[Date of Call]])&lt;6,YEAR(Calls[[#This Row],[Date of Call]]),YEAR(Calls[[#This Row],[Date of Call]])+1)</f>
        <v>2023</v>
      </c>
      <c r="J70" t="str">
        <f>TEXT(Calls[[#This Row],[Date of Call]],"DDDD")</f>
        <v>Thursday</v>
      </c>
      <c r="K70" t="str" cm="1">
        <f t="array" ref="K70">_xlfn.IFS(Calls[[#This Row],[Duration]]&lt;10,"Under 10 Mins",Calls[[#This Row],[Duration]]&lt;=30,"10 - 30 Mins",Calls[[#This Row],[Duration]]&lt;=60,"30 - 60 Mins",Calls[[#This Row],[Duration]]&lt;=120,"1 - 2 Hours",TRUE,"More than 2  Hours")</f>
        <v>30 - 60 Mins</v>
      </c>
      <c r="L70">
        <f>ROUND(Calls[[#This Row],[Satisfaction Rating]],0)</f>
        <v>2</v>
      </c>
    </row>
    <row r="71" spans="2:12" x14ac:dyDescent="0.3">
      <c r="B71" s="22" t="s">
        <v>93</v>
      </c>
      <c r="C71" s="4" t="s">
        <v>18</v>
      </c>
      <c r="D71" s="4">
        <v>124</v>
      </c>
      <c r="E71" s="5" t="s">
        <v>13</v>
      </c>
      <c r="F71" s="9">
        <v>44953</v>
      </c>
      <c r="G71" s="4">
        <v>215</v>
      </c>
      <c r="H71" s="23">
        <v>4.0999999999999996</v>
      </c>
      <c r="I71">
        <f>IF(MONTH(Calls[[#This Row],[Date of Call]])&lt;6,YEAR(Calls[[#This Row],[Date of Call]]),YEAR(Calls[[#This Row],[Date of Call]])+1)</f>
        <v>2023</v>
      </c>
      <c r="J71" t="str">
        <f>TEXT(Calls[[#This Row],[Date of Call]],"DDDD")</f>
        <v>Friday</v>
      </c>
      <c r="K71" t="str" cm="1">
        <f t="array" ref="K71">_xlfn.IFS(Calls[[#This Row],[Duration]]&lt;10,"Under 10 Mins",Calls[[#This Row],[Duration]]&lt;=30,"10 - 30 Mins",Calls[[#This Row],[Duration]]&lt;=60,"30 - 60 Mins",Calls[[#This Row],[Duration]]&lt;=120,"1 - 2 Hours",TRUE,"More than 2  Hours")</f>
        <v>More than 2  Hours</v>
      </c>
      <c r="L71">
        <f>ROUND(Calls[[#This Row],[Satisfaction Rating]],0)</f>
        <v>4</v>
      </c>
    </row>
    <row r="72" spans="2:12" x14ac:dyDescent="0.3">
      <c r="B72" s="22" t="s">
        <v>94</v>
      </c>
      <c r="C72" s="4" t="s">
        <v>23</v>
      </c>
      <c r="D72" s="4">
        <v>81</v>
      </c>
      <c r="E72" s="5" t="s">
        <v>11</v>
      </c>
      <c r="F72" s="9">
        <v>44953</v>
      </c>
      <c r="G72" s="4">
        <v>156</v>
      </c>
      <c r="H72" s="23">
        <v>2.6</v>
      </c>
      <c r="I72">
        <f>IF(MONTH(Calls[[#This Row],[Date of Call]])&lt;6,YEAR(Calls[[#This Row],[Date of Call]]),YEAR(Calls[[#This Row],[Date of Call]])+1)</f>
        <v>2023</v>
      </c>
      <c r="J72" t="str">
        <f>TEXT(Calls[[#This Row],[Date of Call]],"DDDD")</f>
        <v>Friday</v>
      </c>
      <c r="K72" t="str" cm="1">
        <f t="array" ref="K72">_xlfn.IFS(Calls[[#This Row],[Duration]]&lt;10,"Under 10 Mins",Calls[[#This Row],[Duration]]&lt;=30,"10 - 30 Mins",Calls[[#This Row],[Duration]]&lt;=60,"30 - 60 Mins",Calls[[#This Row],[Duration]]&lt;=120,"1 - 2 Hours",TRUE,"More than 2  Hours")</f>
        <v>1 - 2 Hours</v>
      </c>
      <c r="L72">
        <f>ROUND(Calls[[#This Row],[Satisfaction Rating]],0)</f>
        <v>3</v>
      </c>
    </row>
    <row r="73" spans="2:12" x14ac:dyDescent="0.3">
      <c r="B73" s="22" t="s">
        <v>95</v>
      </c>
      <c r="C73" s="4" t="s">
        <v>7</v>
      </c>
      <c r="D73" s="4">
        <v>141</v>
      </c>
      <c r="E73" s="5" t="s">
        <v>6</v>
      </c>
      <c r="F73" s="9">
        <v>44953</v>
      </c>
      <c r="G73" s="4">
        <v>54</v>
      </c>
      <c r="H73" s="23">
        <v>0</v>
      </c>
      <c r="I73">
        <f>IF(MONTH(Calls[[#This Row],[Date of Call]])&lt;6,YEAR(Calls[[#This Row],[Date of Call]]),YEAR(Calls[[#This Row],[Date of Call]])+1)</f>
        <v>2023</v>
      </c>
      <c r="J73" t="str">
        <f>TEXT(Calls[[#This Row],[Date of Call]],"DDDD")</f>
        <v>Friday</v>
      </c>
      <c r="K73" t="str" cm="1">
        <f t="array" ref="K73">_xlfn.IFS(Calls[[#This Row],[Duration]]&lt;10,"Under 10 Mins",Calls[[#This Row],[Duration]]&lt;=30,"10 - 30 Mins",Calls[[#This Row],[Duration]]&lt;=60,"30 - 60 Mins",Calls[[#This Row],[Duration]]&lt;=120,"1 - 2 Hours",TRUE,"More than 2  Hours")</f>
        <v>More than 2  Hours</v>
      </c>
      <c r="L73">
        <f>ROUND(Calls[[#This Row],[Satisfaction Rating]],0)</f>
        <v>0</v>
      </c>
    </row>
    <row r="74" spans="2:12" x14ac:dyDescent="0.3">
      <c r="B74" s="22" t="s">
        <v>96</v>
      </c>
      <c r="C74" s="4" t="s">
        <v>7</v>
      </c>
      <c r="D74" s="4">
        <v>168</v>
      </c>
      <c r="E74" s="5" t="s">
        <v>6</v>
      </c>
      <c r="F74" s="9">
        <v>44954</v>
      </c>
      <c r="G74" s="4">
        <v>160</v>
      </c>
      <c r="H74" s="23">
        <v>3.9</v>
      </c>
      <c r="I74">
        <f>IF(MONTH(Calls[[#This Row],[Date of Call]])&lt;6,YEAR(Calls[[#This Row],[Date of Call]]),YEAR(Calls[[#This Row],[Date of Call]])+1)</f>
        <v>2023</v>
      </c>
      <c r="J74" t="str">
        <f>TEXT(Calls[[#This Row],[Date of Call]],"DDDD")</f>
        <v>Saturday</v>
      </c>
      <c r="K74" t="str" cm="1">
        <f t="array" ref="K74">_xlfn.IFS(Calls[[#This Row],[Duration]]&lt;10,"Under 10 Mins",Calls[[#This Row],[Duration]]&lt;=30,"10 - 30 Mins",Calls[[#This Row],[Duration]]&lt;=60,"30 - 60 Mins",Calls[[#This Row],[Duration]]&lt;=120,"1 - 2 Hours",TRUE,"More than 2  Hours")</f>
        <v>More than 2  Hours</v>
      </c>
      <c r="L74">
        <f>ROUND(Calls[[#This Row],[Satisfaction Rating]],0)</f>
        <v>4</v>
      </c>
    </row>
    <row r="75" spans="2:12" x14ac:dyDescent="0.3">
      <c r="B75" s="22" t="s">
        <v>97</v>
      </c>
      <c r="C75" s="4" t="s">
        <v>17</v>
      </c>
      <c r="D75" s="4">
        <v>101</v>
      </c>
      <c r="E75" s="5" t="s">
        <v>11</v>
      </c>
      <c r="F75" s="9">
        <v>44954</v>
      </c>
      <c r="G75" s="4">
        <v>80</v>
      </c>
      <c r="H75" s="23">
        <v>4.8</v>
      </c>
      <c r="I75">
        <f>IF(MONTH(Calls[[#This Row],[Date of Call]])&lt;6,YEAR(Calls[[#This Row],[Date of Call]]),YEAR(Calls[[#This Row],[Date of Call]])+1)</f>
        <v>2023</v>
      </c>
      <c r="J75" t="str">
        <f>TEXT(Calls[[#This Row],[Date of Call]],"DDDD")</f>
        <v>Saturday</v>
      </c>
      <c r="K75" t="str" cm="1">
        <f t="array" ref="K75">_xlfn.IFS(Calls[[#This Row],[Duration]]&lt;10,"Under 10 Mins",Calls[[#This Row],[Duration]]&lt;=30,"10 - 30 Mins",Calls[[#This Row],[Duration]]&lt;=60,"30 - 60 Mins",Calls[[#This Row],[Duration]]&lt;=120,"1 - 2 Hours",TRUE,"More than 2  Hours")</f>
        <v>1 - 2 Hours</v>
      </c>
      <c r="L75">
        <f>ROUND(Calls[[#This Row],[Satisfaction Rating]],0)</f>
        <v>5</v>
      </c>
    </row>
    <row r="76" spans="2:12" x14ac:dyDescent="0.3">
      <c r="B76" s="22" t="s">
        <v>98</v>
      </c>
      <c r="C76" s="4" t="s">
        <v>14</v>
      </c>
      <c r="D76" s="4">
        <v>67</v>
      </c>
      <c r="E76" s="5" t="s">
        <v>11</v>
      </c>
      <c r="F76" s="9">
        <v>44954</v>
      </c>
      <c r="G76" s="4">
        <v>168</v>
      </c>
      <c r="H76" s="23">
        <v>2.6</v>
      </c>
      <c r="I76">
        <f>IF(MONTH(Calls[[#This Row],[Date of Call]])&lt;6,YEAR(Calls[[#This Row],[Date of Call]]),YEAR(Calls[[#This Row],[Date of Call]])+1)</f>
        <v>2023</v>
      </c>
      <c r="J76" t="str">
        <f>TEXT(Calls[[#This Row],[Date of Call]],"DDDD")</f>
        <v>Saturday</v>
      </c>
      <c r="K76" t="str" cm="1">
        <f t="array" ref="K76">_xlfn.IFS(Calls[[#This Row],[Duration]]&lt;10,"Under 10 Mins",Calls[[#This Row],[Duration]]&lt;=30,"10 - 30 Mins",Calls[[#This Row],[Duration]]&lt;=60,"30 - 60 Mins",Calls[[#This Row],[Duration]]&lt;=120,"1 - 2 Hours",TRUE,"More than 2  Hours")</f>
        <v>1 - 2 Hours</v>
      </c>
      <c r="L76">
        <f>ROUND(Calls[[#This Row],[Satisfaction Rating]],0)</f>
        <v>3</v>
      </c>
    </row>
    <row r="77" spans="2:12" x14ac:dyDescent="0.3">
      <c r="B77" s="22" t="s">
        <v>99</v>
      </c>
      <c r="C77" s="4" t="s">
        <v>5</v>
      </c>
      <c r="D77" s="4">
        <v>114</v>
      </c>
      <c r="E77" s="5" t="s">
        <v>6</v>
      </c>
      <c r="F77" s="9">
        <v>44956</v>
      </c>
      <c r="G77" s="4">
        <v>42</v>
      </c>
      <c r="H77" s="23">
        <v>2.6</v>
      </c>
      <c r="I77">
        <f>IF(MONTH(Calls[[#This Row],[Date of Call]])&lt;6,YEAR(Calls[[#This Row],[Date of Call]]),YEAR(Calls[[#This Row],[Date of Call]])+1)</f>
        <v>2023</v>
      </c>
      <c r="J77" t="str">
        <f>TEXT(Calls[[#This Row],[Date of Call]],"DDDD")</f>
        <v>Monday</v>
      </c>
      <c r="K77" t="str" cm="1">
        <f t="array" ref="K77">_xlfn.IFS(Calls[[#This Row],[Duration]]&lt;10,"Under 10 Mins",Calls[[#This Row],[Duration]]&lt;=30,"10 - 30 Mins",Calls[[#This Row],[Duration]]&lt;=60,"30 - 60 Mins",Calls[[#This Row],[Duration]]&lt;=120,"1 - 2 Hours",TRUE,"More than 2  Hours")</f>
        <v>1 - 2 Hours</v>
      </c>
      <c r="L77">
        <f>ROUND(Calls[[#This Row],[Satisfaction Rating]],0)</f>
        <v>3</v>
      </c>
    </row>
    <row r="78" spans="2:12" x14ac:dyDescent="0.3">
      <c r="B78" s="22" t="s">
        <v>100</v>
      </c>
      <c r="C78" s="4" t="s">
        <v>23</v>
      </c>
      <c r="D78" s="4">
        <v>42</v>
      </c>
      <c r="E78" s="5" t="s">
        <v>11</v>
      </c>
      <c r="F78" s="9">
        <v>44956</v>
      </c>
      <c r="G78" s="4">
        <v>205</v>
      </c>
      <c r="H78" s="23">
        <v>3.6</v>
      </c>
      <c r="I78">
        <f>IF(MONTH(Calls[[#This Row],[Date of Call]])&lt;6,YEAR(Calls[[#This Row],[Date of Call]]),YEAR(Calls[[#This Row],[Date of Call]])+1)</f>
        <v>2023</v>
      </c>
      <c r="J78" t="str">
        <f>TEXT(Calls[[#This Row],[Date of Call]],"DDDD")</f>
        <v>Monday</v>
      </c>
      <c r="K78" t="str" cm="1">
        <f t="array" ref="K78">_xlfn.IFS(Calls[[#This Row],[Duration]]&lt;10,"Under 10 Mins",Calls[[#This Row],[Duration]]&lt;=30,"10 - 30 Mins",Calls[[#This Row],[Duration]]&lt;=60,"30 - 60 Mins",Calls[[#This Row],[Duration]]&lt;=120,"1 - 2 Hours",TRUE,"More than 2  Hours")</f>
        <v>30 - 60 Mins</v>
      </c>
      <c r="L78">
        <f>ROUND(Calls[[#This Row],[Satisfaction Rating]],0)</f>
        <v>4</v>
      </c>
    </row>
    <row r="79" spans="2:12" x14ac:dyDescent="0.3">
      <c r="B79" s="22" t="s">
        <v>101</v>
      </c>
      <c r="C79" s="4" t="s">
        <v>8</v>
      </c>
      <c r="D79" s="4">
        <v>69</v>
      </c>
      <c r="E79" s="5" t="s">
        <v>6</v>
      </c>
      <c r="F79" s="9">
        <v>44956</v>
      </c>
      <c r="G79" s="4">
        <v>108</v>
      </c>
      <c r="H79" s="23">
        <v>3.3</v>
      </c>
      <c r="I79">
        <f>IF(MONTH(Calls[[#This Row],[Date of Call]])&lt;6,YEAR(Calls[[#This Row],[Date of Call]]),YEAR(Calls[[#This Row],[Date of Call]])+1)</f>
        <v>2023</v>
      </c>
      <c r="J79" t="str">
        <f>TEXT(Calls[[#This Row],[Date of Call]],"DDDD")</f>
        <v>Monday</v>
      </c>
      <c r="K79" t="str" cm="1">
        <f t="array" ref="K79">_xlfn.IFS(Calls[[#This Row],[Duration]]&lt;10,"Under 10 Mins",Calls[[#This Row],[Duration]]&lt;=30,"10 - 30 Mins",Calls[[#This Row],[Duration]]&lt;=60,"30 - 60 Mins",Calls[[#This Row],[Duration]]&lt;=120,"1 - 2 Hours",TRUE,"More than 2  Hours")</f>
        <v>1 - 2 Hours</v>
      </c>
      <c r="L79">
        <f>ROUND(Calls[[#This Row],[Satisfaction Rating]],0)</f>
        <v>3</v>
      </c>
    </row>
    <row r="80" spans="2:12" x14ac:dyDescent="0.3">
      <c r="B80" s="22" t="s">
        <v>102</v>
      </c>
      <c r="C80" s="4" t="s">
        <v>18</v>
      </c>
      <c r="D80" s="4">
        <v>145</v>
      </c>
      <c r="E80" s="5" t="s">
        <v>9</v>
      </c>
      <c r="F80" s="9">
        <v>44956</v>
      </c>
      <c r="G80" s="4">
        <v>78</v>
      </c>
      <c r="H80" s="23">
        <v>1.9</v>
      </c>
      <c r="I80">
        <f>IF(MONTH(Calls[[#This Row],[Date of Call]])&lt;6,YEAR(Calls[[#This Row],[Date of Call]]),YEAR(Calls[[#This Row],[Date of Call]])+1)</f>
        <v>2023</v>
      </c>
      <c r="J80" t="str">
        <f>TEXT(Calls[[#This Row],[Date of Call]],"DDDD")</f>
        <v>Monday</v>
      </c>
      <c r="K80" t="str" cm="1">
        <f t="array" ref="K80">_xlfn.IFS(Calls[[#This Row],[Duration]]&lt;10,"Under 10 Mins",Calls[[#This Row],[Duration]]&lt;=30,"10 - 30 Mins",Calls[[#This Row],[Duration]]&lt;=60,"30 - 60 Mins",Calls[[#This Row],[Duration]]&lt;=120,"1 - 2 Hours",TRUE,"More than 2  Hours")</f>
        <v>More than 2  Hours</v>
      </c>
      <c r="L80">
        <f>ROUND(Calls[[#This Row],[Satisfaction Rating]],0)</f>
        <v>2</v>
      </c>
    </row>
    <row r="81" spans="2:12" x14ac:dyDescent="0.3">
      <c r="B81" s="22" t="s">
        <v>103</v>
      </c>
      <c r="C81" s="4" t="s">
        <v>12</v>
      </c>
      <c r="D81" s="4">
        <v>43</v>
      </c>
      <c r="E81" s="5" t="s">
        <v>6</v>
      </c>
      <c r="F81" s="9">
        <v>44956</v>
      </c>
      <c r="G81" s="4">
        <v>23</v>
      </c>
      <c r="H81" s="23">
        <v>4.9000000000000004</v>
      </c>
      <c r="I81">
        <f>IF(MONTH(Calls[[#This Row],[Date of Call]])&lt;6,YEAR(Calls[[#This Row],[Date of Call]]),YEAR(Calls[[#This Row],[Date of Call]])+1)</f>
        <v>2023</v>
      </c>
      <c r="J81" t="str">
        <f>TEXT(Calls[[#This Row],[Date of Call]],"DDDD")</f>
        <v>Monday</v>
      </c>
      <c r="K81" t="str" cm="1">
        <f t="array" ref="K81">_xlfn.IFS(Calls[[#This Row],[Duration]]&lt;10,"Under 10 Mins",Calls[[#This Row],[Duration]]&lt;=30,"10 - 30 Mins",Calls[[#This Row],[Duration]]&lt;=60,"30 - 60 Mins",Calls[[#This Row],[Duration]]&lt;=120,"1 - 2 Hours",TRUE,"More than 2  Hours")</f>
        <v>30 - 60 Mins</v>
      </c>
      <c r="L81">
        <f>ROUND(Calls[[#This Row],[Satisfaction Rating]],0)</f>
        <v>5</v>
      </c>
    </row>
    <row r="82" spans="2:12" x14ac:dyDescent="0.3">
      <c r="B82" s="22" t="s">
        <v>104</v>
      </c>
      <c r="C82" s="4" t="s">
        <v>8</v>
      </c>
      <c r="D82" s="4">
        <v>62</v>
      </c>
      <c r="E82" s="5" t="s">
        <v>10</v>
      </c>
      <c r="F82" s="9">
        <v>44957</v>
      </c>
      <c r="G82" s="4">
        <v>99</v>
      </c>
      <c r="H82" s="23">
        <v>3.6</v>
      </c>
      <c r="I82">
        <f>IF(MONTH(Calls[[#This Row],[Date of Call]])&lt;6,YEAR(Calls[[#This Row],[Date of Call]]),YEAR(Calls[[#This Row],[Date of Call]])+1)</f>
        <v>2023</v>
      </c>
      <c r="J82" t="str">
        <f>TEXT(Calls[[#This Row],[Date of Call]],"DDDD")</f>
        <v>Tuesday</v>
      </c>
      <c r="K82" t="str" cm="1">
        <f t="array" ref="K82">_xlfn.IFS(Calls[[#This Row],[Duration]]&lt;10,"Under 10 Mins",Calls[[#This Row],[Duration]]&lt;=30,"10 - 30 Mins",Calls[[#This Row],[Duration]]&lt;=60,"30 - 60 Mins",Calls[[#This Row],[Duration]]&lt;=120,"1 - 2 Hours",TRUE,"More than 2  Hours")</f>
        <v>1 - 2 Hours</v>
      </c>
      <c r="L82">
        <f>ROUND(Calls[[#This Row],[Satisfaction Rating]],0)</f>
        <v>4</v>
      </c>
    </row>
    <row r="83" spans="2:12" x14ac:dyDescent="0.3">
      <c r="B83" s="22" t="s">
        <v>105</v>
      </c>
      <c r="C83" s="4" t="s">
        <v>22</v>
      </c>
      <c r="D83" s="4">
        <v>79</v>
      </c>
      <c r="E83" s="5" t="s">
        <v>6</v>
      </c>
      <c r="F83" s="9">
        <v>44958</v>
      </c>
      <c r="G83" s="4">
        <v>148</v>
      </c>
      <c r="H83" s="23">
        <v>4.5</v>
      </c>
      <c r="I83">
        <f>IF(MONTH(Calls[[#This Row],[Date of Call]])&lt;6,YEAR(Calls[[#This Row],[Date of Call]]),YEAR(Calls[[#This Row],[Date of Call]])+1)</f>
        <v>2023</v>
      </c>
      <c r="J83" t="str">
        <f>TEXT(Calls[[#This Row],[Date of Call]],"DDDD")</f>
        <v>Wednesday</v>
      </c>
      <c r="K83" t="str" cm="1">
        <f t="array" ref="K83">_xlfn.IFS(Calls[[#This Row],[Duration]]&lt;10,"Under 10 Mins",Calls[[#This Row],[Duration]]&lt;=30,"10 - 30 Mins",Calls[[#This Row],[Duration]]&lt;=60,"30 - 60 Mins",Calls[[#This Row],[Duration]]&lt;=120,"1 - 2 Hours",TRUE,"More than 2  Hours")</f>
        <v>1 - 2 Hours</v>
      </c>
      <c r="L83">
        <f>ROUND(Calls[[#This Row],[Satisfaction Rating]],0)</f>
        <v>5</v>
      </c>
    </row>
    <row r="84" spans="2:12" x14ac:dyDescent="0.3">
      <c r="B84" s="22" t="s">
        <v>106</v>
      </c>
      <c r="C84" s="4" t="s">
        <v>18</v>
      </c>
      <c r="D84" s="4">
        <v>45</v>
      </c>
      <c r="E84" s="5" t="s">
        <v>13</v>
      </c>
      <c r="F84" s="9">
        <v>44958</v>
      </c>
      <c r="G84" s="4">
        <v>34</v>
      </c>
      <c r="H84" s="23">
        <v>3.7</v>
      </c>
      <c r="I84">
        <f>IF(MONTH(Calls[[#This Row],[Date of Call]])&lt;6,YEAR(Calls[[#This Row],[Date of Call]]),YEAR(Calls[[#This Row],[Date of Call]])+1)</f>
        <v>2023</v>
      </c>
      <c r="J84" t="str">
        <f>TEXT(Calls[[#This Row],[Date of Call]],"DDDD")</f>
        <v>Wednesday</v>
      </c>
      <c r="K84" t="str" cm="1">
        <f t="array" ref="K84">_xlfn.IFS(Calls[[#This Row],[Duration]]&lt;10,"Under 10 Mins",Calls[[#This Row],[Duration]]&lt;=30,"10 - 30 Mins",Calls[[#This Row],[Duration]]&lt;=60,"30 - 60 Mins",Calls[[#This Row],[Duration]]&lt;=120,"1 - 2 Hours",TRUE,"More than 2  Hours")</f>
        <v>30 - 60 Mins</v>
      </c>
      <c r="L84">
        <f>ROUND(Calls[[#This Row],[Satisfaction Rating]],0)</f>
        <v>4</v>
      </c>
    </row>
    <row r="85" spans="2:12" x14ac:dyDescent="0.3">
      <c r="B85" s="22" t="s">
        <v>107</v>
      </c>
      <c r="C85" s="4" t="s">
        <v>8</v>
      </c>
      <c r="D85" s="4">
        <v>137</v>
      </c>
      <c r="E85" s="5" t="s">
        <v>6</v>
      </c>
      <c r="F85" s="9">
        <v>44958</v>
      </c>
      <c r="G85" s="4">
        <v>86</v>
      </c>
      <c r="H85" s="23">
        <v>4.8</v>
      </c>
      <c r="I85">
        <f>IF(MONTH(Calls[[#This Row],[Date of Call]])&lt;6,YEAR(Calls[[#This Row],[Date of Call]]),YEAR(Calls[[#This Row],[Date of Call]])+1)</f>
        <v>2023</v>
      </c>
      <c r="J85" t="str">
        <f>TEXT(Calls[[#This Row],[Date of Call]],"DDDD")</f>
        <v>Wednesday</v>
      </c>
      <c r="K85" t="str" cm="1">
        <f t="array" ref="K85">_xlfn.IFS(Calls[[#This Row],[Duration]]&lt;10,"Under 10 Mins",Calls[[#This Row],[Duration]]&lt;=30,"10 - 30 Mins",Calls[[#This Row],[Duration]]&lt;=60,"30 - 60 Mins",Calls[[#This Row],[Duration]]&lt;=120,"1 - 2 Hours",TRUE,"More than 2  Hours")</f>
        <v>More than 2  Hours</v>
      </c>
      <c r="L85">
        <f>ROUND(Calls[[#This Row],[Satisfaction Rating]],0)</f>
        <v>5</v>
      </c>
    </row>
    <row r="86" spans="2:12" x14ac:dyDescent="0.3">
      <c r="B86" s="22" t="s">
        <v>108</v>
      </c>
      <c r="C86" s="4" t="s">
        <v>5</v>
      </c>
      <c r="D86" s="4">
        <v>109</v>
      </c>
      <c r="E86" s="5" t="s">
        <v>10</v>
      </c>
      <c r="F86" s="9">
        <v>44958</v>
      </c>
      <c r="G86" s="4">
        <v>105</v>
      </c>
      <c r="H86" s="23">
        <v>3.3</v>
      </c>
      <c r="I86">
        <f>IF(MONTH(Calls[[#This Row],[Date of Call]])&lt;6,YEAR(Calls[[#This Row],[Date of Call]]),YEAR(Calls[[#This Row],[Date of Call]])+1)</f>
        <v>2023</v>
      </c>
      <c r="J86" t="str">
        <f>TEXT(Calls[[#This Row],[Date of Call]],"DDDD")</f>
        <v>Wednesday</v>
      </c>
      <c r="K86" t="str" cm="1">
        <f t="array" ref="K86">_xlfn.IFS(Calls[[#This Row],[Duration]]&lt;10,"Under 10 Mins",Calls[[#This Row],[Duration]]&lt;=30,"10 - 30 Mins",Calls[[#This Row],[Duration]]&lt;=60,"30 - 60 Mins",Calls[[#This Row],[Duration]]&lt;=120,"1 - 2 Hours",TRUE,"More than 2  Hours")</f>
        <v>1 - 2 Hours</v>
      </c>
      <c r="L86">
        <f>ROUND(Calls[[#This Row],[Satisfaction Rating]],0)</f>
        <v>3</v>
      </c>
    </row>
    <row r="87" spans="2:12" x14ac:dyDescent="0.3">
      <c r="B87" s="22" t="s">
        <v>109</v>
      </c>
      <c r="C87" s="4" t="s">
        <v>12</v>
      </c>
      <c r="D87" s="4">
        <v>78</v>
      </c>
      <c r="E87" s="5" t="s">
        <v>10</v>
      </c>
      <c r="F87" s="9">
        <v>44958</v>
      </c>
      <c r="G87" s="4">
        <v>62</v>
      </c>
      <c r="H87" s="23">
        <v>3.1</v>
      </c>
      <c r="I87">
        <f>IF(MONTH(Calls[[#This Row],[Date of Call]])&lt;6,YEAR(Calls[[#This Row],[Date of Call]]),YEAR(Calls[[#This Row],[Date of Call]])+1)</f>
        <v>2023</v>
      </c>
      <c r="J87" t="str">
        <f>TEXT(Calls[[#This Row],[Date of Call]],"DDDD")</f>
        <v>Wednesday</v>
      </c>
      <c r="K87" t="str" cm="1">
        <f t="array" ref="K87">_xlfn.IFS(Calls[[#This Row],[Duration]]&lt;10,"Under 10 Mins",Calls[[#This Row],[Duration]]&lt;=30,"10 - 30 Mins",Calls[[#This Row],[Duration]]&lt;=60,"30 - 60 Mins",Calls[[#This Row],[Duration]]&lt;=120,"1 - 2 Hours",TRUE,"More than 2  Hours")</f>
        <v>1 - 2 Hours</v>
      </c>
      <c r="L87">
        <f>ROUND(Calls[[#This Row],[Satisfaction Rating]],0)</f>
        <v>3</v>
      </c>
    </row>
    <row r="88" spans="2:12" x14ac:dyDescent="0.3">
      <c r="B88" s="22" t="s">
        <v>110</v>
      </c>
      <c r="C88" s="4" t="s">
        <v>8</v>
      </c>
      <c r="D88" s="4">
        <v>137</v>
      </c>
      <c r="E88" s="5" t="s">
        <v>13</v>
      </c>
      <c r="F88" s="9">
        <v>44958</v>
      </c>
      <c r="G88" s="4">
        <v>90</v>
      </c>
      <c r="H88" s="23">
        <v>4.0999999999999996</v>
      </c>
      <c r="I88">
        <f>IF(MONTH(Calls[[#This Row],[Date of Call]])&lt;6,YEAR(Calls[[#This Row],[Date of Call]]),YEAR(Calls[[#This Row],[Date of Call]])+1)</f>
        <v>2023</v>
      </c>
      <c r="J88" t="str">
        <f>TEXT(Calls[[#This Row],[Date of Call]],"DDDD")</f>
        <v>Wednesday</v>
      </c>
      <c r="K88" t="str" cm="1">
        <f t="array" ref="K88">_xlfn.IFS(Calls[[#This Row],[Duration]]&lt;10,"Under 10 Mins",Calls[[#This Row],[Duration]]&lt;=30,"10 - 30 Mins",Calls[[#This Row],[Duration]]&lt;=60,"30 - 60 Mins",Calls[[#This Row],[Duration]]&lt;=120,"1 - 2 Hours",TRUE,"More than 2  Hours")</f>
        <v>More than 2  Hours</v>
      </c>
      <c r="L88">
        <f>ROUND(Calls[[#This Row],[Satisfaction Rating]],0)</f>
        <v>4</v>
      </c>
    </row>
    <row r="89" spans="2:12" x14ac:dyDescent="0.3">
      <c r="B89" s="22" t="s">
        <v>111</v>
      </c>
      <c r="C89" s="4" t="s">
        <v>21</v>
      </c>
      <c r="D89" s="4">
        <v>99</v>
      </c>
      <c r="E89" s="5" t="s">
        <v>10</v>
      </c>
      <c r="F89" s="9">
        <v>44959</v>
      </c>
      <c r="G89" s="4">
        <v>112</v>
      </c>
      <c r="H89" s="23">
        <v>4.9000000000000004</v>
      </c>
      <c r="I89">
        <f>IF(MONTH(Calls[[#This Row],[Date of Call]])&lt;6,YEAR(Calls[[#This Row],[Date of Call]]),YEAR(Calls[[#This Row],[Date of Call]])+1)</f>
        <v>2023</v>
      </c>
      <c r="J89" t="str">
        <f>TEXT(Calls[[#This Row],[Date of Call]],"DDDD")</f>
        <v>Thursday</v>
      </c>
      <c r="K89" t="str" cm="1">
        <f t="array" ref="K89">_xlfn.IFS(Calls[[#This Row],[Duration]]&lt;10,"Under 10 Mins",Calls[[#This Row],[Duration]]&lt;=30,"10 - 30 Mins",Calls[[#This Row],[Duration]]&lt;=60,"30 - 60 Mins",Calls[[#This Row],[Duration]]&lt;=120,"1 - 2 Hours",TRUE,"More than 2  Hours")</f>
        <v>1 - 2 Hours</v>
      </c>
      <c r="L89">
        <f>ROUND(Calls[[#This Row],[Satisfaction Rating]],0)</f>
        <v>5</v>
      </c>
    </row>
    <row r="90" spans="2:12" x14ac:dyDescent="0.3">
      <c r="B90" s="22" t="s">
        <v>112</v>
      </c>
      <c r="C90" s="4" t="s">
        <v>19</v>
      </c>
      <c r="D90" s="4">
        <v>100</v>
      </c>
      <c r="E90" s="5" t="s">
        <v>10</v>
      </c>
      <c r="F90" s="9">
        <v>44959</v>
      </c>
      <c r="G90" s="4">
        <v>135</v>
      </c>
      <c r="H90" s="23">
        <v>4</v>
      </c>
      <c r="I90">
        <f>IF(MONTH(Calls[[#This Row],[Date of Call]])&lt;6,YEAR(Calls[[#This Row],[Date of Call]]),YEAR(Calls[[#This Row],[Date of Call]])+1)</f>
        <v>2023</v>
      </c>
      <c r="J90" t="str">
        <f>TEXT(Calls[[#This Row],[Date of Call]],"DDDD")</f>
        <v>Thursday</v>
      </c>
      <c r="K90" t="str" cm="1">
        <f t="array" ref="K90">_xlfn.IFS(Calls[[#This Row],[Duration]]&lt;10,"Under 10 Mins",Calls[[#This Row],[Duration]]&lt;=30,"10 - 30 Mins",Calls[[#This Row],[Duration]]&lt;=60,"30 - 60 Mins",Calls[[#This Row],[Duration]]&lt;=120,"1 - 2 Hours",TRUE,"More than 2  Hours")</f>
        <v>1 - 2 Hours</v>
      </c>
      <c r="L90">
        <f>ROUND(Calls[[#This Row],[Satisfaction Rating]],0)</f>
        <v>4</v>
      </c>
    </row>
    <row r="91" spans="2:12" x14ac:dyDescent="0.3">
      <c r="B91" s="22" t="s">
        <v>113</v>
      </c>
      <c r="C91" s="4" t="s">
        <v>12</v>
      </c>
      <c r="D91" s="4">
        <v>47</v>
      </c>
      <c r="E91" s="5" t="s">
        <v>9</v>
      </c>
      <c r="F91" s="9">
        <v>44959</v>
      </c>
      <c r="G91" s="4">
        <v>34</v>
      </c>
      <c r="H91" s="23">
        <v>2.1</v>
      </c>
      <c r="I91">
        <f>IF(MONTH(Calls[[#This Row],[Date of Call]])&lt;6,YEAR(Calls[[#This Row],[Date of Call]]),YEAR(Calls[[#This Row],[Date of Call]])+1)</f>
        <v>2023</v>
      </c>
      <c r="J91" t="str">
        <f>TEXT(Calls[[#This Row],[Date of Call]],"DDDD")</f>
        <v>Thursday</v>
      </c>
      <c r="K91" t="str" cm="1">
        <f t="array" ref="K91">_xlfn.IFS(Calls[[#This Row],[Duration]]&lt;10,"Under 10 Mins",Calls[[#This Row],[Duration]]&lt;=30,"10 - 30 Mins",Calls[[#This Row],[Duration]]&lt;=60,"30 - 60 Mins",Calls[[#This Row],[Duration]]&lt;=120,"1 - 2 Hours",TRUE,"More than 2  Hours")</f>
        <v>30 - 60 Mins</v>
      </c>
      <c r="L91">
        <f>ROUND(Calls[[#This Row],[Satisfaction Rating]],0)</f>
        <v>2</v>
      </c>
    </row>
    <row r="92" spans="2:12" x14ac:dyDescent="0.3">
      <c r="B92" s="22" t="s">
        <v>114</v>
      </c>
      <c r="C92" s="4" t="s">
        <v>5</v>
      </c>
      <c r="D92" s="4">
        <v>87</v>
      </c>
      <c r="E92" s="5" t="s">
        <v>11</v>
      </c>
      <c r="F92" s="9">
        <v>44959</v>
      </c>
      <c r="G92" s="4">
        <v>155</v>
      </c>
      <c r="H92" s="23">
        <v>4.5</v>
      </c>
      <c r="I92">
        <f>IF(MONTH(Calls[[#This Row],[Date of Call]])&lt;6,YEAR(Calls[[#This Row],[Date of Call]]),YEAR(Calls[[#This Row],[Date of Call]])+1)</f>
        <v>2023</v>
      </c>
      <c r="J92" t="str">
        <f>TEXT(Calls[[#This Row],[Date of Call]],"DDDD")</f>
        <v>Thursday</v>
      </c>
      <c r="K92" t="str" cm="1">
        <f t="array" ref="K92">_xlfn.IFS(Calls[[#This Row],[Duration]]&lt;10,"Under 10 Mins",Calls[[#This Row],[Duration]]&lt;=30,"10 - 30 Mins",Calls[[#This Row],[Duration]]&lt;=60,"30 - 60 Mins",Calls[[#This Row],[Duration]]&lt;=120,"1 - 2 Hours",TRUE,"More than 2  Hours")</f>
        <v>1 - 2 Hours</v>
      </c>
      <c r="L92">
        <f>ROUND(Calls[[#This Row],[Satisfaction Rating]],0)</f>
        <v>5</v>
      </c>
    </row>
    <row r="93" spans="2:12" x14ac:dyDescent="0.3">
      <c r="B93" s="22" t="s">
        <v>115</v>
      </c>
      <c r="C93" s="4" t="s">
        <v>21</v>
      </c>
      <c r="D93" s="4">
        <v>143</v>
      </c>
      <c r="E93" s="5" t="s">
        <v>11</v>
      </c>
      <c r="F93" s="9">
        <v>44961</v>
      </c>
      <c r="G93" s="4">
        <v>124</v>
      </c>
      <c r="H93" s="23">
        <v>4.9000000000000004</v>
      </c>
      <c r="I93">
        <f>IF(MONTH(Calls[[#This Row],[Date of Call]])&lt;6,YEAR(Calls[[#This Row],[Date of Call]]),YEAR(Calls[[#This Row],[Date of Call]])+1)</f>
        <v>2023</v>
      </c>
      <c r="J93" t="str">
        <f>TEXT(Calls[[#This Row],[Date of Call]],"DDDD")</f>
        <v>Saturday</v>
      </c>
      <c r="K93" t="str" cm="1">
        <f t="array" ref="K93">_xlfn.IFS(Calls[[#This Row],[Duration]]&lt;10,"Under 10 Mins",Calls[[#This Row],[Duration]]&lt;=30,"10 - 30 Mins",Calls[[#This Row],[Duration]]&lt;=60,"30 - 60 Mins",Calls[[#This Row],[Duration]]&lt;=120,"1 - 2 Hours",TRUE,"More than 2  Hours")</f>
        <v>More than 2  Hours</v>
      </c>
      <c r="L93">
        <f>ROUND(Calls[[#This Row],[Satisfaction Rating]],0)</f>
        <v>5</v>
      </c>
    </row>
    <row r="94" spans="2:12" x14ac:dyDescent="0.3">
      <c r="B94" s="22" t="s">
        <v>116</v>
      </c>
      <c r="C94" s="4" t="s">
        <v>19</v>
      </c>
      <c r="D94" s="4">
        <v>84</v>
      </c>
      <c r="E94" s="5" t="s">
        <v>10</v>
      </c>
      <c r="F94" s="9">
        <v>44961</v>
      </c>
      <c r="G94" s="4">
        <v>195</v>
      </c>
      <c r="H94" s="23">
        <v>4.0999999999999996</v>
      </c>
      <c r="I94">
        <f>IF(MONTH(Calls[[#This Row],[Date of Call]])&lt;6,YEAR(Calls[[#This Row],[Date of Call]]),YEAR(Calls[[#This Row],[Date of Call]])+1)</f>
        <v>2023</v>
      </c>
      <c r="J94" t="str">
        <f>TEXT(Calls[[#This Row],[Date of Call]],"DDDD")</f>
        <v>Saturday</v>
      </c>
      <c r="K94" t="str" cm="1">
        <f t="array" ref="K94">_xlfn.IFS(Calls[[#This Row],[Duration]]&lt;10,"Under 10 Mins",Calls[[#This Row],[Duration]]&lt;=30,"10 - 30 Mins",Calls[[#This Row],[Duration]]&lt;=60,"30 - 60 Mins",Calls[[#This Row],[Duration]]&lt;=120,"1 - 2 Hours",TRUE,"More than 2  Hours")</f>
        <v>1 - 2 Hours</v>
      </c>
      <c r="L94">
        <f>ROUND(Calls[[#This Row],[Satisfaction Rating]],0)</f>
        <v>4</v>
      </c>
    </row>
    <row r="95" spans="2:12" x14ac:dyDescent="0.3">
      <c r="B95" s="22" t="s">
        <v>117</v>
      </c>
      <c r="C95" s="4" t="s">
        <v>17</v>
      </c>
      <c r="D95" s="4">
        <v>55</v>
      </c>
      <c r="E95" s="5" t="s">
        <v>11</v>
      </c>
      <c r="F95" s="9">
        <v>44962</v>
      </c>
      <c r="G95" s="4">
        <v>78</v>
      </c>
      <c r="H95" s="23">
        <v>4.5</v>
      </c>
      <c r="I95">
        <f>IF(MONTH(Calls[[#This Row],[Date of Call]])&lt;6,YEAR(Calls[[#This Row],[Date of Call]]),YEAR(Calls[[#This Row],[Date of Call]])+1)</f>
        <v>2023</v>
      </c>
      <c r="J95" t="str">
        <f>TEXT(Calls[[#This Row],[Date of Call]],"DDDD")</f>
        <v>Sunday</v>
      </c>
      <c r="K95" t="str" cm="1">
        <f t="array" ref="K95">_xlfn.IFS(Calls[[#This Row],[Duration]]&lt;10,"Under 10 Mins",Calls[[#This Row],[Duration]]&lt;=30,"10 - 30 Mins",Calls[[#This Row],[Duration]]&lt;=60,"30 - 60 Mins",Calls[[#This Row],[Duration]]&lt;=120,"1 - 2 Hours",TRUE,"More than 2  Hours")</f>
        <v>30 - 60 Mins</v>
      </c>
      <c r="L95">
        <f>ROUND(Calls[[#This Row],[Satisfaction Rating]],0)</f>
        <v>5</v>
      </c>
    </row>
    <row r="96" spans="2:12" x14ac:dyDescent="0.3">
      <c r="B96" s="22" t="s">
        <v>118</v>
      </c>
      <c r="C96" s="4" t="s">
        <v>15</v>
      </c>
      <c r="D96" s="4">
        <v>135</v>
      </c>
      <c r="E96" s="5" t="s">
        <v>13</v>
      </c>
      <c r="F96" s="9">
        <v>44964</v>
      </c>
      <c r="G96" s="4">
        <v>35</v>
      </c>
      <c r="H96" s="23">
        <v>4.8</v>
      </c>
      <c r="I96">
        <f>IF(MONTH(Calls[[#This Row],[Date of Call]])&lt;6,YEAR(Calls[[#This Row],[Date of Call]]),YEAR(Calls[[#This Row],[Date of Call]])+1)</f>
        <v>2023</v>
      </c>
      <c r="J96" t="str">
        <f>TEXT(Calls[[#This Row],[Date of Call]],"DDDD")</f>
        <v>Tuesday</v>
      </c>
      <c r="K96" t="str" cm="1">
        <f t="array" ref="K96">_xlfn.IFS(Calls[[#This Row],[Duration]]&lt;10,"Under 10 Mins",Calls[[#This Row],[Duration]]&lt;=30,"10 - 30 Mins",Calls[[#This Row],[Duration]]&lt;=60,"30 - 60 Mins",Calls[[#This Row],[Duration]]&lt;=120,"1 - 2 Hours",TRUE,"More than 2  Hours")</f>
        <v>More than 2  Hours</v>
      </c>
      <c r="L96">
        <f>ROUND(Calls[[#This Row],[Satisfaction Rating]],0)</f>
        <v>5</v>
      </c>
    </row>
    <row r="97" spans="2:12" x14ac:dyDescent="0.3">
      <c r="B97" s="22" t="s">
        <v>119</v>
      </c>
      <c r="C97" s="4" t="s">
        <v>16</v>
      </c>
      <c r="D97" s="4">
        <v>152</v>
      </c>
      <c r="E97" s="5" t="s">
        <v>9</v>
      </c>
      <c r="F97" s="9">
        <v>44964</v>
      </c>
      <c r="G97" s="4">
        <v>123</v>
      </c>
      <c r="H97" s="23">
        <v>4.5999999999999996</v>
      </c>
      <c r="I97">
        <f>IF(MONTH(Calls[[#This Row],[Date of Call]])&lt;6,YEAR(Calls[[#This Row],[Date of Call]]),YEAR(Calls[[#This Row],[Date of Call]])+1)</f>
        <v>2023</v>
      </c>
      <c r="J97" t="str">
        <f>TEXT(Calls[[#This Row],[Date of Call]],"DDDD")</f>
        <v>Tuesday</v>
      </c>
      <c r="K97" t="str" cm="1">
        <f t="array" ref="K97">_xlfn.IFS(Calls[[#This Row],[Duration]]&lt;10,"Under 10 Mins",Calls[[#This Row],[Duration]]&lt;=30,"10 - 30 Mins",Calls[[#This Row],[Duration]]&lt;=60,"30 - 60 Mins",Calls[[#This Row],[Duration]]&lt;=120,"1 - 2 Hours",TRUE,"More than 2  Hours")</f>
        <v>More than 2  Hours</v>
      </c>
      <c r="L97">
        <f>ROUND(Calls[[#This Row],[Satisfaction Rating]],0)</f>
        <v>5</v>
      </c>
    </row>
    <row r="98" spans="2:12" x14ac:dyDescent="0.3">
      <c r="B98" s="22" t="s">
        <v>120</v>
      </c>
      <c r="C98" s="4" t="s">
        <v>23</v>
      </c>
      <c r="D98" s="4">
        <v>132</v>
      </c>
      <c r="E98" s="5" t="s">
        <v>9</v>
      </c>
      <c r="F98" s="9">
        <v>44964</v>
      </c>
      <c r="G98" s="4">
        <v>43</v>
      </c>
      <c r="H98" s="23">
        <v>4.5999999999999996</v>
      </c>
      <c r="I98">
        <f>IF(MONTH(Calls[[#This Row],[Date of Call]])&lt;6,YEAR(Calls[[#This Row],[Date of Call]]),YEAR(Calls[[#This Row],[Date of Call]])+1)</f>
        <v>2023</v>
      </c>
      <c r="J98" t="str">
        <f>TEXT(Calls[[#This Row],[Date of Call]],"DDDD")</f>
        <v>Tuesday</v>
      </c>
      <c r="K98" t="str" cm="1">
        <f t="array" ref="K98">_xlfn.IFS(Calls[[#This Row],[Duration]]&lt;10,"Under 10 Mins",Calls[[#This Row],[Duration]]&lt;=30,"10 - 30 Mins",Calls[[#This Row],[Duration]]&lt;=60,"30 - 60 Mins",Calls[[#This Row],[Duration]]&lt;=120,"1 - 2 Hours",TRUE,"More than 2  Hours")</f>
        <v>More than 2  Hours</v>
      </c>
      <c r="L98">
        <f>ROUND(Calls[[#This Row],[Satisfaction Rating]],0)</f>
        <v>5</v>
      </c>
    </row>
    <row r="99" spans="2:12" x14ac:dyDescent="0.3">
      <c r="B99" s="22" t="s">
        <v>121</v>
      </c>
      <c r="C99" s="4" t="s">
        <v>7</v>
      </c>
      <c r="D99" s="4">
        <v>60</v>
      </c>
      <c r="E99" s="5" t="s">
        <v>10</v>
      </c>
      <c r="F99" s="9">
        <v>44965</v>
      </c>
      <c r="G99" s="4">
        <v>69</v>
      </c>
      <c r="H99" s="23">
        <v>4.3</v>
      </c>
      <c r="I99">
        <f>IF(MONTH(Calls[[#This Row],[Date of Call]])&lt;6,YEAR(Calls[[#This Row],[Date of Call]]),YEAR(Calls[[#This Row],[Date of Call]])+1)</f>
        <v>2023</v>
      </c>
      <c r="J99" t="str">
        <f>TEXT(Calls[[#This Row],[Date of Call]],"DDDD")</f>
        <v>Wednesday</v>
      </c>
      <c r="K99" t="str" cm="1">
        <f t="array" ref="K99">_xlfn.IFS(Calls[[#This Row],[Duration]]&lt;10,"Under 10 Mins",Calls[[#This Row],[Duration]]&lt;=30,"10 - 30 Mins",Calls[[#This Row],[Duration]]&lt;=60,"30 - 60 Mins",Calls[[#This Row],[Duration]]&lt;=120,"1 - 2 Hours",TRUE,"More than 2  Hours")</f>
        <v>30 - 60 Mins</v>
      </c>
      <c r="L99">
        <f>ROUND(Calls[[#This Row],[Satisfaction Rating]],0)</f>
        <v>4</v>
      </c>
    </row>
    <row r="100" spans="2:12" x14ac:dyDescent="0.3">
      <c r="B100" s="22" t="s">
        <v>122</v>
      </c>
      <c r="C100" s="4" t="s">
        <v>16</v>
      </c>
      <c r="D100" s="4">
        <v>95</v>
      </c>
      <c r="E100" s="5" t="s">
        <v>9</v>
      </c>
      <c r="F100" s="9">
        <v>44965</v>
      </c>
      <c r="G100" s="4">
        <v>130</v>
      </c>
      <c r="H100" s="23">
        <v>5</v>
      </c>
      <c r="I100">
        <f>IF(MONTH(Calls[[#This Row],[Date of Call]])&lt;6,YEAR(Calls[[#This Row],[Date of Call]]),YEAR(Calls[[#This Row],[Date of Call]])+1)</f>
        <v>2023</v>
      </c>
      <c r="J100" t="str">
        <f>TEXT(Calls[[#This Row],[Date of Call]],"DDDD")</f>
        <v>Wednesday</v>
      </c>
      <c r="K100" t="str" cm="1">
        <f t="array" ref="K100">_xlfn.IFS(Calls[[#This Row],[Duration]]&lt;10,"Under 10 Mins",Calls[[#This Row],[Duration]]&lt;=30,"10 - 30 Mins",Calls[[#This Row],[Duration]]&lt;=60,"30 - 60 Mins",Calls[[#This Row],[Duration]]&lt;=120,"1 - 2 Hours",TRUE,"More than 2  Hours")</f>
        <v>1 - 2 Hours</v>
      </c>
      <c r="L100">
        <f>ROUND(Calls[[#This Row],[Satisfaction Rating]],0)</f>
        <v>5</v>
      </c>
    </row>
    <row r="101" spans="2:12" x14ac:dyDescent="0.3">
      <c r="B101" s="22" t="s">
        <v>123</v>
      </c>
      <c r="C101" s="4" t="s">
        <v>20</v>
      </c>
      <c r="D101" s="4">
        <v>96</v>
      </c>
      <c r="E101" s="5" t="s">
        <v>6</v>
      </c>
      <c r="F101" s="9">
        <v>44965</v>
      </c>
      <c r="G101" s="4">
        <v>120</v>
      </c>
      <c r="H101" s="23">
        <v>4</v>
      </c>
      <c r="I101">
        <f>IF(MONTH(Calls[[#This Row],[Date of Call]])&lt;6,YEAR(Calls[[#This Row],[Date of Call]]),YEAR(Calls[[#This Row],[Date of Call]])+1)</f>
        <v>2023</v>
      </c>
      <c r="J101" t="str">
        <f>TEXT(Calls[[#This Row],[Date of Call]],"DDDD")</f>
        <v>Wednesday</v>
      </c>
      <c r="K101" t="str" cm="1">
        <f t="array" ref="K101">_xlfn.IFS(Calls[[#This Row],[Duration]]&lt;10,"Under 10 Mins",Calls[[#This Row],[Duration]]&lt;=30,"10 - 30 Mins",Calls[[#This Row],[Duration]]&lt;=60,"30 - 60 Mins",Calls[[#This Row],[Duration]]&lt;=120,"1 - 2 Hours",TRUE,"More than 2  Hours")</f>
        <v>1 - 2 Hours</v>
      </c>
      <c r="L101">
        <f>ROUND(Calls[[#This Row],[Satisfaction Rating]],0)</f>
        <v>4</v>
      </c>
    </row>
    <row r="102" spans="2:12" x14ac:dyDescent="0.3">
      <c r="B102" s="22" t="s">
        <v>124</v>
      </c>
      <c r="C102" s="4" t="s">
        <v>17</v>
      </c>
      <c r="D102" s="4">
        <v>45</v>
      </c>
      <c r="E102" s="5" t="s">
        <v>10</v>
      </c>
      <c r="F102" s="9">
        <v>44966</v>
      </c>
      <c r="G102" s="4">
        <v>84</v>
      </c>
      <c r="H102" s="23">
        <v>4.5999999999999996</v>
      </c>
      <c r="I102">
        <f>IF(MONTH(Calls[[#This Row],[Date of Call]])&lt;6,YEAR(Calls[[#This Row],[Date of Call]]),YEAR(Calls[[#This Row],[Date of Call]])+1)</f>
        <v>2023</v>
      </c>
      <c r="J102" t="str">
        <f>TEXT(Calls[[#This Row],[Date of Call]],"DDDD")</f>
        <v>Thursday</v>
      </c>
      <c r="K102" t="str" cm="1">
        <f t="array" ref="K102">_xlfn.IFS(Calls[[#This Row],[Duration]]&lt;10,"Under 10 Mins",Calls[[#This Row],[Duration]]&lt;=30,"10 - 30 Mins",Calls[[#This Row],[Duration]]&lt;=60,"30 - 60 Mins",Calls[[#This Row],[Duration]]&lt;=120,"1 - 2 Hours",TRUE,"More than 2  Hours")</f>
        <v>30 - 60 Mins</v>
      </c>
      <c r="L102">
        <f>ROUND(Calls[[#This Row],[Satisfaction Rating]],0)</f>
        <v>5</v>
      </c>
    </row>
    <row r="103" spans="2:12" x14ac:dyDescent="0.3">
      <c r="B103" s="22" t="s">
        <v>125</v>
      </c>
      <c r="C103" s="4" t="s">
        <v>20</v>
      </c>
      <c r="D103" s="4">
        <v>132</v>
      </c>
      <c r="E103" s="5" t="s">
        <v>6</v>
      </c>
      <c r="F103" s="9">
        <v>44967</v>
      </c>
      <c r="G103" s="4">
        <v>112</v>
      </c>
      <c r="H103" s="23">
        <v>4.5</v>
      </c>
      <c r="I103">
        <f>IF(MONTH(Calls[[#This Row],[Date of Call]])&lt;6,YEAR(Calls[[#This Row],[Date of Call]]),YEAR(Calls[[#This Row],[Date of Call]])+1)</f>
        <v>2023</v>
      </c>
      <c r="J103" t="str">
        <f>TEXT(Calls[[#This Row],[Date of Call]],"DDDD")</f>
        <v>Friday</v>
      </c>
      <c r="K103" t="str" cm="1">
        <f t="array" ref="K103">_xlfn.IFS(Calls[[#This Row],[Duration]]&lt;10,"Under 10 Mins",Calls[[#This Row],[Duration]]&lt;=30,"10 - 30 Mins",Calls[[#This Row],[Duration]]&lt;=60,"30 - 60 Mins",Calls[[#This Row],[Duration]]&lt;=120,"1 - 2 Hours",TRUE,"More than 2  Hours")</f>
        <v>More than 2  Hours</v>
      </c>
      <c r="L103">
        <f>ROUND(Calls[[#This Row],[Satisfaction Rating]],0)</f>
        <v>5</v>
      </c>
    </row>
    <row r="104" spans="2:12" x14ac:dyDescent="0.3">
      <c r="B104" s="22" t="s">
        <v>126</v>
      </c>
      <c r="C104" s="4" t="s">
        <v>14</v>
      </c>
      <c r="D104" s="4">
        <v>95</v>
      </c>
      <c r="E104" s="5" t="s">
        <v>10</v>
      </c>
      <c r="F104" s="9">
        <v>44967</v>
      </c>
      <c r="G104" s="4">
        <v>66</v>
      </c>
      <c r="H104" s="23">
        <v>4.5999999999999996</v>
      </c>
      <c r="I104">
        <f>IF(MONTH(Calls[[#This Row],[Date of Call]])&lt;6,YEAR(Calls[[#This Row],[Date of Call]]),YEAR(Calls[[#This Row],[Date of Call]])+1)</f>
        <v>2023</v>
      </c>
      <c r="J104" t="str">
        <f>TEXT(Calls[[#This Row],[Date of Call]],"DDDD")</f>
        <v>Friday</v>
      </c>
      <c r="K104" t="str" cm="1">
        <f t="array" ref="K104">_xlfn.IFS(Calls[[#This Row],[Duration]]&lt;10,"Under 10 Mins",Calls[[#This Row],[Duration]]&lt;=30,"10 - 30 Mins",Calls[[#This Row],[Duration]]&lt;=60,"30 - 60 Mins",Calls[[#This Row],[Duration]]&lt;=120,"1 - 2 Hours",TRUE,"More than 2  Hours")</f>
        <v>1 - 2 Hours</v>
      </c>
      <c r="L104">
        <f>ROUND(Calls[[#This Row],[Satisfaction Rating]],0)</f>
        <v>5</v>
      </c>
    </row>
    <row r="105" spans="2:12" x14ac:dyDescent="0.3">
      <c r="B105" s="22" t="s">
        <v>127</v>
      </c>
      <c r="C105" s="4" t="s">
        <v>16</v>
      </c>
      <c r="D105" s="4">
        <v>131</v>
      </c>
      <c r="E105" s="5" t="s">
        <v>11</v>
      </c>
      <c r="F105" s="9">
        <v>44967</v>
      </c>
      <c r="G105" s="4">
        <v>172</v>
      </c>
      <c r="H105" s="23">
        <v>2.6</v>
      </c>
      <c r="I105">
        <f>IF(MONTH(Calls[[#This Row],[Date of Call]])&lt;6,YEAR(Calls[[#This Row],[Date of Call]]),YEAR(Calls[[#This Row],[Date of Call]])+1)</f>
        <v>2023</v>
      </c>
      <c r="J105" t="str">
        <f>TEXT(Calls[[#This Row],[Date of Call]],"DDDD")</f>
        <v>Friday</v>
      </c>
      <c r="K105" t="str" cm="1">
        <f t="array" ref="K105">_xlfn.IFS(Calls[[#This Row],[Duration]]&lt;10,"Under 10 Mins",Calls[[#This Row],[Duration]]&lt;=30,"10 - 30 Mins",Calls[[#This Row],[Duration]]&lt;=60,"30 - 60 Mins",Calls[[#This Row],[Duration]]&lt;=120,"1 - 2 Hours",TRUE,"More than 2  Hours")</f>
        <v>More than 2  Hours</v>
      </c>
      <c r="L105">
        <f>ROUND(Calls[[#This Row],[Satisfaction Rating]],0)</f>
        <v>3</v>
      </c>
    </row>
    <row r="106" spans="2:12" x14ac:dyDescent="0.3">
      <c r="B106" s="22" t="s">
        <v>128</v>
      </c>
      <c r="C106" s="4" t="s">
        <v>22</v>
      </c>
      <c r="D106" s="4">
        <v>67</v>
      </c>
      <c r="E106" s="5" t="s">
        <v>13</v>
      </c>
      <c r="F106" s="9">
        <v>44968</v>
      </c>
      <c r="G106" s="4">
        <v>24</v>
      </c>
      <c r="H106" s="23">
        <v>4.3</v>
      </c>
      <c r="I106">
        <f>IF(MONTH(Calls[[#This Row],[Date of Call]])&lt;6,YEAR(Calls[[#This Row],[Date of Call]]),YEAR(Calls[[#This Row],[Date of Call]])+1)</f>
        <v>2023</v>
      </c>
      <c r="J106" t="str">
        <f>TEXT(Calls[[#This Row],[Date of Call]],"DDDD")</f>
        <v>Saturday</v>
      </c>
      <c r="K106" t="str" cm="1">
        <f t="array" ref="K106">_xlfn.IFS(Calls[[#This Row],[Duration]]&lt;10,"Under 10 Mins",Calls[[#This Row],[Duration]]&lt;=30,"10 - 30 Mins",Calls[[#This Row],[Duration]]&lt;=60,"30 - 60 Mins",Calls[[#This Row],[Duration]]&lt;=120,"1 - 2 Hours",TRUE,"More than 2  Hours")</f>
        <v>1 - 2 Hours</v>
      </c>
      <c r="L106">
        <f>ROUND(Calls[[#This Row],[Satisfaction Rating]],0)</f>
        <v>4</v>
      </c>
    </row>
    <row r="107" spans="2:12" x14ac:dyDescent="0.3">
      <c r="B107" s="22" t="s">
        <v>129</v>
      </c>
      <c r="C107" s="4" t="s">
        <v>21</v>
      </c>
      <c r="D107" s="4">
        <v>111</v>
      </c>
      <c r="E107" s="5" t="s">
        <v>11</v>
      </c>
      <c r="F107" s="9">
        <v>44969</v>
      </c>
      <c r="G107" s="4">
        <v>43</v>
      </c>
      <c r="H107" s="23">
        <v>3.9</v>
      </c>
      <c r="I107">
        <f>IF(MONTH(Calls[[#This Row],[Date of Call]])&lt;6,YEAR(Calls[[#This Row],[Date of Call]]),YEAR(Calls[[#This Row],[Date of Call]])+1)</f>
        <v>2023</v>
      </c>
      <c r="J107" t="str">
        <f>TEXT(Calls[[#This Row],[Date of Call]],"DDDD")</f>
        <v>Sunday</v>
      </c>
      <c r="K107" t="str" cm="1">
        <f t="array" ref="K107">_xlfn.IFS(Calls[[#This Row],[Duration]]&lt;10,"Under 10 Mins",Calls[[#This Row],[Duration]]&lt;=30,"10 - 30 Mins",Calls[[#This Row],[Duration]]&lt;=60,"30 - 60 Mins",Calls[[#This Row],[Duration]]&lt;=120,"1 - 2 Hours",TRUE,"More than 2  Hours")</f>
        <v>1 - 2 Hours</v>
      </c>
      <c r="L107">
        <f>ROUND(Calls[[#This Row],[Satisfaction Rating]],0)</f>
        <v>4</v>
      </c>
    </row>
    <row r="108" spans="2:12" x14ac:dyDescent="0.3">
      <c r="B108" s="22" t="s">
        <v>130</v>
      </c>
      <c r="C108" s="4" t="s">
        <v>23</v>
      </c>
      <c r="D108" s="4">
        <v>78</v>
      </c>
      <c r="E108" s="5" t="s">
        <v>9</v>
      </c>
      <c r="F108" s="9">
        <v>44969</v>
      </c>
      <c r="G108" s="4">
        <v>23</v>
      </c>
      <c r="H108" s="23">
        <v>5</v>
      </c>
      <c r="I108">
        <f>IF(MONTH(Calls[[#This Row],[Date of Call]])&lt;6,YEAR(Calls[[#This Row],[Date of Call]]),YEAR(Calls[[#This Row],[Date of Call]])+1)</f>
        <v>2023</v>
      </c>
      <c r="J108" t="str">
        <f>TEXT(Calls[[#This Row],[Date of Call]],"DDDD")</f>
        <v>Sunday</v>
      </c>
      <c r="K108" t="str" cm="1">
        <f t="array" ref="K108">_xlfn.IFS(Calls[[#This Row],[Duration]]&lt;10,"Under 10 Mins",Calls[[#This Row],[Duration]]&lt;=30,"10 - 30 Mins",Calls[[#This Row],[Duration]]&lt;=60,"30 - 60 Mins",Calls[[#This Row],[Duration]]&lt;=120,"1 - 2 Hours",TRUE,"More than 2  Hours")</f>
        <v>1 - 2 Hours</v>
      </c>
      <c r="L108">
        <f>ROUND(Calls[[#This Row],[Satisfaction Rating]],0)</f>
        <v>5</v>
      </c>
    </row>
    <row r="109" spans="2:12" x14ac:dyDescent="0.3">
      <c r="B109" s="22" t="s">
        <v>131</v>
      </c>
      <c r="C109" s="4" t="s">
        <v>24</v>
      </c>
      <c r="D109" s="4">
        <v>28</v>
      </c>
      <c r="E109" s="5" t="s">
        <v>6</v>
      </c>
      <c r="F109" s="9">
        <v>44969</v>
      </c>
      <c r="G109" s="4">
        <v>74</v>
      </c>
      <c r="H109" s="23">
        <v>3.5</v>
      </c>
      <c r="I109">
        <f>IF(MONTH(Calls[[#This Row],[Date of Call]])&lt;6,YEAR(Calls[[#This Row],[Date of Call]]),YEAR(Calls[[#This Row],[Date of Call]])+1)</f>
        <v>2023</v>
      </c>
      <c r="J109" t="str">
        <f>TEXT(Calls[[#This Row],[Date of Call]],"DDDD")</f>
        <v>Sunday</v>
      </c>
      <c r="K109" t="str" cm="1">
        <f t="array" ref="K109">_xlfn.IFS(Calls[[#This Row],[Duration]]&lt;10,"Under 10 Mins",Calls[[#This Row],[Duration]]&lt;=30,"10 - 30 Mins",Calls[[#This Row],[Duration]]&lt;=60,"30 - 60 Mins",Calls[[#This Row],[Duration]]&lt;=120,"1 - 2 Hours",TRUE,"More than 2  Hours")</f>
        <v>10 - 30 Mins</v>
      </c>
      <c r="L109">
        <f>ROUND(Calls[[#This Row],[Satisfaction Rating]],0)</f>
        <v>4</v>
      </c>
    </row>
    <row r="110" spans="2:12" x14ac:dyDescent="0.3">
      <c r="B110" s="22" t="s">
        <v>132</v>
      </c>
      <c r="C110" s="4" t="s">
        <v>12</v>
      </c>
      <c r="D110" s="4">
        <v>127</v>
      </c>
      <c r="E110" s="5" t="s">
        <v>13</v>
      </c>
      <c r="F110" s="9">
        <v>44970</v>
      </c>
      <c r="G110" s="4">
        <v>165</v>
      </c>
      <c r="H110" s="23">
        <v>4.7</v>
      </c>
      <c r="I110">
        <f>IF(MONTH(Calls[[#This Row],[Date of Call]])&lt;6,YEAR(Calls[[#This Row],[Date of Call]]),YEAR(Calls[[#This Row],[Date of Call]])+1)</f>
        <v>2023</v>
      </c>
      <c r="J110" t="str">
        <f>TEXT(Calls[[#This Row],[Date of Call]],"DDDD")</f>
        <v>Monday</v>
      </c>
      <c r="K110" t="str" cm="1">
        <f t="array" ref="K110">_xlfn.IFS(Calls[[#This Row],[Duration]]&lt;10,"Under 10 Mins",Calls[[#This Row],[Duration]]&lt;=30,"10 - 30 Mins",Calls[[#This Row],[Duration]]&lt;=60,"30 - 60 Mins",Calls[[#This Row],[Duration]]&lt;=120,"1 - 2 Hours",TRUE,"More than 2  Hours")</f>
        <v>More than 2  Hours</v>
      </c>
      <c r="L110">
        <f>ROUND(Calls[[#This Row],[Satisfaction Rating]],0)</f>
        <v>5</v>
      </c>
    </row>
    <row r="111" spans="2:12" x14ac:dyDescent="0.3">
      <c r="B111" s="22" t="s">
        <v>133</v>
      </c>
      <c r="C111" s="4" t="s">
        <v>19</v>
      </c>
      <c r="D111" s="4">
        <v>137</v>
      </c>
      <c r="E111" s="5" t="s">
        <v>11</v>
      </c>
      <c r="F111" s="9">
        <v>44970</v>
      </c>
      <c r="G111" s="4">
        <v>34</v>
      </c>
      <c r="H111" s="23">
        <v>2.9</v>
      </c>
      <c r="I111">
        <f>IF(MONTH(Calls[[#This Row],[Date of Call]])&lt;6,YEAR(Calls[[#This Row],[Date of Call]]),YEAR(Calls[[#This Row],[Date of Call]])+1)</f>
        <v>2023</v>
      </c>
      <c r="J111" t="str">
        <f>TEXT(Calls[[#This Row],[Date of Call]],"DDDD")</f>
        <v>Monday</v>
      </c>
      <c r="K111" t="str" cm="1">
        <f t="array" ref="K111">_xlfn.IFS(Calls[[#This Row],[Duration]]&lt;10,"Under 10 Mins",Calls[[#This Row],[Duration]]&lt;=30,"10 - 30 Mins",Calls[[#This Row],[Duration]]&lt;=60,"30 - 60 Mins",Calls[[#This Row],[Duration]]&lt;=120,"1 - 2 Hours",TRUE,"More than 2  Hours")</f>
        <v>More than 2  Hours</v>
      </c>
      <c r="L111">
        <f>ROUND(Calls[[#This Row],[Satisfaction Rating]],0)</f>
        <v>3</v>
      </c>
    </row>
    <row r="112" spans="2:12" x14ac:dyDescent="0.3">
      <c r="B112" s="22" t="s">
        <v>134</v>
      </c>
      <c r="C112" s="4" t="s">
        <v>12</v>
      </c>
      <c r="D112" s="4">
        <v>76</v>
      </c>
      <c r="E112" s="5" t="s">
        <v>6</v>
      </c>
      <c r="F112" s="9">
        <v>44970</v>
      </c>
      <c r="G112" s="4">
        <v>64</v>
      </c>
      <c r="H112" s="23">
        <v>3.4</v>
      </c>
      <c r="I112">
        <f>IF(MONTH(Calls[[#This Row],[Date of Call]])&lt;6,YEAR(Calls[[#This Row],[Date of Call]]),YEAR(Calls[[#This Row],[Date of Call]])+1)</f>
        <v>2023</v>
      </c>
      <c r="J112" t="str">
        <f>TEXT(Calls[[#This Row],[Date of Call]],"DDDD")</f>
        <v>Monday</v>
      </c>
      <c r="K112" t="str" cm="1">
        <f t="array" ref="K112">_xlfn.IFS(Calls[[#This Row],[Duration]]&lt;10,"Under 10 Mins",Calls[[#This Row],[Duration]]&lt;=30,"10 - 30 Mins",Calls[[#This Row],[Duration]]&lt;=60,"30 - 60 Mins",Calls[[#This Row],[Duration]]&lt;=120,"1 - 2 Hours",TRUE,"More than 2  Hours")</f>
        <v>1 - 2 Hours</v>
      </c>
      <c r="L112">
        <f>ROUND(Calls[[#This Row],[Satisfaction Rating]],0)</f>
        <v>3</v>
      </c>
    </row>
    <row r="113" spans="2:12" x14ac:dyDescent="0.3">
      <c r="B113" s="22" t="s">
        <v>135</v>
      </c>
      <c r="C113" s="4" t="s">
        <v>23</v>
      </c>
      <c r="D113" s="4">
        <v>80</v>
      </c>
      <c r="E113" s="5" t="s">
        <v>13</v>
      </c>
      <c r="F113" s="9">
        <v>44971</v>
      </c>
      <c r="G113" s="4">
        <v>155</v>
      </c>
      <c r="H113" s="23">
        <v>3.2</v>
      </c>
      <c r="I113">
        <f>IF(MONTH(Calls[[#This Row],[Date of Call]])&lt;6,YEAR(Calls[[#This Row],[Date of Call]]),YEAR(Calls[[#This Row],[Date of Call]])+1)</f>
        <v>2023</v>
      </c>
      <c r="J113" t="str">
        <f>TEXT(Calls[[#This Row],[Date of Call]],"DDDD")</f>
        <v>Tuesday</v>
      </c>
      <c r="K113" t="str" cm="1">
        <f t="array" ref="K113">_xlfn.IFS(Calls[[#This Row],[Duration]]&lt;10,"Under 10 Mins",Calls[[#This Row],[Duration]]&lt;=30,"10 - 30 Mins",Calls[[#This Row],[Duration]]&lt;=60,"30 - 60 Mins",Calls[[#This Row],[Duration]]&lt;=120,"1 - 2 Hours",TRUE,"More than 2  Hours")</f>
        <v>1 - 2 Hours</v>
      </c>
      <c r="L113">
        <f>ROUND(Calls[[#This Row],[Satisfaction Rating]],0)</f>
        <v>3</v>
      </c>
    </row>
    <row r="114" spans="2:12" x14ac:dyDescent="0.3">
      <c r="B114" s="22" t="s">
        <v>136</v>
      </c>
      <c r="C114" s="4" t="s">
        <v>12</v>
      </c>
      <c r="D114" s="4">
        <v>95</v>
      </c>
      <c r="E114" s="5" t="s">
        <v>9</v>
      </c>
      <c r="F114" s="9">
        <v>44972</v>
      </c>
      <c r="G114" s="4">
        <v>120</v>
      </c>
      <c r="H114" s="23">
        <v>4.8</v>
      </c>
      <c r="I114">
        <f>IF(MONTH(Calls[[#This Row],[Date of Call]])&lt;6,YEAR(Calls[[#This Row],[Date of Call]]),YEAR(Calls[[#This Row],[Date of Call]])+1)</f>
        <v>2023</v>
      </c>
      <c r="J114" t="str">
        <f>TEXT(Calls[[#This Row],[Date of Call]],"DDDD")</f>
        <v>Wednesday</v>
      </c>
      <c r="K114" t="str" cm="1">
        <f t="array" ref="K114">_xlfn.IFS(Calls[[#This Row],[Duration]]&lt;10,"Under 10 Mins",Calls[[#This Row],[Duration]]&lt;=30,"10 - 30 Mins",Calls[[#This Row],[Duration]]&lt;=60,"30 - 60 Mins",Calls[[#This Row],[Duration]]&lt;=120,"1 - 2 Hours",TRUE,"More than 2  Hours")</f>
        <v>1 - 2 Hours</v>
      </c>
      <c r="L114">
        <f>ROUND(Calls[[#This Row],[Satisfaction Rating]],0)</f>
        <v>5</v>
      </c>
    </row>
    <row r="115" spans="2:12" x14ac:dyDescent="0.3">
      <c r="B115" s="22" t="s">
        <v>137</v>
      </c>
      <c r="C115" s="4" t="s">
        <v>7</v>
      </c>
      <c r="D115" s="4">
        <v>30</v>
      </c>
      <c r="E115" s="5" t="s">
        <v>6</v>
      </c>
      <c r="F115" s="9">
        <v>44972</v>
      </c>
      <c r="G115" s="4">
        <v>105</v>
      </c>
      <c r="H115" s="23">
        <v>3.6</v>
      </c>
      <c r="I115">
        <f>IF(MONTH(Calls[[#This Row],[Date of Call]])&lt;6,YEAR(Calls[[#This Row],[Date of Call]]),YEAR(Calls[[#This Row],[Date of Call]])+1)</f>
        <v>2023</v>
      </c>
      <c r="J115" t="str">
        <f>TEXT(Calls[[#This Row],[Date of Call]],"DDDD")</f>
        <v>Wednesday</v>
      </c>
      <c r="K115" t="str" cm="1">
        <f t="array" ref="K115">_xlfn.IFS(Calls[[#This Row],[Duration]]&lt;10,"Under 10 Mins",Calls[[#This Row],[Duration]]&lt;=30,"10 - 30 Mins",Calls[[#This Row],[Duration]]&lt;=60,"30 - 60 Mins",Calls[[#This Row],[Duration]]&lt;=120,"1 - 2 Hours",TRUE,"More than 2  Hours")</f>
        <v>10 - 30 Mins</v>
      </c>
      <c r="L115">
        <f>ROUND(Calls[[#This Row],[Satisfaction Rating]],0)</f>
        <v>4</v>
      </c>
    </row>
    <row r="116" spans="2:12" x14ac:dyDescent="0.3">
      <c r="B116" s="22" t="s">
        <v>138</v>
      </c>
      <c r="C116" s="4" t="s">
        <v>8</v>
      </c>
      <c r="D116" s="4">
        <v>19</v>
      </c>
      <c r="E116" s="5" t="s">
        <v>11</v>
      </c>
      <c r="F116" s="9">
        <v>44972</v>
      </c>
      <c r="G116" s="4">
        <v>28</v>
      </c>
      <c r="H116" s="23">
        <v>4.9000000000000004</v>
      </c>
      <c r="I116">
        <f>IF(MONTH(Calls[[#This Row],[Date of Call]])&lt;6,YEAR(Calls[[#This Row],[Date of Call]]),YEAR(Calls[[#This Row],[Date of Call]])+1)</f>
        <v>2023</v>
      </c>
      <c r="J116" t="str">
        <f>TEXT(Calls[[#This Row],[Date of Call]],"DDDD")</f>
        <v>Wednesday</v>
      </c>
      <c r="K116" t="str" cm="1">
        <f t="array" ref="K116">_xlfn.IFS(Calls[[#This Row],[Duration]]&lt;10,"Under 10 Mins",Calls[[#This Row],[Duration]]&lt;=30,"10 - 30 Mins",Calls[[#This Row],[Duration]]&lt;=60,"30 - 60 Mins",Calls[[#This Row],[Duration]]&lt;=120,"1 - 2 Hours",TRUE,"More than 2  Hours")</f>
        <v>10 - 30 Mins</v>
      </c>
      <c r="L116">
        <f>ROUND(Calls[[#This Row],[Satisfaction Rating]],0)</f>
        <v>5</v>
      </c>
    </row>
    <row r="117" spans="2:12" x14ac:dyDescent="0.3">
      <c r="B117" s="22" t="s">
        <v>139</v>
      </c>
      <c r="C117" s="4" t="s">
        <v>18</v>
      </c>
      <c r="D117" s="4">
        <v>38</v>
      </c>
      <c r="E117" s="5" t="s">
        <v>13</v>
      </c>
      <c r="F117" s="9">
        <v>44972</v>
      </c>
      <c r="G117" s="4">
        <v>100</v>
      </c>
      <c r="H117" s="23">
        <v>4.8</v>
      </c>
      <c r="I117">
        <f>IF(MONTH(Calls[[#This Row],[Date of Call]])&lt;6,YEAR(Calls[[#This Row],[Date of Call]]),YEAR(Calls[[#This Row],[Date of Call]])+1)</f>
        <v>2023</v>
      </c>
      <c r="J117" t="str">
        <f>TEXT(Calls[[#This Row],[Date of Call]],"DDDD")</f>
        <v>Wednesday</v>
      </c>
      <c r="K117" t="str" cm="1">
        <f t="array" ref="K117">_xlfn.IFS(Calls[[#This Row],[Duration]]&lt;10,"Under 10 Mins",Calls[[#This Row],[Duration]]&lt;=30,"10 - 30 Mins",Calls[[#This Row],[Duration]]&lt;=60,"30 - 60 Mins",Calls[[#This Row],[Duration]]&lt;=120,"1 - 2 Hours",TRUE,"More than 2  Hours")</f>
        <v>30 - 60 Mins</v>
      </c>
      <c r="L117">
        <f>ROUND(Calls[[#This Row],[Satisfaction Rating]],0)</f>
        <v>5</v>
      </c>
    </row>
    <row r="118" spans="2:12" x14ac:dyDescent="0.3">
      <c r="B118" s="22" t="s">
        <v>140</v>
      </c>
      <c r="C118" s="4" t="s">
        <v>14</v>
      </c>
      <c r="D118" s="4">
        <v>55</v>
      </c>
      <c r="E118" s="5" t="s">
        <v>11</v>
      </c>
      <c r="F118" s="9">
        <v>44972</v>
      </c>
      <c r="G118" s="4">
        <v>23</v>
      </c>
      <c r="H118" s="23">
        <v>3.6</v>
      </c>
      <c r="I118">
        <f>IF(MONTH(Calls[[#This Row],[Date of Call]])&lt;6,YEAR(Calls[[#This Row],[Date of Call]]),YEAR(Calls[[#This Row],[Date of Call]])+1)</f>
        <v>2023</v>
      </c>
      <c r="J118" t="str">
        <f>TEXT(Calls[[#This Row],[Date of Call]],"DDDD")</f>
        <v>Wednesday</v>
      </c>
      <c r="K118" t="str" cm="1">
        <f t="array" ref="K118">_xlfn.IFS(Calls[[#This Row],[Duration]]&lt;10,"Under 10 Mins",Calls[[#This Row],[Duration]]&lt;=30,"10 - 30 Mins",Calls[[#This Row],[Duration]]&lt;=60,"30 - 60 Mins",Calls[[#This Row],[Duration]]&lt;=120,"1 - 2 Hours",TRUE,"More than 2  Hours")</f>
        <v>30 - 60 Mins</v>
      </c>
      <c r="L118">
        <f>ROUND(Calls[[#This Row],[Satisfaction Rating]],0)</f>
        <v>4</v>
      </c>
    </row>
    <row r="119" spans="2:12" x14ac:dyDescent="0.3">
      <c r="B119" s="22" t="s">
        <v>141</v>
      </c>
      <c r="C119" s="4" t="s">
        <v>22</v>
      </c>
      <c r="D119" s="4">
        <v>27</v>
      </c>
      <c r="E119" s="5" t="s">
        <v>6</v>
      </c>
      <c r="F119" s="9">
        <v>44973</v>
      </c>
      <c r="G119" s="4">
        <v>70</v>
      </c>
      <c r="H119" s="23">
        <v>3.9</v>
      </c>
      <c r="I119">
        <f>IF(MONTH(Calls[[#This Row],[Date of Call]])&lt;6,YEAR(Calls[[#This Row],[Date of Call]]),YEAR(Calls[[#This Row],[Date of Call]])+1)</f>
        <v>2023</v>
      </c>
      <c r="J119" t="str">
        <f>TEXT(Calls[[#This Row],[Date of Call]],"DDDD")</f>
        <v>Thursday</v>
      </c>
      <c r="K119" t="str" cm="1">
        <f t="array" ref="K119">_xlfn.IFS(Calls[[#This Row],[Duration]]&lt;10,"Under 10 Mins",Calls[[#This Row],[Duration]]&lt;=30,"10 - 30 Mins",Calls[[#This Row],[Duration]]&lt;=60,"30 - 60 Mins",Calls[[#This Row],[Duration]]&lt;=120,"1 - 2 Hours",TRUE,"More than 2  Hours")</f>
        <v>10 - 30 Mins</v>
      </c>
      <c r="L119">
        <f>ROUND(Calls[[#This Row],[Satisfaction Rating]],0)</f>
        <v>4</v>
      </c>
    </row>
    <row r="120" spans="2:12" x14ac:dyDescent="0.3">
      <c r="B120" s="22" t="s">
        <v>142</v>
      </c>
      <c r="C120" s="4" t="s">
        <v>22</v>
      </c>
      <c r="D120" s="4">
        <v>32</v>
      </c>
      <c r="E120" s="5" t="s">
        <v>6</v>
      </c>
      <c r="F120" s="9">
        <v>44973</v>
      </c>
      <c r="G120" s="4">
        <v>37</v>
      </c>
      <c r="H120" s="23">
        <v>1.9</v>
      </c>
      <c r="I120">
        <f>IF(MONTH(Calls[[#This Row],[Date of Call]])&lt;6,YEAR(Calls[[#This Row],[Date of Call]]),YEAR(Calls[[#This Row],[Date of Call]])+1)</f>
        <v>2023</v>
      </c>
      <c r="J120" t="str">
        <f>TEXT(Calls[[#This Row],[Date of Call]],"DDDD")</f>
        <v>Thursday</v>
      </c>
      <c r="K120" t="str" cm="1">
        <f t="array" ref="K120">_xlfn.IFS(Calls[[#This Row],[Duration]]&lt;10,"Under 10 Mins",Calls[[#This Row],[Duration]]&lt;=30,"10 - 30 Mins",Calls[[#This Row],[Duration]]&lt;=60,"30 - 60 Mins",Calls[[#This Row],[Duration]]&lt;=120,"1 - 2 Hours",TRUE,"More than 2  Hours")</f>
        <v>30 - 60 Mins</v>
      </c>
      <c r="L120">
        <f>ROUND(Calls[[#This Row],[Satisfaction Rating]],0)</f>
        <v>2</v>
      </c>
    </row>
    <row r="121" spans="2:12" x14ac:dyDescent="0.3">
      <c r="B121" s="22" t="s">
        <v>143</v>
      </c>
      <c r="C121" s="4" t="s">
        <v>24</v>
      </c>
      <c r="D121" s="4">
        <v>116</v>
      </c>
      <c r="E121" s="5" t="s">
        <v>10</v>
      </c>
      <c r="F121" s="9">
        <v>44973</v>
      </c>
      <c r="G121" s="4">
        <v>140</v>
      </c>
      <c r="H121" s="23">
        <v>3.6</v>
      </c>
      <c r="I121">
        <f>IF(MONTH(Calls[[#This Row],[Date of Call]])&lt;6,YEAR(Calls[[#This Row],[Date of Call]]),YEAR(Calls[[#This Row],[Date of Call]])+1)</f>
        <v>2023</v>
      </c>
      <c r="J121" t="str">
        <f>TEXT(Calls[[#This Row],[Date of Call]],"DDDD")</f>
        <v>Thursday</v>
      </c>
      <c r="K121" t="str" cm="1">
        <f t="array" ref="K121">_xlfn.IFS(Calls[[#This Row],[Duration]]&lt;10,"Under 10 Mins",Calls[[#This Row],[Duration]]&lt;=30,"10 - 30 Mins",Calls[[#This Row],[Duration]]&lt;=60,"30 - 60 Mins",Calls[[#This Row],[Duration]]&lt;=120,"1 - 2 Hours",TRUE,"More than 2  Hours")</f>
        <v>1 - 2 Hours</v>
      </c>
      <c r="L121">
        <f>ROUND(Calls[[#This Row],[Satisfaction Rating]],0)</f>
        <v>4</v>
      </c>
    </row>
    <row r="122" spans="2:12" x14ac:dyDescent="0.3">
      <c r="B122" s="22" t="s">
        <v>144</v>
      </c>
      <c r="C122" s="4" t="s">
        <v>20</v>
      </c>
      <c r="D122" s="4">
        <v>99</v>
      </c>
      <c r="E122" s="5" t="s">
        <v>9</v>
      </c>
      <c r="F122" s="9">
        <v>44973</v>
      </c>
      <c r="G122" s="4">
        <v>78</v>
      </c>
      <c r="H122" s="23">
        <v>4.0999999999999996</v>
      </c>
      <c r="I122">
        <f>IF(MONTH(Calls[[#This Row],[Date of Call]])&lt;6,YEAR(Calls[[#This Row],[Date of Call]]),YEAR(Calls[[#This Row],[Date of Call]])+1)</f>
        <v>2023</v>
      </c>
      <c r="J122" t="str">
        <f>TEXT(Calls[[#This Row],[Date of Call]],"DDDD")</f>
        <v>Thursday</v>
      </c>
      <c r="K122" t="str" cm="1">
        <f t="array" ref="K122">_xlfn.IFS(Calls[[#This Row],[Duration]]&lt;10,"Under 10 Mins",Calls[[#This Row],[Duration]]&lt;=30,"10 - 30 Mins",Calls[[#This Row],[Duration]]&lt;=60,"30 - 60 Mins",Calls[[#This Row],[Duration]]&lt;=120,"1 - 2 Hours",TRUE,"More than 2  Hours")</f>
        <v>1 - 2 Hours</v>
      </c>
      <c r="L122">
        <f>ROUND(Calls[[#This Row],[Satisfaction Rating]],0)</f>
        <v>4</v>
      </c>
    </row>
    <row r="123" spans="2:12" x14ac:dyDescent="0.3">
      <c r="B123" s="22" t="s">
        <v>145</v>
      </c>
      <c r="C123" s="4" t="s">
        <v>12</v>
      </c>
      <c r="D123" s="4">
        <v>75</v>
      </c>
      <c r="E123" s="5" t="s">
        <v>6</v>
      </c>
      <c r="F123" s="9">
        <v>44974</v>
      </c>
      <c r="G123" s="4">
        <v>21</v>
      </c>
      <c r="H123" s="23">
        <v>4.2</v>
      </c>
      <c r="I123">
        <f>IF(MONTH(Calls[[#This Row],[Date of Call]])&lt;6,YEAR(Calls[[#This Row],[Date of Call]]),YEAR(Calls[[#This Row],[Date of Call]])+1)</f>
        <v>2023</v>
      </c>
      <c r="J123" t="str">
        <f>TEXT(Calls[[#This Row],[Date of Call]],"DDDD")</f>
        <v>Friday</v>
      </c>
      <c r="K123" t="str" cm="1">
        <f t="array" ref="K123">_xlfn.IFS(Calls[[#This Row],[Duration]]&lt;10,"Under 10 Mins",Calls[[#This Row],[Duration]]&lt;=30,"10 - 30 Mins",Calls[[#This Row],[Duration]]&lt;=60,"30 - 60 Mins",Calls[[#This Row],[Duration]]&lt;=120,"1 - 2 Hours",TRUE,"More than 2  Hours")</f>
        <v>1 - 2 Hours</v>
      </c>
      <c r="L123">
        <f>ROUND(Calls[[#This Row],[Satisfaction Rating]],0)</f>
        <v>4</v>
      </c>
    </row>
    <row r="124" spans="2:12" x14ac:dyDescent="0.3">
      <c r="B124" s="22" t="s">
        <v>146</v>
      </c>
      <c r="C124" s="4" t="s">
        <v>23</v>
      </c>
      <c r="D124" s="4">
        <v>57</v>
      </c>
      <c r="E124" s="5" t="s">
        <v>10</v>
      </c>
      <c r="F124" s="9">
        <v>44974</v>
      </c>
      <c r="G124" s="4">
        <v>88</v>
      </c>
      <c r="H124" s="23">
        <v>4.3</v>
      </c>
      <c r="I124">
        <f>IF(MONTH(Calls[[#This Row],[Date of Call]])&lt;6,YEAR(Calls[[#This Row],[Date of Call]]),YEAR(Calls[[#This Row],[Date of Call]])+1)</f>
        <v>2023</v>
      </c>
      <c r="J124" t="str">
        <f>TEXT(Calls[[#This Row],[Date of Call]],"DDDD")</f>
        <v>Friday</v>
      </c>
      <c r="K124" t="str" cm="1">
        <f t="array" ref="K124">_xlfn.IFS(Calls[[#This Row],[Duration]]&lt;10,"Under 10 Mins",Calls[[#This Row],[Duration]]&lt;=30,"10 - 30 Mins",Calls[[#This Row],[Duration]]&lt;=60,"30 - 60 Mins",Calls[[#This Row],[Duration]]&lt;=120,"1 - 2 Hours",TRUE,"More than 2  Hours")</f>
        <v>30 - 60 Mins</v>
      </c>
      <c r="L124">
        <f>ROUND(Calls[[#This Row],[Satisfaction Rating]],0)</f>
        <v>4</v>
      </c>
    </row>
    <row r="125" spans="2:12" x14ac:dyDescent="0.3">
      <c r="B125" s="22" t="s">
        <v>147</v>
      </c>
      <c r="C125" s="4" t="s">
        <v>15</v>
      </c>
      <c r="D125" s="4">
        <v>155</v>
      </c>
      <c r="E125" s="5" t="s">
        <v>10</v>
      </c>
      <c r="F125" s="9">
        <v>44975</v>
      </c>
      <c r="G125" s="4">
        <v>180</v>
      </c>
      <c r="H125" s="23">
        <v>2.2000000000000002</v>
      </c>
      <c r="I125">
        <f>IF(MONTH(Calls[[#This Row],[Date of Call]])&lt;6,YEAR(Calls[[#This Row],[Date of Call]]),YEAR(Calls[[#This Row],[Date of Call]])+1)</f>
        <v>2023</v>
      </c>
      <c r="J125" t="str">
        <f>TEXT(Calls[[#This Row],[Date of Call]],"DDDD")</f>
        <v>Saturday</v>
      </c>
      <c r="K125" t="str" cm="1">
        <f t="array" ref="K125">_xlfn.IFS(Calls[[#This Row],[Duration]]&lt;10,"Under 10 Mins",Calls[[#This Row],[Duration]]&lt;=30,"10 - 30 Mins",Calls[[#This Row],[Duration]]&lt;=60,"30 - 60 Mins",Calls[[#This Row],[Duration]]&lt;=120,"1 - 2 Hours",TRUE,"More than 2  Hours")</f>
        <v>More than 2  Hours</v>
      </c>
      <c r="L125">
        <f>ROUND(Calls[[#This Row],[Satisfaction Rating]],0)</f>
        <v>2</v>
      </c>
    </row>
    <row r="126" spans="2:12" x14ac:dyDescent="0.3">
      <c r="B126" s="22" t="s">
        <v>148</v>
      </c>
      <c r="C126" s="4" t="s">
        <v>20</v>
      </c>
      <c r="D126" s="4">
        <v>68</v>
      </c>
      <c r="E126" s="5" t="s">
        <v>9</v>
      </c>
      <c r="F126" s="9">
        <v>44975</v>
      </c>
      <c r="G126" s="4">
        <v>22</v>
      </c>
      <c r="H126" s="23">
        <v>3.3</v>
      </c>
      <c r="I126">
        <f>IF(MONTH(Calls[[#This Row],[Date of Call]])&lt;6,YEAR(Calls[[#This Row],[Date of Call]]),YEAR(Calls[[#This Row],[Date of Call]])+1)</f>
        <v>2023</v>
      </c>
      <c r="J126" t="str">
        <f>TEXT(Calls[[#This Row],[Date of Call]],"DDDD")</f>
        <v>Saturday</v>
      </c>
      <c r="K126" t="str" cm="1">
        <f t="array" ref="K126">_xlfn.IFS(Calls[[#This Row],[Duration]]&lt;10,"Under 10 Mins",Calls[[#This Row],[Duration]]&lt;=30,"10 - 30 Mins",Calls[[#This Row],[Duration]]&lt;=60,"30 - 60 Mins",Calls[[#This Row],[Duration]]&lt;=120,"1 - 2 Hours",TRUE,"More than 2  Hours")</f>
        <v>1 - 2 Hours</v>
      </c>
      <c r="L126">
        <f>ROUND(Calls[[#This Row],[Satisfaction Rating]],0)</f>
        <v>3</v>
      </c>
    </row>
    <row r="127" spans="2:12" x14ac:dyDescent="0.3">
      <c r="B127" s="22" t="s">
        <v>149</v>
      </c>
      <c r="C127" s="4" t="s">
        <v>18</v>
      </c>
      <c r="D127" s="4">
        <v>95</v>
      </c>
      <c r="E127" s="5" t="s">
        <v>9</v>
      </c>
      <c r="F127" s="9">
        <v>44975</v>
      </c>
      <c r="G127" s="4">
        <v>52</v>
      </c>
      <c r="H127" s="23">
        <v>4.8</v>
      </c>
      <c r="I127">
        <f>IF(MONTH(Calls[[#This Row],[Date of Call]])&lt;6,YEAR(Calls[[#This Row],[Date of Call]]),YEAR(Calls[[#This Row],[Date of Call]])+1)</f>
        <v>2023</v>
      </c>
      <c r="J127" t="str">
        <f>TEXT(Calls[[#This Row],[Date of Call]],"DDDD")</f>
        <v>Saturday</v>
      </c>
      <c r="K127" t="str" cm="1">
        <f t="array" ref="K127">_xlfn.IFS(Calls[[#This Row],[Duration]]&lt;10,"Under 10 Mins",Calls[[#This Row],[Duration]]&lt;=30,"10 - 30 Mins",Calls[[#This Row],[Duration]]&lt;=60,"30 - 60 Mins",Calls[[#This Row],[Duration]]&lt;=120,"1 - 2 Hours",TRUE,"More than 2  Hours")</f>
        <v>1 - 2 Hours</v>
      </c>
      <c r="L127">
        <f>ROUND(Calls[[#This Row],[Satisfaction Rating]],0)</f>
        <v>5</v>
      </c>
    </row>
    <row r="128" spans="2:12" x14ac:dyDescent="0.3">
      <c r="B128" s="22" t="s">
        <v>150</v>
      </c>
      <c r="C128" s="4" t="s">
        <v>19</v>
      </c>
      <c r="D128" s="4">
        <v>65</v>
      </c>
      <c r="E128" s="5" t="s">
        <v>10</v>
      </c>
      <c r="F128" s="9">
        <v>44976</v>
      </c>
      <c r="G128" s="4">
        <v>80</v>
      </c>
      <c r="H128" s="23">
        <v>4</v>
      </c>
      <c r="I128">
        <f>IF(MONTH(Calls[[#This Row],[Date of Call]])&lt;6,YEAR(Calls[[#This Row],[Date of Call]]),YEAR(Calls[[#This Row],[Date of Call]])+1)</f>
        <v>2023</v>
      </c>
      <c r="J128" t="str">
        <f>TEXT(Calls[[#This Row],[Date of Call]],"DDDD")</f>
        <v>Sunday</v>
      </c>
      <c r="K128" t="str" cm="1">
        <f t="array" ref="K128">_xlfn.IFS(Calls[[#This Row],[Duration]]&lt;10,"Under 10 Mins",Calls[[#This Row],[Duration]]&lt;=30,"10 - 30 Mins",Calls[[#This Row],[Duration]]&lt;=60,"30 - 60 Mins",Calls[[#This Row],[Duration]]&lt;=120,"1 - 2 Hours",TRUE,"More than 2  Hours")</f>
        <v>1 - 2 Hours</v>
      </c>
      <c r="L128">
        <f>ROUND(Calls[[#This Row],[Satisfaction Rating]],0)</f>
        <v>4</v>
      </c>
    </row>
    <row r="129" spans="2:12" x14ac:dyDescent="0.3">
      <c r="B129" s="22" t="s">
        <v>151</v>
      </c>
      <c r="C129" s="4" t="s">
        <v>8</v>
      </c>
      <c r="D129" s="4">
        <v>114</v>
      </c>
      <c r="E129" s="5" t="s">
        <v>11</v>
      </c>
      <c r="F129" s="9">
        <v>44976</v>
      </c>
      <c r="G129" s="4">
        <v>54</v>
      </c>
      <c r="H129" s="23">
        <v>1.1000000000000001</v>
      </c>
      <c r="I129">
        <f>IF(MONTH(Calls[[#This Row],[Date of Call]])&lt;6,YEAR(Calls[[#This Row],[Date of Call]]),YEAR(Calls[[#This Row],[Date of Call]])+1)</f>
        <v>2023</v>
      </c>
      <c r="J129" t="str">
        <f>TEXT(Calls[[#This Row],[Date of Call]],"DDDD")</f>
        <v>Sunday</v>
      </c>
      <c r="K129" t="str" cm="1">
        <f t="array" ref="K129">_xlfn.IFS(Calls[[#This Row],[Duration]]&lt;10,"Under 10 Mins",Calls[[#This Row],[Duration]]&lt;=30,"10 - 30 Mins",Calls[[#This Row],[Duration]]&lt;=60,"30 - 60 Mins",Calls[[#This Row],[Duration]]&lt;=120,"1 - 2 Hours",TRUE,"More than 2  Hours")</f>
        <v>1 - 2 Hours</v>
      </c>
      <c r="L129">
        <f>ROUND(Calls[[#This Row],[Satisfaction Rating]],0)</f>
        <v>1</v>
      </c>
    </row>
    <row r="130" spans="2:12" x14ac:dyDescent="0.3">
      <c r="B130" s="22" t="s">
        <v>152</v>
      </c>
      <c r="C130" s="4" t="s">
        <v>12</v>
      </c>
      <c r="D130" s="4">
        <v>155</v>
      </c>
      <c r="E130" s="5" t="s">
        <v>11</v>
      </c>
      <c r="F130" s="9">
        <v>44977</v>
      </c>
      <c r="G130" s="4">
        <v>80</v>
      </c>
      <c r="H130" s="23">
        <v>3.9</v>
      </c>
      <c r="I130">
        <f>IF(MONTH(Calls[[#This Row],[Date of Call]])&lt;6,YEAR(Calls[[#This Row],[Date of Call]]),YEAR(Calls[[#This Row],[Date of Call]])+1)</f>
        <v>2023</v>
      </c>
      <c r="J130" t="str">
        <f>TEXT(Calls[[#This Row],[Date of Call]],"DDDD")</f>
        <v>Monday</v>
      </c>
      <c r="K130" t="str" cm="1">
        <f t="array" ref="K130">_xlfn.IFS(Calls[[#This Row],[Duration]]&lt;10,"Under 10 Mins",Calls[[#This Row],[Duration]]&lt;=30,"10 - 30 Mins",Calls[[#This Row],[Duration]]&lt;=60,"30 - 60 Mins",Calls[[#This Row],[Duration]]&lt;=120,"1 - 2 Hours",TRUE,"More than 2  Hours")</f>
        <v>More than 2  Hours</v>
      </c>
      <c r="L130">
        <f>ROUND(Calls[[#This Row],[Satisfaction Rating]],0)</f>
        <v>4</v>
      </c>
    </row>
    <row r="131" spans="2:12" x14ac:dyDescent="0.3">
      <c r="B131" s="22" t="s">
        <v>153</v>
      </c>
      <c r="C131" s="4" t="s">
        <v>19</v>
      </c>
      <c r="D131" s="4">
        <v>114</v>
      </c>
      <c r="E131" s="5" t="s">
        <v>10</v>
      </c>
      <c r="F131" s="9">
        <v>44978</v>
      </c>
      <c r="G131" s="4">
        <v>120</v>
      </c>
      <c r="H131" s="23">
        <v>1.8</v>
      </c>
      <c r="I131">
        <f>IF(MONTH(Calls[[#This Row],[Date of Call]])&lt;6,YEAR(Calls[[#This Row],[Date of Call]]),YEAR(Calls[[#This Row],[Date of Call]])+1)</f>
        <v>2023</v>
      </c>
      <c r="J131" t="str">
        <f>TEXT(Calls[[#This Row],[Date of Call]],"DDDD")</f>
        <v>Tuesday</v>
      </c>
      <c r="K131" t="str" cm="1">
        <f t="array" ref="K131">_xlfn.IFS(Calls[[#This Row],[Duration]]&lt;10,"Under 10 Mins",Calls[[#This Row],[Duration]]&lt;=30,"10 - 30 Mins",Calls[[#This Row],[Duration]]&lt;=60,"30 - 60 Mins",Calls[[#This Row],[Duration]]&lt;=120,"1 - 2 Hours",TRUE,"More than 2  Hours")</f>
        <v>1 - 2 Hours</v>
      </c>
      <c r="L131">
        <f>ROUND(Calls[[#This Row],[Satisfaction Rating]],0)</f>
        <v>2</v>
      </c>
    </row>
    <row r="132" spans="2:12" x14ac:dyDescent="0.3">
      <c r="B132" s="22" t="s">
        <v>154</v>
      </c>
      <c r="C132" s="4" t="s">
        <v>15</v>
      </c>
      <c r="D132" s="4">
        <v>130</v>
      </c>
      <c r="E132" s="5" t="s">
        <v>13</v>
      </c>
      <c r="F132" s="9">
        <v>44978</v>
      </c>
      <c r="G132" s="4">
        <v>150</v>
      </c>
      <c r="H132" s="23">
        <v>1</v>
      </c>
      <c r="I132">
        <f>IF(MONTH(Calls[[#This Row],[Date of Call]])&lt;6,YEAR(Calls[[#This Row],[Date of Call]]),YEAR(Calls[[#This Row],[Date of Call]])+1)</f>
        <v>2023</v>
      </c>
      <c r="J132" t="str">
        <f>TEXT(Calls[[#This Row],[Date of Call]],"DDDD")</f>
        <v>Tuesday</v>
      </c>
      <c r="K132" t="str" cm="1">
        <f t="array" ref="K132">_xlfn.IFS(Calls[[#This Row],[Duration]]&lt;10,"Under 10 Mins",Calls[[#This Row],[Duration]]&lt;=30,"10 - 30 Mins",Calls[[#This Row],[Duration]]&lt;=60,"30 - 60 Mins",Calls[[#This Row],[Duration]]&lt;=120,"1 - 2 Hours",TRUE,"More than 2  Hours")</f>
        <v>More than 2  Hours</v>
      </c>
      <c r="L132">
        <f>ROUND(Calls[[#This Row],[Satisfaction Rating]],0)</f>
        <v>1</v>
      </c>
    </row>
    <row r="133" spans="2:12" x14ac:dyDescent="0.3">
      <c r="B133" s="22" t="s">
        <v>155</v>
      </c>
      <c r="C133" s="4" t="s">
        <v>12</v>
      </c>
      <c r="D133" s="4">
        <v>89</v>
      </c>
      <c r="E133" s="5" t="s">
        <v>10</v>
      </c>
      <c r="F133" s="9">
        <v>44978</v>
      </c>
      <c r="G133" s="4">
        <v>90</v>
      </c>
      <c r="H133" s="23">
        <v>4.3</v>
      </c>
      <c r="I133">
        <f>IF(MONTH(Calls[[#This Row],[Date of Call]])&lt;6,YEAR(Calls[[#This Row],[Date of Call]]),YEAR(Calls[[#This Row],[Date of Call]])+1)</f>
        <v>2023</v>
      </c>
      <c r="J133" t="str">
        <f>TEXT(Calls[[#This Row],[Date of Call]],"DDDD")</f>
        <v>Tuesday</v>
      </c>
      <c r="K133" t="str" cm="1">
        <f t="array" ref="K133">_xlfn.IFS(Calls[[#This Row],[Duration]]&lt;10,"Under 10 Mins",Calls[[#This Row],[Duration]]&lt;=30,"10 - 30 Mins",Calls[[#This Row],[Duration]]&lt;=60,"30 - 60 Mins",Calls[[#This Row],[Duration]]&lt;=120,"1 - 2 Hours",TRUE,"More than 2  Hours")</f>
        <v>1 - 2 Hours</v>
      </c>
      <c r="L133">
        <f>ROUND(Calls[[#This Row],[Satisfaction Rating]],0)</f>
        <v>4</v>
      </c>
    </row>
    <row r="134" spans="2:12" x14ac:dyDescent="0.3">
      <c r="B134" s="22" t="s">
        <v>156</v>
      </c>
      <c r="C134" s="4" t="s">
        <v>17</v>
      </c>
      <c r="D134" s="4">
        <v>61</v>
      </c>
      <c r="E134" s="5" t="s">
        <v>6</v>
      </c>
      <c r="F134" s="9">
        <v>44979</v>
      </c>
      <c r="G134" s="4">
        <v>140</v>
      </c>
      <c r="H134" s="23">
        <v>3.4</v>
      </c>
      <c r="I134">
        <f>IF(MONTH(Calls[[#This Row],[Date of Call]])&lt;6,YEAR(Calls[[#This Row],[Date of Call]]),YEAR(Calls[[#This Row],[Date of Call]])+1)</f>
        <v>2023</v>
      </c>
      <c r="J134" t="str">
        <f>TEXT(Calls[[#This Row],[Date of Call]],"DDDD")</f>
        <v>Wednesday</v>
      </c>
      <c r="K134" t="str" cm="1">
        <f t="array" ref="K134">_xlfn.IFS(Calls[[#This Row],[Duration]]&lt;10,"Under 10 Mins",Calls[[#This Row],[Duration]]&lt;=30,"10 - 30 Mins",Calls[[#This Row],[Duration]]&lt;=60,"30 - 60 Mins",Calls[[#This Row],[Duration]]&lt;=120,"1 - 2 Hours",TRUE,"More than 2  Hours")</f>
        <v>1 - 2 Hours</v>
      </c>
      <c r="L134">
        <f>ROUND(Calls[[#This Row],[Satisfaction Rating]],0)</f>
        <v>3</v>
      </c>
    </row>
    <row r="135" spans="2:12" x14ac:dyDescent="0.3">
      <c r="B135" s="22" t="s">
        <v>157</v>
      </c>
      <c r="C135" s="4" t="s">
        <v>18</v>
      </c>
      <c r="D135" s="4">
        <v>154</v>
      </c>
      <c r="E135" s="5" t="s">
        <v>11</v>
      </c>
      <c r="F135" s="9">
        <v>44979</v>
      </c>
      <c r="G135" s="4">
        <v>22</v>
      </c>
      <c r="H135" s="23">
        <v>3.4</v>
      </c>
      <c r="I135">
        <f>IF(MONTH(Calls[[#This Row],[Date of Call]])&lt;6,YEAR(Calls[[#This Row],[Date of Call]]),YEAR(Calls[[#This Row],[Date of Call]])+1)</f>
        <v>2023</v>
      </c>
      <c r="J135" t="str">
        <f>TEXT(Calls[[#This Row],[Date of Call]],"DDDD")</f>
        <v>Wednesday</v>
      </c>
      <c r="K135" t="str" cm="1">
        <f t="array" ref="K135">_xlfn.IFS(Calls[[#This Row],[Duration]]&lt;10,"Under 10 Mins",Calls[[#This Row],[Duration]]&lt;=30,"10 - 30 Mins",Calls[[#This Row],[Duration]]&lt;=60,"30 - 60 Mins",Calls[[#This Row],[Duration]]&lt;=120,"1 - 2 Hours",TRUE,"More than 2  Hours")</f>
        <v>More than 2  Hours</v>
      </c>
      <c r="L135">
        <f>ROUND(Calls[[#This Row],[Satisfaction Rating]],0)</f>
        <v>3</v>
      </c>
    </row>
    <row r="136" spans="2:12" x14ac:dyDescent="0.3">
      <c r="B136" s="22" t="s">
        <v>158</v>
      </c>
      <c r="C136" s="4" t="s">
        <v>19</v>
      </c>
      <c r="D136" s="4">
        <v>115</v>
      </c>
      <c r="E136" s="5" t="s">
        <v>13</v>
      </c>
      <c r="F136" s="9">
        <v>44980</v>
      </c>
      <c r="G136" s="4">
        <v>150</v>
      </c>
      <c r="H136" s="23">
        <v>4.0999999999999996</v>
      </c>
      <c r="I136">
        <f>IF(MONTH(Calls[[#This Row],[Date of Call]])&lt;6,YEAR(Calls[[#This Row],[Date of Call]]),YEAR(Calls[[#This Row],[Date of Call]])+1)</f>
        <v>2023</v>
      </c>
      <c r="J136" t="str">
        <f>TEXT(Calls[[#This Row],[Date of Call]],"DDDD")</f>
        <v>Thursday</v>
      </c>
      <c r="K136" t="str" cm="1">
        <f t="array" ref="K136">_xlfn.IFS(Calls[[#This Row],[Duration]]&lt;10,"Under 10 Mins",Calls[[#This Row],[Duration]]&lt;=30,"10 - 30 Mins",Calls[[#This Row],[Duration]]&lt;=60,"30 - 60 Mins",Calls[[#This Row],[Duration]]&lt;=120,"1 - 2 Hours",TRUE,"More than 2  Hours")</f>
        <v>1 - 2 Hours</v>
      </c>
      <c r="L136">
        <f>ROUND(Calls[[#This Row],[Satisfaction Rating]],0)</f>
        <v>4</v>
      </c>
    </row>
    <row r="137" spans="2:12" x14ac:dyDescent="0.3">
      <c r="B137" s="22" t="s">
        <v>159</v>
      </c>
      <c r="C137" s="4" t="s">
        <v>5</v>
      </c>
      <c r="D137" s="4">
        <v>138</v>
      </c>
      <c r="E137" s="5" t="s">
        <v>9</v>
      </c>
      <c r="F137" s="9">
        <v>44981</v>
      </c>
      <c r="G137" s="4">
        <v>35</v>
      </c>
      <c r="H137" s="23">
        <v>4.8</v>
      </c>
      <c r="I137">
        <f>IF(MONTH(Calls[[#This Row],[Date of Call]])&lt;6,YEAR(Calls[[#This Row],[Date of Call]]),YEAR(Calls[[#This Row],[Date of Call]])+1)</f>
        <v>2023</v>
      </c>
      <c r="J137" t="str">
        <f>TEXT(Calls[[#This Row],[Date of Call]],"DDDD")</f>
        <v>Friday</v>
      </c>
      <c r="K137" t="str" cm="1">
        <f t="array" ref="K137">_xlfn.IFS(Calls[[#This Row],[Duration]]&lt;10,"Under 10 Mins",Calls[[#This Row],[Duration]]&lt;=30,"10 - 30 Mins",Calls[[#This Row],[Duration]]&lt;=60,"30 - 60 Mins",Calls[[#This Row],[Duration]]&lt;=120,"1 - 2 Hours",TRUE,"More than 2  Hours")</f>
        <v>More than 2  Hours</v>
      </c>
      <c r="L137">
        <f>ROUND(Calls[[#This Row],[Satisfaction Rating]],0)</f>
        <v>5</v>
      </c>
    </row>
    <row r="138" spans="2:12" x14ac:dyDescent="0.3">
      <c r="B138" s="22" t="s">
        <v>160</v>
      </c>
      <c r="C138" s="4" t="s">
        <v>21</v>
      </c>
      <c r="D138" s="4">
        <v>153</v>
      </c>
      <c r="E138" s="5" t="s">
        <v>10</v>
      </c>
      <c r="F138" s="9">
        <v>44981</v>
      </c>
      <c r="G138" s="4">
        <v>200</v>
      </c>
      <c r="H138" s="23">
        <v>2</v>
      </c>
      <c r="I138">
        <f>IF(MONTH(Calls[[#This Row],[Date of Call]])&lt;6,YEAR(Calls[[#This Row],[Date of Call]]),YEAR(Calls[[#This Row],[Date of Call]])+1)</f>
        <v>2023</v>
      </c>
      <c r="J138" t="str">
        <f>TEXT(Calls[[#This Row],[Date of Call]],"DDDD")</f>
        <v>Friday</v>
      </c>
      <c r="K138" t="str" cm="1">
        <f t="array" ref="K138">_xlfn.IFS(Calls[[#This Row],[Duration]]&lt;10,"Under 10 Mins",Calls[[#This Row],[Duration]]&lt;=30,"10 - 30 Mins",Calls[[#This Row],[Duration]]&lt;=60,"30 - 60 Mins",Calls[[#This Row],[Duration]]&lt;=120,"1 - 2 Hours",TRUE,"More than 2  Hours")</f>
        <v>More than 2  Hours</v>
      </c>
      <c r="L138">
        <f>ROUND(Calls[[#This Row],[Satisfaction Rating]],0)</f>
        <v>2</v>
      </c>
    </row>
    <row r="139" spans="2:12" x14ac:dyDescent="0.3">
      <c r="B139" s="22" t="s">
        <v>161</v>
      </c>
      <c r="C139" s="4" t="s">
        <v>19</v>
      </c>
      <c r="D139" s="4">
        <v>61</v>
      </c>
      <c r="E139" s="5" t="s">
        <v>6</v>
      </c>
      <c r="F139" s="9">
        <v>44982</v>
      </c>
      <c r="G139" s="4">
        <v>150</v>
      </c>
      <c r="H139" s="23">
        <v>4.5999999999999996</v>
      </c>
      <c r="I139">
        <f>IF(MONTH(Calls[[#This Row],[Date of Call]])&lt;6,YEAR(Calls[[#This Row],[Date of Call]]),YEAR(Calls[[#This Row],[Date of Call]])+1)</f>
        <v>2023</v>
      </c>
      <c r="J139" t="str">
        <f>TEXT(Calls[[#This Row],[Date of Call]],"DDDD")</f>
        <v>Saturday</v>
      </c>
      <c r="K139" t="str" cm="1">
        <f t="array" ref="K139">_xlfn.IFS(Calls[[#This Row],[Duration]]&lt;10,"Under 10 Mins",Calls[[#This Row],[Duration]]&lt;=30,"10 - 30 Mins",Calls[[#This Row],[Duration]]&lt;=60,"30 - 60 Mins",Calls[[#This Row],[Duration]]&lt;=120,"1 - 2 Hours",TRUE,"More than 2  Hours")</f>
        <v>1 - 2 Hours</v>
      </c>
      <c r="L139">
        <f>ROUND(Calls[[#This Row],[Satisfaction Rating]],0)</f>
        <v>5</v>
      </c>
    </row>
    <row r="140" spans="2:12" x14ac:dyDescent="0.3">
      <c r="B140" s="22" t="s">
        <v>162</v>
      </c>
      <c r="C140" s="4" t="s">
        <v>22</v>
      </c>
      <c r="D140" s="4">
        <v>62</v>
      </c>
      <c r="E140" s="5" t="s">
        <v>10</v>
      </c>
      <c r="F140" s="9">
        <v>44982</v>
      </c>
      <c r="G140" s="4">
        <v>21</v>
      </c>
      <c r="H140" s="23">
        <v>2.6</v>
      </c>
      <c r="I140">
        <f>IF(MONTH(Calls[[#This Row],[Date of Call]])&lt;6,YEAR(Calls[[#This Row],[Date of Call]]),YEAR(Calls[[#This Row],[Date of Call]])+1)</f>
        <v>2023</v>
      </c>
      <c r="J140" t="str">
        <f>TEXT(Calls[[#This Row],[Date of Call]],"DDDD")</f>
        <v>Saturday</v>
      </c>
      <c r="K140" t="str" cm="1">
        <f t="array" ref="K140">_xlfn.IFS(Calls[[#This Row],[Duration]]&lt;10,"Under 10 Mins",Calls[[#This Row],[Duration]]&lt;=30,"10 - 30 Mins",Calls[[#This Row],[Duration]]&lt;=60,"30 - 60 Mins",Calls[[#This Row],[Duration]]&lt;=120,"1 - 2 Hours",TRUE,"More than 2  Hours")</f>
        <v>1 - 2 Hours</v>
      </c>
      <c r="L140">
        <f>ROUND(Calls[[#This Row],[Satisfaction Rating]],0)</f>
        <v>3</v>
      </c>
    </row>
    <row r="141" spans="2:12" x14ac:dyDescent="0.3">
      <c r="B141" s="22" t="s">
        <v>163</v>
      </c>
      <c r="C141" s="4" t="s">
        <v>17</v>
      </c>
      <c r="D141" s="4">
        <v>151</v>
      </c>
      <c r="E141" s="5" t="s">
        <v>13</v>
      </c>
      <c r="F141" s="9">
        <v>44983</v>
      </c>
      <c r="G141" s="4">
        <v>46</v>
      </c>
      <c r="H141" s="23">
        <v>4.9000000000000004</v>
      </c>
      <c r="I141">
        <f>IF(MONTH(Calls[[#This Row],[Date of Call]])&lt;6,YEAR(Calls[[#This Row],[Date of Call]]),YEAR(Calls[[#This Row],[Date of Call]])+1)</f>
        <v>2023</v>
      </c>
      <c r="J141" t="str">
        <f>TEXT(Calls[[#This Row],[Date of Call]],"DDDD")</f>
        <v>Sunday</v>
      </c>
      <c r="K141" t="str" cm="1">
        <f t="array" ref="K141">_xlfn.IFS(Calls[[#This Row],[Duration]]&lt;10,"Under 10 Mins",Calls[[#This Row],[Duration]]&lt;=30,"10 - 30 Mins",Calls[[#This Row],[Duration]]&lt;=60,"30 - 60 Mins",Calls[[#This Row],[Duration]]&lt;=120,"1 - 2 Hours",TRUE,"More than 2  Hours")</f>
        <v>More than 2  Hours</v>
      </c>
      <c r="L141">
        <f>ROUND(Calls[[#This Row],[Satisfaction Rating]],0)</f>
        <v>5</v>
      </c>
    </row>
    <row r="142" spans="2:12" x14ac:dyDescent="0.3">
      <c r="B142" s="22" t="s">
        <v>164</v>
      </c>
      <c r="C142" s="4" t="s">
        <v>16</v>
      </c>
      <c r="D142" s="4">
        <v>102</v>
      </c>
      <c r="E142" s="5" t="s">
        <v>11</v>
      </c>
      <c r="F142" s="9">
        <v>44983</v>
      </c>
      <c r="G142" s="4">
        <v>165</v>
      </c>
      <c r="H142" s="23">
        <v>2.7</v>
      </c>
      <c r="I142">
        <f>IF(MONTH(Calls[[#This Row],[Date of Call]])&lt;6,YEAR(Calls[[#This Row],[Date of Call]]),YEAR(Calls[[#This Row],[Date of Call]])+1)</f>
        <v>2023</v>
      </c>
      <c r="J142" t="str">
        <f>TEXT(Calls[[#This Row],[Date of Call]],"DDDD")</f>
        <v>Sunday</v>
      </c>
      <c r="K142" t="str" cm="1">
        <f t="array" ref="K142">_xlfn.IFS(Calls[[#This Row],[Duration]]&lt;10,"Under 10 Mins",Calls[[#This Row],[Duration]]&lt;=30,"10 - 30 Mins",Calls[[#This Row],[Duration]]&lt;=60,"30 - 60 Mins",Calls[[#This Row],[Duration]]&lt;=120,"1 - 2 Hours",TRUE,"More than 2  Hours")</f>
        <v>1 - 2 Hours</v>
      </c>
      <c r="L142">
        <f>ROUND(Calls[[#This Row],[Satisfaction Rating]],0)</f>
        <v>3</v>
      </c>
    </row>
    <row r="143" spans="2:12" x14ac:dyDescent="0.3">
      <c r="B143" s="22" t="s">
        <v>165</v>
      </c>
      <c r="C143" s="4" t="s">
        <v>7</v>
      </c>
      <c r="D143" s="4">
        <v>64</v>
      </c>
      <c r="E143" s="5" t="s">
        <v>10</v>
      </c>
      <c r="F143" s="9">
        <v>44983</v>
      </c>
      <c r="G143" s="4">
        <v>84</v>
      </c>
      <c r="H143" s="23">
        <v>4.0999999999999996</v>
      </c>
      <c r="I143">
        <f>IF(MONTH(Calls[[#This Row],[Date of Call]])&lt;6,YEAR(Calls[[#This Row],[Date of Call]]),YEAR(Calls[[#This Row],[Date of Call]])+1)</f>
        <v>2023</v>
      </c>
      <c r="J143" t="str">
        <f>TEXT(Calls[[#This Row],[Date of Call]],"DDDD")</f>
        <v>Sunday</v>
      </c>
      <c r="K143" t="str" cm="1">
        <f t="array" ref="K143">_xlfn.IFS(Calls[[#This Row],[Duration]]&lt;10,"Under 10 Mins",Calls[[#This Row],[Duration]]&lt;=30,"10 - 30 Mins",Calls[[#This Row],[Duration]]&lt;=60,"30 - 60 Mins",Calls[[#This Row],[Duration]]&lt;=120,"1 - 2 Hours",TRUE,"More than 2  Hours")</f>
        <v>1 - 2 Hours</v>
      </c>
      <c r="L143">
        <f>ROUND(Calls[[#This Row],[Satisfaction Rating]],0)</f>
        <v>4</v>
      </c>
    </row>
    <row r="144" spans="2:12" x14ac:dyDescent="0.3">
      <c r="B144" s="22" t="s">
        <v>166</v>
      </c>
      <c r="C144" s="4" t="s">
        <v>12</v>
      </c>
      <c r="D144" s="4">
        <v>6</v>
      </c>
      <c r="E144" s="5" t="s">
        <v>11</v>
      </c>
      <c r="F144" s="9">
        <v>44984</v>
      </c>
      <c r="G144" s="4">
        <v>102</v>
      </c>
      <c r="H144" s="23">
        <v>4.4000000000000004</v>
      </c>
      <c r="I144">
        <f>IF(MONTH(Calls[[#This Row],[Date of Call]])&lt;6,YEAR(Calls[[#This Row],[Date of Call]]),YEAR(Calls[[#This Row],[Date of Call]])+1)</f>
        <v>2023</v>
      </c>
      <c r="J144" t="str">
        <f>TEXT(Calls[[#This Row],[Date of Call]],"DDDD")</f>
        <v>Monday</v>
      </c>
      <c r="K144" t="str" cm="1">
        <f t="array" ref="K144">_xlfn.IFS(Calls[[#This Row],[Duration]]&lt;10,"Under 10 Mins",Calls[[#This Row],[Duration]]&lt;=30,"10 - 30 Mins",Calls[[#This Row],[Duration]]&lt;=60,"30 - 60 Mins",Calls[[#This Row],[Duration]]&lt;=120,"1 - 2 Hours",TRUE,"More than 2  Hours")</f>
        <v>Under 10 Mins</v>
      </c>
      <c r="L144">
        <f>ROUND(Calls[[#This Row],[Satisfaction Rating]],0)</f>
        <v>4</v>
      </c>
    </row>
    <row r="145" spans="2:12" x14ac:dyDescent="0.3">
      <c r="B145" s="22" t="s">
        <v>167</v>
      </c>
      <c r="C145" s="4" t="s">
        <v>7</v>
      </c>
      <c r="D145" s="4">
        <v>129</v>
      </c>
      <c r="E145" s="5" t="s">
        <v>10</v>
      </c>
      <c r="F145" s="9">
        <v>44984</v>
      </c>
      <c r="G145" s="4">
        <v>180</v>
      </c>
      <c r="H145" s="23">
        <v>4.8</v>
      </c>
      <c r="I145">
        <f>IF(MONTH(Calls[[#This Row],[Date of Call]])&lt;6,YEAR(Calls[[#This Row],[Date of Call]]),YEAR(Calls[[#This Row],[Date of Call]])+1)</f>
        <v>2023</v>
      </c>
      <c r="J145" t="str">
        <f>TEXT(Calls[[#This Row],[Date of Call]],"DDDD")</f>
        <v>Monday</v>
      </c>
      <c r="K145" t="str" cm="1">
        <f t="array" ref="K145">_xlfn.IFS(Calls[[#This Row],[Duration]]&lt;10,"Under 10 Mins",Calls[[#This Row],[Duration]]&lt;=30,"10 - 30 Mins",Calls[[#This Row],[Duration]]&lt;=60,"30 - 60 Mins",Calls[[#This Row],[Duration]]&lt;=120,"1 - 2 Hours",TRUE,"More than 2  Hours")</f>
        <v>More than 2  Hours</v>
      </c>
      <c r="L145">
        <f>ROUND(Calls[[#This Row],[Satisfaction Rating]],0)</f>
        <v>5</v>
      </c>
    </row>
    <row r="146" spans="2:12" x14ac:dyDescent="0.3">
      <c r="B146" s="22" t="s">
        <v>168</v>
      </c>
      <c r="C146" s="4" t="s">
        <v>22</v>
      </c>
      <c r="D146" s="4">
        <v>42</v>
      </c>
      <c r="E146" s="5" t="s">
        <v>13</v>
      </c>
      <c r="F146" s="9">
        <v>44985</v>
      </c>
      <c r="G146" s="4">
        <v>111</v>
      </c>
      <c r="H146" s="23">
        <v>3</v>
      </c>
      <c r="I146">
        <f>IF(MONTH(Calls[[#This Row],[Date of Call]])&lt;6,YEAR(Calls[[#This Row],[Date of Call]]),YEAR(Calls[[#This Row],[Date of Call]])+1)</f>
        <v>2023</v>
      </c>
      <c r="J146" t="str">
        <f>TEXT(Calls[[#This Row],[Date of Call]],"DDDD")</f>
        <v>Tuesday</v>
      </c>
      <c r="K146" t="str" cm="1">
        <f t="array" ref="K146">_xlfn.IFS(Calls[[#This Row],[Duration]]&lt;10,"Under 10 Mins",Calls[[#This Row],[Duration]]&lt;=30,"10 - 30 Mins",Calls[[#This Row],[Duration]]&lt;=60,"30 - 60 Mins",Calls[[#This Row],[Duration]]&lt;=120,"1 - 2 Hours",TRUE,"More than 2  Hours")</f>
        <v>30 - 60 Mins</v>
      </c>
      <c r="L146">
        <f>ROUND(Calls[[#This Row],[Satisfaction Rating]],0)</f>
        <v>3</v>
      </c>
    </row>
    <row r="147" spans="2:12" x14ac:dyDescent="0.3">
      <c r="B147" s="22" t="s">
        <v>169</v>
      </c>
      <c r="C147" s="4" t="s">
        <v>22</v>
      </c>
      <c r="D147" s="4">
        <v>71</v>
      </c>
      <c r="E147" s="5" t="s">
        <v>6</v>
      </c>
      <c r="F147" s="9">
        <v>44985</v>
      </c>
      <c r="G147" s="4">
        <v>104</v>
      </c>
      <c r="H147" s="23">
        <v>3.1</v>
      </c>
      <c r="I147">
        <f>IF(MONTH(Calls[[#This Row],[Date of Call]])&lt;6,YEAR(Calls[[#This Row],[Date of Call]]),YEAR(Calls[[#This Row],[Date of Call]])+1)</f>
        <v>2023</v>
      </c>
      <c r="J147" t="str">
        <f>TEXT(Calls[[#This Row],[Date of Call]],"DDDD")</f>
        <v>Tuesday</v>
      </c>
      <c r="K147" t="str" cm="1">
        <f t="array" ref="K147">_xlfn.IFS(Calls[[#This Row],[Duration]]&lt;10,"Under 10 Mins",Calls[[#This Row],[Duration]]&lt;=30,"10 - 30 Mins",Calls[[#This Row],[Duration]]&lt;=60,"30 - 60 Mins",Calls[[#This Row],[Duration]]&lt;=120,"1 - 2 Hours",TRUE,"More than 2  Hours")</f>
        <v>1 - 2 Hours</v>
      </c>
      <c r="L147">
        <f>ROUND(Calls[[#This Row],[Satisfaction Rating]],0)</f>
        <v>3</v>
      </c>
    </row>
    <row r="148" spans="2:12" x14ac:dyDescent="0.3">
      <c r="B148" s="22" t="s">
        <v>170</v>
      </c>
      <c r="C148" s="4" t="s">
        <v>23</v>
      </c>
      <c r="D148" s="4">
        <v>53</v>
      </c>
      <c r="E148" s="5" t="s">
        <v>11</v>
      </c>
      <c r="F148" s="9">
        <v>44985</v>
      </c>
      <c r="G148" s="4">
        <v>80</v>
      </c>
      <c r="H148" s="23">
        <v>2.6</v>
      </c>
      <c r="I148">
        <f>IF(MONTH(Calls[[#This Row],[Date of Call]])&lt;6,YEAR(Calls[[#This Row],[Date of Call]]),YEAR(Calls[[#This Row],[Date of Call]])+1)</f>
        <v>2023</v>
      </c>
      <c r="J148" t="str">
        <f>TEXT(Calls[[#This Row],[Date of Call]],"DDDD")</f>
        <v>Tuesday</v>
      </c>
      <c r="K148" t="str" cm="1">
        <f t="array" ref="K148">_xlfn.IFS(Calls[[#This Row],[Duration]]&lt;10,"Under 10 Mins",Calls[[#This Row],[Duration]]&lt;=30,"10 - 30 Mins",Calls[[#This Row],[Duration]]&lt;=60,"30 - 60 Mins",Calls[[#This Row],[Duration]]&lt;=120,"1 - 2 Hours",TRUE,"More than 2  Hours")</f>
        <v>30 - 60 Mins</v>
      </c>
      <c r="L148">
        <f>ROUND(Calls[[#This Row],[Satisfaction Rating]],0)</f>
        <v>3</v>
      </c>
    </row>
    <row r="149" spans="2:12" x14ac:dyDescent="0.3">
      <c r="B149" s="22" t="s">
        <v>171</v>
      </c>
      <c r="C149" s="4" t="s">
        <v>8</v>
      </c>
      <c r="D149" s="4">
        <v>155</v>
      </c>
      <c r="E149" s="5" t="s">
        <v>6</v>
      </c>
      <c r="F149" s="9">
        <v>44986</v>
      </c>
      <c r="G149" s="4">
        <v>132</v>
      </c>
      <c r="H149" s="23">
        <v>4.5999999999999996</v>
      </c>
      <c r="I149">
        <f>IF(MONTH(Calls[[#This Row],[Date of Call]])&lt;6,YEAR(Calls[[#This Row],[Date of Call]]),YEAR(Calls[[#This Row],[Date of Call]])+1)</f>
        <v>2023</v>
      </c>
      <c r="J149" t="str">
        <f>TEXT(Calls[[#This Row],[Date of Call]],"DDDD")</f>
        <v>Wednesday</v>
      </c>
      <c r="K149" t="str" cm="1">
        <f t="array" ref="K149">_xlfn.IFS(Calls[[#This Row],[Duration]]&lt;10,"Under 10 Mins",Calls[[#This Row],[Duration]]&lt;=30,"10 - 30 Mins",Calls[[#This Row],[Duration]]&lt;=60,"30 - 60 Mins",Calls[[#This Row],[Duration]]&lt;=120,"1 - 2 Hours",TRUE,"More than 2  Hours")</f>
        <v>More than 2  Hours</v>
      </c>
      <c r="L149">
        <f>ROUND(Calls[[#This Row],[Satisfaction Rating]],0)</f>
        <v>5</v>
      </c>
    </row>
    <row r="150" spans="2:12" x14ac:dyDescent="0.3">
      <c r="B150" s="22" t="s">
        <v>172</v>
      </c>
      <c r="C150" s="4" t="s">
        <v>8</v>
      </c>
      <c r="D150" s="4">
        <v>90</v>
      </c>
      <c r="E150" s="5" t="s">
        <v>13</v>
      </c>
      <c r="F150" s="9">
        <v>44986</v>
      </c>
      <c r="G150" s="4">
        <v>170</v>
      </c>
      <c r="H150" s="23">
        <v>3.7</v>
      </c>
      <c r="I150">
        <f>IF(MONTH(Calls[[#This Row],[Date of Call]])&lt;6,YEAR(Calls[[#This Row],[Date of Call]]),YEAR(Calls[[#This Row],[Date of Call]])+1)</f>
        <v>2023</v>
      </c>
      <c r="J150" t="str">
        <f>TEXT(Calls[[#This Row],[Date of Call]],"DDDD")</f>
        <v>Wednesday</v>
      </c>
      <c r="K150" t="str" cm="1">
        <f t="array" ref="K150">_xlfn.IFS(Calls[[#This Row],[Duration]]&lt;10,"Under 10 Mins",Calls[[#This Row],[Duration]]&lt;=30,"10 - 30 Mins",Calls[[#This Row],[Duration]]&lt;=60,"30 - 60 Mins",Calls[[#This Row],[Duration]]&lt;=120,"1 - 2 Hours",TRUE,"More than 2  Hours")</f>
        <v>1 - 2 Hours</v>
      </c>
      <c r="L150">
        <f>ROUND(Calls[[#This Row],[Satisfaction Rating]],0)</f>
        <v>4</v>
      </c>
    </row>
    <row r="151" spans="2:12" x14ac:dyDescent="0.3">
      <c r="B151" s="22" t="s">
        <v>173</v>
      </c>
      <c r="C151" s="4" t="s">
        <v>7</v>
      </c>
      <c r="D151" s="4">
        <v>166</v>
      </c>
      <c r="E151" s="5" t="s">
        <v>9</v>
      </c>
      <c r="F151" s="9">
        <v>44986</v>
      </c>
      <c r="G151" s="4">
        <v>36</v>
      </c>
      <c r="H151" s="23">
        <v>3.8</v>
      </c>
      <c r="I151">
        <f>IF(MONTH(Calls[[#This Row],[Date of Call]])&lt;6,YEAR(Calls[[#This Row],[Date of Call]]),YEAR(Calls[[#This Row],[Date of Call]])+1)</f>
        <v>2023</v>
      </c>
      <c r="J151" t="str">
        <f>TEXT(Calls[[#This Row],[Date of Call]],"DDDD")</f>
        <v>Wednesday</v>
      </c>
      <c r="K151" t="str" cm="1">
        <f t="array" ref="K151">_xlfn.IFS(Calls[[#This Row],[Duration]]&lt;10,"Under 10 Mins",Calls[[#This Row],[Duration]]&lt;=30,"10 - 30 Mins",Calls[[#This Row],[Duration]]&lt;=60,"30 - 60 Mins",Calls[[#This Row],[Duration]]&lt;=120,"1 - 2 Hours",TRUE,"More than 2  Hours")</f>
        <v>More than 2  Hours</v>
      </c>
      <c r="L151">
        <f>ROUND(Calls[[#This Row],[Satisfaction Rating]],0)</f>
        <v>4</v>
      </c>
    </row>
    <row r="152" spans="2:12" x14ac:dyDescent="0.3">
      <c r="B152" s="22" t="s">
        <v>174</v>
      </c>
      <c r="C152" s="4" t="s">
        <v>24</v>
      </c>
      <c r="D152" s="4">
        <v>89</v>
      </c>
      <c r="E152" s="5" t="s">
        <v>6</v>
      </c>
      <c r="F152" s="9">
        <v>44986</v>
      </c>
      <c r="G152" s="4">
        <v>126</v>
      </c>
      <c r="H152" s="23">
        <v>3.6</v>
      </c>
      <c r="I152">
        <f>IF(MONTH(Calls[[#This Row],[Date of Call]])&lt;6,YEAR(Calls[[#This Row],[Date of Call]]),YEAR(Calls[[#This Row],[Date of Call]])+1)</f>
        <v>2023</v>
      </c>
      <c r="J152" t="str">
        <f>TEXT(Calls[[#This Row],[Date of Call]],"DDDD")</f>
        <v>Wednesday</v>
      </c>
      <c r="K152" t="str" cm="1">
        <f t="array" ref="K152">_xlfn.IFS(Calls[[#This Row],[Duration]]&lt;10,"Under 10 Mins",Calls[[#This Row],[Duration]]&lt;=30,"10 - 30 Mins",Calls[[#This Row],[Duration]]&lt;=60,"30 - 60 Mins",Calls[[#This Row],[Duration]]&lt;=120,"1 - 2 Hours",TRUE,"More than 2  Hours")</f>
        <v>1 - 2 Hours</v>
      </c>
      <c r="L152">
        <f>ROUND(Calls[[#This Row],[Satisfaction Rating]],0)</f>
        <v>4</v>
      </c>
    </row>
    <row r="153" spans="2:12" x14ac:dyDescent="0.3">
      <c r="B153" s="22" t="s">
        <v>175</v>
      </c>
      <c r="C153" s="4" t="s">
        <v>19</v>
      </c>
      <c r="D153" s="4">
        <v>152</v>
      </c>
      <c r="E153" s="5" t="s">
        <v>11</v>
      </c>
      <c r="F153" s="9">
        <v>44986</v>
      </c>
      <c r="G153" s="4">
        <v>215</v>
      </c>
      <c r="H153" s="23">
        <v>4.4000000000000004</v>
      </c>
      <c r="I153">
        <f>IF(MONTH(Calls[[#This Row],[Date of Call]])&lt;6,YEAR(Calls[[#This Row],[Date of Call]]),YEAR(Calls[[#This Row],[Date of Call]])+1)</f>
        <v>2023</v>
      </c>
      <c r="J153" t="str">
        <f>TEXT(Calls[[#This Row],[Date of Call]],"DDDD")</f>
        <v>Wednesday</v>
      </c>
      <c r="K153" t="str" cm="1">
        <f t="array" ref="K153">_xlfn.IFS(Calls[[#This Row],[Duration]]&lt;10,"Under 10 Mins",Calls[[#This Row],[Duration]]&lt;=30,"10 - 30 Mins",Calls[[#This Row],[Duration]]&lt;=60,"30 - 60 Mins",Calls[[#This Row],[Duration]]&lt;=120,"1 - 2 Hours",TRUE,"More than 2  Hours")</f>
        <v>More than 2  Hours</v>
      </c>
      <c r="L153">
        <f>ROUND(Calls[[#This Row],[Satisfaction Rating]],0)</f>
        <v>4</v>
      </c>
    </row>
    <row r="154" spans="2:12" x14ac:dyDescent="0.3">
      <c r="B154" s="22" t="s">
        <v>176</v>
      </c>
      <c r="C154" s="4" t="s">
        <v>24</v>
      </c>
      <c r="D154" s="4">
        <v>137</v>
      </c>
      <c r="E154" s="5" t="s">
        <v>13</v>
      </c>
      <c r="F154" s="9">
        <v>44986</v>
      </c>
      <c r="G154" s="4">
        <v>114</v>
      </c>
      <c r="H154" s="23">
        <v>3.2</v>
      </c>
      <c r="I154">
        <f>IF(MONTH(Calls[[#This Row],[Date of Call]])&lt;6,YEAR(Calls[[#This Row],[Date of Call]]),YEAR(Calls[[#This Row],[Date of Call]])+1)</f>
        <v>2023</v>
      </c>
      <c r="J154" t="str">
        <f>TEXT(Calls[[#This Row],[Date of Call]],"DDDD")</f>
        <v>Wednesday</v>
      </c>
      <c r="K154" t="str" cm="1">
        <f t="array" ref="K154">_xlfn.IFS(Calls[[#This Row],[Duration]]&lt;10,"Under 10 Mins",Calls[[#This Row],[Duration]]&lt;=30,"10 - 30 Mins",Calls[[#This Row],[Duration]]&lt;=60,"30 - 60 Mins",Calls[[#This Row],[Duration]]&lt;=120,"1 - 2 Hours",TRUE,"More than 2  Hours")</f>
        <v>More than 2  Hours</v>
      </c>
      <c r="L154">
        <f>ROUND(Calls[[#This Row],[Satisfaction Rating]],0)</f>
        <v>3</v>
      </c>
    </row>
    <row r="155" spans="2:12" x14ac:dyDescent="0.3">
      <c r="B155" s="22" t="s">
        <v>177</v>
      </c>
      <c r="C155" s="4" t="s">
        <v>24</v>
      </c>
      <c r="D155" s="4">
        <v>43</v>
      </c>
      <c r="E155" s="5" t="s">
        <v>13</v>
      </c>
      <c r="F155" s="9">
        <v>44986</v>
      </c>
      <c r="G155" s="4">
        <v>99</v>
      </c>
      <c r="H155" s="23">
        <v>4.7</v>
      </c>
      <c r="I155">
        <f>IF(MONTH(Calls[[#This Row],[Date of Call]])&lt;6,YEAR(Calls[[#This Row],[Date of Call]]),YEAR(Calls[[#This Row],[Date of Call]])+1)</f>
        <v>2023</v>
      </c>
      <c r="J155" t="str">
        <f>TEXT(Calls[[#This Row],[Date of Call]],"DDDD")</f>
        <v>Wednesday</v>
      </c>
      <c r="K155" t="str" cm="1">
        <f t="array" ref="K155">_xlfn.IFS(Calls[[#This Row],[Duration]]&lt;10,"Under 10 Mins",Calls[[#This Row],[Duration]]&lt;=30,"10 - 30 Mins",Calls[[#This Row],[Duration]]&lt;=60,"30 - 60 Mins",Calls[[#This Row],[Duration]]&lt;=120,"1 - 2 Hours",TRUE,"More than 2  Hours")</f>
        <v>30 - 60 Mins</v>
      </c>
      <c r="L155">
        <f>ROUND(Calls[[#This Row],[Satisfaction Rating]],0)</f>
        <v>5</v>
      </c>
    </row>
    <row r="156" spans="2:12" x14ac:dyDescent="0.3">
      <c r="B156" s="22" t="s">
        <v>178</v>
      </c>
      <c r="C156" s="4" t="s">
        <v>18</v>
      </c>
      <c r="D156" s="4">
        <v>114</v>
      </c>
      <c r="E156" s="5" t="s">
        <v>13</v>
      </c>
      <c r="F156" s="9">
        <v>44987</v>
      </c>
      <c r="G156" s="4">
        <v>23</v>
      </c>
      <c r="H156" s="23">
        <v>4.8</v>
      </c>
      <c r="I156">
        <f>IF(MONTH(Calls[[#This Row],[Date of Call]])&lt;6,YEAR(Calls[[#This Row],[Date of Call]]),YEAR(Calls[[#This Row],[Date of Call]])+1)</f>
        <v>2023</v>
      </c>
      <c r="J156" t="str">
        <f>TEXT(Calls[[#This Row],[Date of Call]],"DDDD")</f>
        <v>Thursday</v>
      </c>
      <c r="K156" t="str" cm="1">
        <f t="array" ref="K156">_xlfn.IFS(Calls[[#This Row],[Duration]]&lt;10,"Under 10 Mins",Calls[[#This Row],[Duration]]&lt;=30,"10 - 30 Mins",Calls[[#This Row],[Duration]]&lt;=60,"30 - 60 Mins",Calls[[#This Row],[Duration]]&lt;=120,"1 - 2 Hours",TRUE,"More than 2  Hours")</f>
        <v>1 - 2 Hours</v>
      </c>
      <c r="L156">
        <f>ROUND(Calls[[#This Row],[Satisfaction Rating]],0)</f>
        <v>5</v>
      </c>
    </row>
    <row r="157" spans="2:12" x14ac:dyDescent="0.3">
      <c r="B157" s="22" t="s">
        <v>179</v>
      </c>
      <c r="C157" s="4" t="s">
        <v>21</v>
      </c>
      <c r="D157" s="4">
        <v>103</v>
      </c>
      <c r="E157" s="5" t="s">
        <v>6</v>
      </c>
      <c r="F157" s="9">
        <v>44987</v>
      </c>
      <c r="G157" s="4">
        <v>75</v>
      </c>
      <c r="H157" s="23">
        <v>2.7</v>
      </c>
      <c r="I157">
        <f>IF(MONTH(Calls[[#This Row],[Date of Call]])&lt;6,YEAR(Calls[[#This Row],[Date of Call]]),YEAR(Calls[[#This Row],[Date of Call]])+1)</f>
        <v>2023</v>
      </c>
      <c r="J157" t="str">
        <f>TEXT(Calls[[#This Row],[Date of Call]],"DDDD")</f>
        <v>Thursday</v>
      </c>
      <c r="K157" t="str" cm="1">
        <f t="array" ref="K157">_xlfn.IFS(Calls[[#This Row],[Duration]]&lt;10,"Under 10 Mins",Calls[[#This Row],[Duration]]&lt;=30,"10 - 30 Mins",Calls[[#This Row],[Duration]]&lt;=60,"30 - 60 Mins",Calls[[#This Row],[Duration]]&lt;=120,"1 - 2 Hours",TRUE,"More than 2  Hours")</f>
        <v>1 - 2 Hours</v>
      </c>
      <c r="L157">
        <f>ROUND(Calls[[#This Row],[Satisfaction Rating]],0)</f>
        <v>3</v>
      </c>
    </row>
    <row r="158" spans="2:12" x14ac:dyDescent="0.3">
      <c r="B158" s="22" t="s">
        <v>180</v>
      </c>
      <c r="C158" s="4" t="s">
        <v>24</v>
      </c>
      <c r="D158" s="4">
        <v>98</v>
      </c>
      <c r="E158" s="5" t="s">
        <v>11</v>
      </c>
      <c r="F158" s="9">
        <v>44987</v>
      </c>
      <c r="G158" s="4">
        <v>100</v>
      </c>
      <c r="H158" s="23">
        <v>3.8</v>
      </c>
      <c r="I158">
        <f>IF(MONTH(Calls[[#This Row],[Date of Call]])&lt;6,YEAR(Calls[[#This Row],[Date of Call]]),YEAR(Calls[[#This Row],[Date of Call]])+1)</f>
        <v>2023</v>
      </c>
      <c r="J158" t="str">
        <f>TEXT(Calls[[#This Row],[Date of Call]],"DDDD")</f>
        <v>Thursday</v>
      </c>
      <c r="K158" t="str" cm="1">
        <f t="array" ref="K158">_xlfn.IFS(Calls[[#This Row],[Duration]]&lt;10,"Under 10 Mins",Calls[[#This Row],[Duration]]&lt;=30,"10 - 30 Mins",Calls[[#This Row],[Duration]]&lt;=60,"30 - 60 Mins",Calls[[#This Row],[Duration]]&lt;=120,"1 - 2 Hours",TRUE,"More than 2  Hours")</f>
        <v>1 - 2 Hours</v>
      </c>
      <c r="L158">
        <f>ROUND(Calls[[#This Row],[Satisfaction Rating]],0)</f>
        <v>4</v>
      </c>
    </row>
    <row r="159" spans="2:12" x14ac:dyDescent="0.3">
      <c r="B159" s="22" t="s">
        <v>181</v>
      </c>
      <c r="C159" s="4" t="s">
        <v>7</v>
      </c>
      <c r="D159" s="4">
        <v>106</v>
      </c>
      <c r="E159" s="5" t="s">
        <v>9</v>
      </c>
      <c r="F159" s="9">
        <v>44987</v>
      </c>
      <c r="G159" s="4">
        <v>108</v>
      </c>
      <c r="H159" s="23">
        <v>4.3</v>
      </c>
      <c r="I159">
        <f>IF(MONTH(Calls[[#This Row],[Date of Call]])&lt;6,YEAR(Calls[[#This Row],[Date of Call]]),YEAR(Calls[[#This Row],[Date of Call]])+1)</f>
        <v>2023</v>
      </c>
      <c r="J159" t="str">
        <f>TEXT(Calls[[#This Row],[Date of Call]],"DDDD")</f>
        <v>Thursday</v>
      </c>
      <c r="K159" t="str" cm="1">
        <f t="array" ref="K159">_xlfn.IFS(Calls[[#This Row],[Duration]]&lt;10,"Under 10 Mins",Calls[[#This Row],[Duration]]&lt;=30,"10 - 30 Mins",Calls[[#This Row],[Duration]]&lt;=60,"30 - 60 Mins",Calls[[#This Row],[Duration]]&lt;=120,"1 - 2 Hours",TRUE,"More than 2  Hours")</f>
        <v>1 - 2 Hours</v>
      </c>
      <c r="L159">
        <f>ROUND(Calls[[#This Row],[Satisfaction Rating]],0)</f>
        <v>4</v>
      </c>
    </row>
    <row r="160" spans="2:12" x14ac:dyDescent="0.3">
      <c r="B160" s="22" t="s">
        <v>182</v>
      </c>
      <c r="C160" s="4" t="s">
        <v>12</v>
      </c>
      <c r="D160" s="4">
        <v>96</v>
      </c>
      <c r="E160" s="5" t="s">
        <v>9</v>
      </c>
      <c r="F160" s="9">
        <v>44987</v>
      </c>
      <c r="G160" s="4">
        <v>108</v>
      </c>
      <c r="H160" s="23">
        <v>5</v>
      </c>
      <c r="I160">
        <f>IF(MONTH(Calls[[#This Row],[Date of Call]])&lt;6,YEAR(Calls[[#This Row],[Date of Call]]),YEAR(Calls[[#This Row],[Date of Call]])+1)</f>
        <v>2023</v>
      </c>
      <c r="J160" t="str">
        <f>TEXT(Calls[[#This Row],[Date of Call]],"DDDD")</f>
        <v>Thursday</v>
      </c>
      <c r="K160" t="str" cm="1">
        <f t="array" ref="K160">_xlfn.IFS(Calls[[#This Row],[Duration]]&lt;10,"Under 10 Mins",Calls[[#This Row],[Duration]]&lt;=30,"10 - 30 Mins",Calls[[#This Row],[Duration]]&lt;=60,"30 - 60 Mins",Calls[[#This Row],[Duration]]&lt;=120,"1 - 2 Hours",TRUE,"More than 2  Hours")</f>
        <v>1 - 2 Hours</v>
      </c>
      <c r="L160">
        <f>ROUND(Calls[[#This Row],[Satisfaction Rating]],0)</f>
        <v>5</v>
      </c>
    </row>
    <row r="161" spans="2:12" x14ac:dyDescent="0.3">
      <c r="B161" s="22" t="s">
        <v>183</v>
      </c>
      <c r="C161" s="4" t="s">
        <v>21</v>
      </c>
      <c r="D161" s="4">
        <v>70</v>
      </c>
      <c r="E161" s="5" t="s">
        <v>9</v>
      </c>
      <c r="F161" s="9">
        <v>44987</v>
      </c>
      <c r="G161" s="4">
        <v>28</v>
      </c>
      <c r="H161" s="23">
        <v>4.8</v>
      </c>
      <c r="I161">
        <f>IF(MONTH(Calls[[#This Row],[Date of Call]])&lt;6,YEAR(Calls[[#This Row],[Date of Call]]),YEAR(Calls[[#This Row],[Date of Call]])+1)</f>
        <v>2023</v>
      </c>
      <c r="J161" t="str">
        <f>TEXT(Calls[[#This Row],[Date of Call]],"DDDD")</f>
        <v>Thursday</v>
      </c>
      <c r="K161" t="str" cm="1">
        <f t="array" ref="K161">_xlfn.IFS(Calls[[#This Row],[Duration]]&lt;10,"Under 10 Mins",Calls[[#This Row],[Duration]]&lt;=30,"10 - 30 Mins",Calls[[#This Row],[Duration]]&lt;=60,"30 - 60 Mins",Calls[[#This Row],[Duration]]&lt;=120,"1 - 2 Hours",TRUE,"More than 2  Hours")</f>
        <v>1 - 2 Hours</v>
      </c>
      <c r="L161">
        <f>ROUND(Calls[[#This Row],[Satisfaction Rating]],0)</f>
        <v>5</v>
      </c>
    </row>
    <row r="162" spans="2:12" x14ac:dyDescent="0.3">
      <c r="B162" s="22" t="s">
        <v>184</v>
      </c>
      <c r="C162" s="4" t="s">
        <v>22</v>
      </c>
      <c r="D162" s="4">
        <v>86</v>
      </c>
      <c r="E162" s="5" t="s">
        <v>10</v>
      </c>
      <c r="F162" s="9">
        <v>44988</v>
      </c>
      <c r="G162" s="4">
        <v>70</v>
      </c>
      <c r="H162" s="23">
        <v>4.9000000000000004</v>
      </c>
      <c r="I162">
        <f>IF(MONTH(Calls[[#This Row],[Date of Call]])&lt;6,YEAR(Calls[[#This Row],[Date of Call]]),YEAR(Calls[[#This Row],[Date of Call]])+1)</f>
        <v>2023</v>
      </c>
      <c r="J162" t="str">
        <f>TEXT(Calls[[#This Row],[Date of Call]],"DDDD")</f>
        <v>Friday</v>
      </c>
      <c r="K162" t="str" cm="1">
        <f t="array" ref="K162">_xlfn.IFS(Calls[[#This Row],[Duration]]&lt;10,"Under 10 Mins",Calls[[#This Row],[Duration]]&lt;=30,"10 - 30 Mins",Calls[[#This Row],[Duration]]&lt;=60,"30 - 60 Mins",Calls[[#This Row],[Duration]]&lt;=120,"1 - 2 Hours",TRUE,"More than 2  Hours")</f>
        <v>1 - 2 Hours</v>
      </c>
      <c r="L162">
        <f>ROUND(Calls[[#This Row],[Satisfaction Rating]],0)</f>
        <v>5</v>
      </c>
    </row>
    <row r="163" spans="2:12" x14ac:dyDescent="0.3">
      <c r="B163" s="22" t="s">
        <v>185</v>
      </c>
      <c r="C163" s="4" t="s">
        <v>23</v>
      </c>
      <c r="D163" s="4">
        <v>64</v>
      </c>
      <c r="E163" s="5" t="s">
        <v>10</v>
      </c>
      <c r="F163" s="9">
        <v>44988</v>
      </c>
      <c r="G163" s="4">
        <v>172</v>
      </c>
      <c r="H163" s="23">
        <v>4.0999999999999996</v>
      </c>
      <c r="I163">
        <f>IF(MONTH(Calls[[#This Row],[Date of Call]])&lt;6,YEAR(Calls[[#This Row],[Date of Call]]),YEAR(Calls[[#This Row],[Date of Call]])+1)</f>
        <v>2023</v>
      </c>
      <c r="J163" t="str">
        <f>TEXT(Calls[[#This Row],[Date of Call]],"DDDD")</f>
        <v>Friday</v>
      </c>
      <c r="K163" t="str" cm="1">
        <f t="array" ref="K163">_xlfn.IFS(Calls[[#This Row],[Duration]]&lt;10,"Under 10 Mins",Calls[[#This Row],[Duration]]&lt;=30,"10 - 30 Mins",Calls[[#This Row],[Duration]]&lt;=60,"30 - 60 Mins",Calls[[#This Row],[Duration]]&lt;=120,"1 - 2 Hours",TRUE,"More than 2  Hours")</f>
        <v>1 - 2 Hours</v>
      </c>
      <c r="L163">
        <f>ROUND(Calls[[#This Row],[Satisfaction Rating]],0)</f>
        <v>4</v>
      </c>
    </row>
    <row r="164" spans="2:12" x14ac:dyDescent="0.3">
      <c r="B164" s="22" t="s">
        <v>186</v>
      </c>
      <c r="C164" s="4" t="s">
        <v>12</v>
      </c>
      <c r="D164" s="4">
        <v>113</v>
      </c>
      <c r="E164" s="5" t="s">
        <v>11</v>
      </c>
      <c r="F164" s="9">
        <v>44988</v>
      </c>
      <c r="G164" s="4">
        <v>123</v>
      </c>
      <c r="H164" s="23">
        <v>4.4000000000000004</v>
      </c>
      <c r="I164">
        <f>IF(MONTH(Calls[[#This Row],[Date of Call]])&lt;6,YEAR(Calls[[#This Row],[Date of Call]]),YEAR(Calls[[#This Row],[Date of Call]])+1)</f>
        <v>2023</v>
      </c>
      <c r="J164" t="str">
        <f>TEXT(Calls[[#This Row],[Date of Call]],"DDDD")</f>
        <v>Friday</v>
      </c>
      <c r="K164" t="str" cm="1">
        <f t="array" ref="K164">_xlfn.IFS(Calls[[#This Row],[Duration]]&lt;10,"Under 10 Mins",Calls[[#This Row],[Duration]]&lt;=30,"10 - 30 Mins",Calls[[#This Row],[Duration]]&lt;=60,"30 - 60 Mins",Calls[[#This Row],[Duration]]&lt;=120,"1 - 2 Hours",TRUE,"More than 2  Hours")</f>
        <v>1 - 2 Hours</v>
      </c>
      <c r="L164">
        <f>ROUND(Calls[[#This Row],[Satisfaction Rating]],0)</f>
        <v>4</v>
      </c>
    </row>
    <row r="165" spans="2:12" x14ac:dyDescent="0.3">
      <c r="B165" s="22" t="s">
        <v>187</v>
      </c>
      <c r="C165" s="4" t="s">
        <v>12</v>
      </c>
      <c r="D165" s="4">
        <v>21</v>
      </c>
      <c r="E165" s="5" t="s">
        <v>9</v>
      </c>
      <c r="F165" s="9">
        <v>44988</v>
      </c>
      <c r="G165" s="4">
        <v>93</v>
      </c>
      <c r="H165" s="23">
        <v>3.4</v>
      </c>
      <c r="I165">
        <f>IF(MONTH(Calls[[#This Row],[Date of Call]])&lt;6,YEAR(Calls[[#This Row],[Date of Call]]),YEAR(Calls[[#This Row],[Date of Call]])+1)</f>
        <v>2023</v>
      </c>
      <c r="J165" t="str">
        <f>TEXT(Calls[[#This Row],[Date of Call]],"DDDD")</f>
        <v>Friday</v>
      </c>
      <c r="K165" t="str" cm="1">
        <f t="array" ref="K165">_xlfn.IFS(Calls[[#This Row],[Duration]]&lt;10,"Under 10 Mins",Calls[[#This Row],[Duration]]&lt;=30,"10 - 30 Mins",Calls[[#This Row],[Duration]]&lt;=60,"30 - 60 Mins",Calls[[#This Row],[Duration]]&lt;=120,"1 - 2 Hours",TRUE,"More than 2  Hours")</f>
        <v>10 - 30 Mins</v>
      </c>
      <c r="L165">
        <f>ROUND(Calls[[#This Row],[Satisfaction Rating]],0)</f>
        <v>3</v>
      </c>
    </row>
    <row r="166" spans="2:12" x14ac:dyDescent="0.3">
      <c r="B166" s="22" t="s">
        <v>188</v>
      </c>
      <c r="C166" s="4" t="s">
        <v>16</v>
      </c>
      <c r="D166" s="4">
        <v>107</v>
      </c>
      <c r="E166" s="5" t="s">
        <v>10</v>
      </c>
      <c r="F166" s="9">
        <v>44988</v>
      </c>
      <c r="G166" s="4">
        <v>66</v>
      </c>
      <c r="H166" s="23">
        <v>4</v>
      </c>
      <c r="I166">
        <f>IF(MONTH(Calls[[#This Row],[Date of Call]])&lt;6,YEAR(Calls[[#This Row],[Date of Call]]),YEAR(Calls[[#This Row],[Date of Call]])+1)</f>
        <v>2023</v>
      </c>
      <c r="J166" t="str">
        <f>TEXT(Calls[[#This Row],[Date of Call]],"DDDD")</f>
        <v>Friday</v>
      </c>
      <c r="K166" t="str" cm="1">
        <f t="array" ref="K166">_xlfn.IFS(Calls[[#This Row],[Duration]]&lt;10,"Under 10 Mins",Calls[[#This Row],[Duration]]&lt;=30,"10 - 30 Mins",Calls[[#This Row],[Duration]]&lt;=60,"30 - 60 Mins",Calls[[#This Row],[Duration]]&lt;=120,"1 - 2 Hours",TRUE,"More than 2  Hours")</f>
        <v>1 - 2 Hours</v>
      </c>
      <c r="L166">
        <f>ROUND(Calls[[#This Row],[Satisfaction Rating]],0)</f>
        <v>4</v>
      </c>
    </row>
    <row r="167" spans="2:12" x14ac:dyDescent="0.3">
      <c r="B167" s="22" t="s">
        <v>189</v>
      </c>
      <c r="C167" s="4" t="s">
        <v>16</v>
      </c>
      <c r="D167" s="4">
        <v>131</v>
      </c>
      <c r="E167" s="5" t="s">
        <v>9</v>
      </c>
      <c r="F167" s="9">
        <v>44988</v>
      </c>
      <c r="G167" s="4">
        <v>39</v>
      </c>
      <c r="H167" s="23">
        <v>2.4</v>
      </c>
      <c r="I167">
        <f>IF(MONTH(Calls[[#This Row],[Date of Call]])&lt;6,YEAR(Calls[[#This Row],[Date of Call]]),YEAR(Calls[[#This Row],[Date of Call]])+1)</f>
        <v>2023</v>
      </c>
      <c r="J167" t="str">
        <f>TEXT(Calls[[#This Row],[Date of Call]],"DDDD")</f>
        <v>Friday</v>
      </c>
      <c r="K167" t="str" cm="1">
        <f t="array" ref="K167">_xlfn.IFS(Calls[[#This Row],[Duration]]&lt;10,"Under 10 Mins",Calls[[#This Row],[Duration]]&lt;=30,"10 - 30 Mins",Calls[[#This Row],[Duration]]&lt;=60,"30 - 60 Mins",Calls[[#This Row],[Duration]]&lt;=120,"1 - 2 Hours",TRUE,"More than 2  Hours")</f>
        <v>More than 2  Hours</v>
      </c>
      <c r="L167">
        <f>ROUND(Calls[[#This Row],[Satisfaction Rating]],0)</f>
        <v>2</v>
      </c>
    </row>
    <row r="168" spans="2:12" x14ac:dyDescent="0.3">
      <c r="B168" s="22" t="s">
        <v>190</v>
      </c>
      <c r="C168" s="4" t="s">
        <v>20</v>
      </c>
      <c r="D168" s="4">
        <v>11</v>
      </c>
      <c r="E168" s="5" t="s">
        <v>6</v>
      </c>
      <c r="F168" s="9">
        <v>44988</v>
      </c>
      <c r="G168" s="4">
        <v>25</v>
      </c>
      <c r="H168" s="23">
        <v>2.1</v>
      </c>
      <c r="I168">
        <f>IF(MONTH(Calls[[#This Row],[Date of Call]])&lt;6,YEAR(Calls[[#This Row],[Date of Call]]),YEAR(Calls[[#This Row],[Date of Call]])+1)</f>
        <v>2023</v>
      </c>
      <c r="J168" t="str">
        <f>TEXT(Calls[[#This Row],[Date of Call]],"DDDD")</f>
        <v>Friday</v>
      </c>
      <c r="K168" t="str" cm="1">
        <f t="array" ref="K168">_xlfn.IFS(Calls[[#This Row],[Duration]]&lt;10,"Under 10 Mins",Calls[[#This Row],[Duration]]&lt;=30,"10 - 30 Mins",Calls[[#This Row],[Duration]]&lt;=60,"30 - 60 Mins",Calls[[#This Row],[Duration]]&lt;=120,"1 - 2 Hours",TRUE,"More than 2  Hours")</f>
        <v>10 - 30 Mins</v>
      </c>
      <c r="L168">
        <f>ROUND(Calls[[#This Row],[Satisfaction Rating]],0)</f>
        <v>2</v>
      </c>
    </row>
    <row r="169" spans="2:12" x14ac:dyDescent="0.3">
      <c r="B169" s="22" t="s">
        <v>191</v>
      </c>
      <c r="C169" s="4" t="s">
        <v>17</v>
      </c>
      <c r="D169" s="4">
        <v>86</v>
      </c>
      <c r="E169" s="5" t="s">
        <v>11</v>
      </c>
      <c r="F169" s="9">
        <v>44988</v>
      </c>
      <c r="G169" s="4">
        <v>68</v>
      </c>
      <c r="H169" s="23">
        <v>3</v>
      </c>
      <c r="I169">
        <f>IF(MONTH(Calls[[#This Row],[Date of Call]])&lt;6,YEAR(Calls[[#This Row],[Date of Call]]),YEAR(Calls[[#This Row],[Date of Call]])+1)</f>
        <v>2023</v>
      </c>
      <c r="J169" t="str">
        <f>TEXT(Calls[[#This Row],[Date of Call]],"DDDD")</f>
        <v>Friday</v>
      </c>
      <c r="K169" t="str" cm="1">
        <f t="array" ref="K169">_xlfn.IFS(Calls[[#This Row],[Duration]]&lt;10,"Under 10 Mins",Calls[[#This Row],[Duration]]&lt;=30,"10 - 30 Mins",Calls[[#This Row],[Duration]]&lt;=60,"30 - 60 Mins",Calls[[#This Row],[Duration]]&lt;=120,"1 - 2 Hours",TRUE,"More than 2  Hours")</f>
        <v>1 - 2 Hours</v>
      </c>
      <c r="L169">
        <f>ROUND(Calls[[#This Row],[Satisfaction Rating]],0)</f>
        <v>3</v>
      </c>
    </row>
    <row r="170" spans="2:12" x14ac:dyDescent="0.3">
      <c r="B170" s="22" t="s">
        <v>192</v>
      </c>
      <c r="C170" s="4" t="s">
        <v>23</v>
      </c>
      <c r="D170" s="4">
        <v>28</v>
      </c>
      <c r="E170" s="5" t="s">
        <v>6</v>
      </c>
      <c r="F170" s="9">
        <v>44988</v>
      </c>
      <c r="G170" s="4">
        <v>84</v>
      </c>
      <c r="H170" s="23">
        <v>3.2</v>
      </c>
      <c r="I170">
        <f>IF(MONTH(Calls[[#This Row],[Date of Call]])&lt;6,YEAR(Calls[[#This Row],[Date of Call]]),YEAR(Calls[[#This Row],[Date of Call]])+1)</f>
        <v>2023</v>
      </c>
      <c r="J170" t="str">
        <f>TEXT(Calls[[#This Row],[Date of Call]],"DDDD")</f>
        <v>Friday</v>
      </c>
      <c r="K170" t="str" cm="1">
        <f t="array" ref="K170">_xlfn.IFS(Calls[[#This Row],[Duration]]&lt;10,"Under 10 Mins",Calls[[#This Row],[Duration]]&lt;=30,"10 - 30 Mins",Calls[[#This Row],[Duration]]&lt;=60,"30 - 60 Mins",Calls[[#This Row],[Duration]]&lt;=120,"1 - 2 Hours",TRUE,"More than 2  Hours")</f>
        <v>10 - 30 Mins</v>
      </c>
      <c r="L170">
        <f>ROUND(Calls[[#This Row],[Satisfaction Rating]],0)</f>
        <v>3</v>
      </c>
    </row>
    <row r="171" spans="2:12" x14ac:dyDescent="0.3">
      <c r="B171" s="22" t="s">
        <v>193</v>
      </c>
      <c r="C171" s="4" t="s">
        <v>8</v>
      </c>
      <c r="D171" s="4">
        <v>139</v>
      </c>
      <c r="E171" s="5" t="s">
        <v>9</v>
      </c>
      <c r="F171" s="9">
        <v>44989</v>
      </c>
      <c r="G171" s="4">
        <v>88</v>
      </c>
      <c r="H171" s="23">
        <v>3.4</v>
      </c>
      <c r="I171">
        <f>IF(MONTH(Calls[[#This Row],[Date of Call]])&lt;6,YEAR(Calls[[#This Row],[Date of Call]]),YEAR(Calls[[#This Row],[Date of Call]])+1)</f>
        <v>2023</v>
      </c>
      <c r="J171" t="str">
        <f>TEXT(Calls[[#This Row],[Date of Call]],"DDDD")</f>
        <v>Saturday</v>
      </c>
      <c r="K171" t="str" cm="1">
        <f t="array" ref="K171">_xlfn.IFS(Calls[[#This Row],[Duration]]&lt;10,"Under 10 Mins",Calls[[#This Row],[Duration]]&lt;=30,"10 - 30 Mins",Calls[[#This Row],[Duration]]&lt;=60,"30 - 60 Mins",Calls[[#This Row],[Duration]]&lt;=120,"1 - 2 Hours",TRUE,"More than 2  Hours")</f>
        <v>More than 2  Hours</v>
      </c>
      <c r="L171">
        <f>ROUND(Calls[[#This Row],[Satisfaction Rating]],0)</f>
        <v>3</v>
      </c>
    </row>
    <row r="172" spans="2:12" x14ac:dyDescent="0.3">
      <c r="B172" s="22" t="s">
        <v>194</v>
      </c>
      <c r="C172" s="4" t="s">
        <v>7</v>
      </c>
      <c r="D172" s="4">
        <v>82</v>
      </c>
      <c r="E172" s="5" t="s">
        <v>11</v>
      </c>
      <c r="F172" s="9">
        <v>44989</v>
      </c>
      <c r="G172" s="4">
        <v>93</v>
      </c>
      <c r="H172" s="23">
        <v>2.7</v>
      </c>
      <c r="I172">
        <f>IF(MONTH(Calls[[#This Row],[Date of Call]])&lt;6,YEAR(Calls[[#This Row],[Date of Call]]),YEAR(Calls[[#This Row],[Date of Call]])+1)</f>
        <v>2023</v>
      </c>
      <c r="J172" t="str">
        <f>TEXT(Calls[[#This Row],[Date of Call]],"DDDD")</f>
        <v>Saturday</v>
      </c>
      <c r="K172" t="str" cm="1">
        <f t="array" ref="K172">_xlfn.IFS(Calls[[#This Row],[Duration]]&lt;10,"Under 10 Mins",Calls[[#This Row],[Duration]]&lt;=30,"10 - 30 Mins",Calls[[#This Row],[Duration]]&lt;=60,"30 - 60 Mins",Calls[[#This Row],[Duration]]&lt;=120,"1 - 2 Hours",TRUE,"More than 2  Hours")</f>
        <v>1 - 2 Hours</v>
      </c>
      <c r="L172">
        <f>ROUND(Calls[[#This Row],[Satisfaction Rating]],0)</f>
        <v>3</v>
      </c>
    </row>
    <row r="173" spans="2:12" x14ac:dyDescent="0.3">
      <c r="B173" s="22" t="s">
        <v>195</v>
      </c>
      <c r="C173" s="4" t="s">
        <v>12</v>
      </c>
      <c r="D173" s="4">
        <v>101</v>
      </c>
      <c r="E173" s="5" t="s">
        <v>6</v>
      </c>
      <c r="F173" s="9">
        <v>44989</v>
      </c>
      <c r="G173" s="4">
        <v>128</v>
      </c>
      <c r="H173" s="23">
        <v>5</v>
      </c>
      <c r="I173">
        <f>IF(MONTH(Calls[[#This Row],[Date of Call]])&lt;6,YEAR(Calls[[#This Row],[Date of Call]]),YEAR(Calls[[#This Row],[Date of Call]])+1)</f>
        <v>2023</v>
      </c>
      <c r="J173" t="str">
        <f>TEXT(Calls[[#This Row],[Date of Call]],"DDDD")</f>
        <v>Saturday</v>
      </c>
      <c r="K173" t="str" cm="1">
        <f t="array" ref="K173">_xlfn.IFS(Calls[[#This Row],[Duration]]&lt;10,"Under 10 Mins",Calls[[#This Row],[Duration]]&lt;=30,"10 - 30 Mins",Calls[[#This Row],[Duration]]&lt;=60,"30 - 60 Mins",Calls[[#This Row],[Duration]]&lt;=120,"1 - 2 Hours",TRUE,"More than 2  Hours")</f>
        <v>1 - 2 Hours</v>
      </c>
      <c r="L173">
        <f>ROUND(Calls[[#This Row],[Satisfaction Rating]],0)</f>
        <v>5</v>
      </c>
    </row>
    <row r="174" spans="2:12" x14ac:dyDescent="0.3">
      <c r="B174" s="22" t="s">
        <v>196</v>
      </c>
      <c r="C174" s="4" t="s">
        <v>23</v>
      </c>
      <c r="D174" s="4">
        <v>75</v>
      </c>
      <c r="E174" s="5" t="s">
        <v>13</v>
      </c>
      <c r="F174" s="9">
        <v>44989</v>
      </c>
      <c r="G174" s="4">
        <v>40</v>
      </c>
      <c r="H174" s="23">
        <v>3.4</v>
      </c>
      <c r="I174">
        <f>IF(MONTH(Calls[[#This Row],[Date of Call]])&lt;6,YEAR(Calls[[#This Row],[Date of Call]]),YEAR(Calls[[#This Row],[Date of Call]])+1)</f>
        <v>2023</v>
      </c>
      <c r="J174" t="str">
        <f>TEXT(Calls[[#This Row],[Date of Call]],"DDDD")</f>
        <v>Saturday</v>
      </c>
      <c r="K174" t="str" cm="1">
        <f t="array" ref="K174">_xlfn.IFS(Calls[[#This Row],[Duration]]&lt;10,"Under 10 Mins",Calls[[#This Row],[Duration]]&lt;=30,"10 - 30 Mins",Calls[[#This Row],[Duration]]&lt;=60,"30 - 60 Mins",Calls[[#This Row],[Duration]]&lt;=120,"1 - 2 Hours",TRUE,"More than 2  Hours")</f>
        <v>1 - 2 Hours</v>
      </c>
      <c r="L174">
        <f>ROUND(Calls[[#This Row],[Satisfaction Rating]],0)</f>
        <v>3</v>
      </c>
    </row>
    <row r="175" spans="2:12" x14ac:dyDescent="0.3">
      <c r="B175" s="22" t="s">
        <v>197</v>
      </c>
      <c r="C175" s="4" t="s">
        <v>18</v>
      </c>
      <c r="D175" s="4">
        <v>40</v>
      </c>
      <c r="E175" s="5" t="s">
        <v>6</v>
      </c>
      <c r="F175" s="9">
        <v>44990</v>
      </c>
      <c r="G175" s="4">
        <v>92</v>
      </c>
      <c r="H175" s="23">
        <v>4.7</v>
      </c>
      <c r="I175">
        <f>IF(MONTH(Calls[[#This Row],[Date of Call]])&lt;6,YEAR(Calls[[#This Row],[Date of Call]]),YEAR(Calls[[#This Row],[Date of Call]])+1)</f>
        <v>2023</v>
      </c>
      <c r="J175" t="str">
        <f>TEXT(Calls[[#This Row],[Date of Call]],"DDDD")</f>
        <v>Sunday</v>
      </c>
      <c r="K175" t="str" cm="1">
        <f t="array" ref="K175">_xlfn.IFS(Calls[[#This Row],[Duration]]&lt;10,"Under 10 Mins",Calls[[#This Row],[Duration]]&lt;=30,"10 - 30 Mins",Calls[[#This Row],[Duration]]&lt;=60,"30 - 60 Mins",Calls[[#This Row],[Duration]]&lt;=120,"1 - 2 Hours",TRUE,"More than 2  Hours")</f>
        <v>30 - 60 Mins</v>
      </c>
      <c r="L175">
        <f>ROUND(Calls[[#This Row],[Satisfaction Rating]],0)</f>
        <v>5</v>
      </c>
    </row>
    <row r="176" spans="2:12" x14ac:dyDescent="0.3">
      <c r="B176" s="22" t="s">
        <v>198</v>
      </c>
      <c r="C176" s="4" t="s">
        <v>24</v>
      </c>
      <c r="D176" s="4">
        <v>86</v>
      </c>
      <c r="E176" s="5" t="s">
        <v>9</v>
      </c>
      <c r="F176" s="9">
        <v>44990</v>
      </c>
      <c r="G176" s="4">
        <v>27</v>
      </c>
      <c r="H176" s="23">
        <v>4.5</v>
      </c>
      <c r="I176">
        <f>IF(MONTH(Calls[[#This Row],[Date of Call]])&lt;6,YEAR(Calls[[#This Row],[Date of Call]]),YEAR(Calls[[#This Row],[Date of Call]])+1)</f>
        <v>2023</v>
      </c>
      <c r="J176" t="str">
        <f>TEXT(Calls[[#This Row],[Date of Call]],"DDDD")</f>
        <v>Sunday</v>
      </c>
      <c r="K176" t="str" cm="1">
        <f t="array" ref="K176">_xlfn.IFS(Calls[[#This Row],[Duration]]&lt;10,"Under 10 Mins",Calls[[#This Row],[Duration]]&lt;=30,"10 - 30 Mins",Calls[[#This Row],[Duration]]&lt;=60,"30 - 60 Mins",Calls[[#This Row],[Duration]]&lt;=120,"1 - 2 Hours",TRUE,"More than 2  Hours")</f>
        <v>1 - 2 Hours</v>
      </c>
      <c r="L176">
        <f>ROUND(Calls[[#This Row],[Satisfaction Rating]],0)</f>
        <v>5</v>
      </c>
    </row>
    <row r="177" spans="2:12" x14ac:dyDescent="0.3">
      <c r="B177" s="22" t="s">
        <v>199</v>
      </c>
      <c r="C177" s="4" t="s">
        <v>15</v>
      </c>
      <c r="D177" s="4">
        <v>131</v>
      </c>
      <c r="E177" s="5" t="s">
        <v>10</v>
      </c>
      <c r="F177" s="9">
        <v>44990</v>
      </c>
      <c r="G177" s="4">
        <v>140</v>
      </c>
      <c r="H177" s="23">
        <v>4.0999999999999996</v>
      </c>
      <c r="I177">
        <f>IF(MONTH(Calls[[#This Row],[Date of Call]])&lt;6,YEAR(Calls[[#This Row],[Date of Call]]),YEAR(Calls[[#This Row],[Date of Call]])+1)</f>
        <v>2023</v>
      </c>
      <c r="J177" t="str">
        <f>TEXT(Calls[[#This Row],[Date of Call]],"DDDD")</f>
        <v>Sunday</v>
      </c>
      <c r="K177" t="str" cm="1">
        <f t="array" ref="K177">_xlfn.IFS(Calls[[#This Row],[Duration]]&lt;10,"Under 10 Mins",Calls[[#This Row],[Duration]]&lt;=30,"10 - 30 Mins",Calls[[#This Row],[Duration]]&lt;=60,"30 - 60 Mins",Calls[[#This Row],[Duration]]&lt;=120,"1 - 2 Hours",TRUE,"More than 2  Hours")</f>
        <v>More than 2  Hours</v>
      </c>
      <c r="L177">
        <f>ROUND(Calls[[#This Row],[Satisfaction Rating]],0)</f>
        <v>4</v>
      </c>
    </row>
    <row r="178" spans="2:12" x14ac:dyDescent="0.3">
      <c r="B178" s="22" t="s">
        <v>200</v>
      </c>
      <c r="C178" s="4" t="s">
        <v>16</v>
      </c>
      <c r="D178" s="4">
        <v>67</v>
      </c>
      <c r="E178" s="5" t="s">
        <v>11</v>
      </c>
      <c r="F178" s="9">
        <v>44990</v>
      </c>
      <c r="G178" s="4">
        <v>40</v>
      </c>
      <c r="H178" s="23">
        <v>5</v>
      </c>
      <c r="I178">
        <f>IF(MONTH(Calls[[#This Row],[Date of Call]])&lt;6,YEAR(Calls[[#This Row],[Date of Call]]),YEAR(Calls[[#This Row],[Date of Call]])+1)</f>
        <v>2023</v>
      </c>
      <c r="J178" t="str">
        <f>TEXT(Calls[[#This Row],[Date of Call]],"DDDD")</f>
        <v>Sunday</v>
      </c>
      <c r="K178" t="str" cm="1">
        <f t="array" ref="K178">_xlfn.IFS(Calls[[#This Row],[Duration]]&lt;10,"Under 10 Mins",Calls[[#This Row],[Duration]]&lt;=30,"10 - 30 Mins",Calls[[#This Row],[Duration]]&lt;=60,"30 - 60 Mins",Calls[[#This Row],[Duration]]&lt;=120,"1 - 2 Hours",TRUE,"More than 2  Hours")</f>
        <v>1 - 2 Hours</v>
      </c>
      <c r="L178">
        <f>ROUND(Calls[[#This Row],[Satisfaction Rating]],0)</f>
        <v>5</v>
      </c>
    </row>
    <row r="179" spans="2:12" x14ac:dyDescent="0.3">
      <c r="B179" s="22" t="s">
        <v>201</v>
      </c>
      <c r="C179" s="4" t="s">
        <v>5</v>
      </c>
      <c r="D179" s="4">
        <v>71</v>
      </c>
      <c r="E179" s="5" t="s">
        <v>6</v>
      </c>
      <c r="F179" s="9">
        <v>44990</v>
      </c>
      <c r="G179" s="4">
        <v>102</v>
      </c>
      <c r="H179" s="23">
        <v>4.7</v>
      </c>
      <c r="I179">
        <f>IF(MONTH(Calls[[#This Row],[Date of Call]])&lt;6,YEAR(Calls[[#This Row],[Date of Call]]),YEAR(Calls[[#This Row],[Date of Call]])+1)</f>
        <v>2023</v>
      </c>
      <c r="J179" t="str">
        <f>TEXT(Calls[[#This Row],[Date of Call]],"DDDD")</f>
        <v>Sunday</v>
      </c>
      <c r="K179" t="str" cm="1">
        <f t="array" ref="K179">_xlfn.IFS(Calls[[#This Row],[Duration]]&lt;10,"Under 10 Mins",Calls[[#This Row],[Duration]]&lt;=30,"10 - 30 Mins",Calls[[#This Row],[Duration]]&lt;=60,"30 - 60 Mins",Calls[[#This Row],[Duration]]&lt;=120,"1 - 2 Hours",TRUE,"More than 2  Hours")</f>
        <v>1 - 2 Hours</v>
      </c>
      <c r="L179">
        <f>ROUND(Calls[[#This Row],[Satisfaction Rating]],0)</f>
        <v>5</v>
      </c>
    </row>
    <row r="180" spans="2:12" x14ac:dyDescent="0.3">
      <c r="B180" s="22" t="s">
        <v>202</v>
      </c>
      <c r="C180" s="4" t="s">
        <v>15</v>
      </c>
      <c r="D180" s="4">
        <v>113</v>
      </c>
      <c r="E180" s="5" t="s">
        <v>10</v>
      </c>
      <c r="F180" s="9">
        <v>44990</v>
      </c>
      <c r="G180" s="4">
        <v>42</v>
      </c>
      <c r="H180" s="23">
        <v>4.2</v>
      </c>
      <c r="I180">
        <f>IF(MONTH(Calls[[#This Row],[Date of Call]])&lt;6,YEAR(Calls[[#This Row],[Date of Call]]),YEAR(Calls[[#This Row],[Date of Call]])+1)</f>
        <v>2023</v>
      </c>
      <c r="J180" t="str">
        <f>TEXT(Calls[[#This Row],[Date of Call]],"DDDD")</f>
        <v>Sunday</v>
      </c>
      <c r="K180" t="str" cm="1">
        <f t="array" ref="K180">_xlfn.IFS(Calls[[#This Row],[Duration]]&lt;10,"Under 10 Mins",Calls[[#This Row],[Duration]]&lt;=30,"10 - 30 Mins",Calls[[#This Row],[Duration]]&lt;=60,"30 - 60 Mins",Calls[[#This Row],[Duration]]&lt;=120,"1 - 2 Hours",TRUE,"More than 2  Hours")</f>
        <v>1 - 2 Hours</v>
      </c>
      <c r="L180">
        <f>ROUND(Calls[[#This Row],[Satisfaction Rating]],0)</f>
        <v>4</v>
      </c>
    </row>
    <row r="181" spans="2:12" x14ac:dyDescent="0.3">
      <c r="B181" s="22" t="s">
        <v>203</v>
      </c>
      <c r="C181" s="4" t="s">
        <v>7</v>
      </c>
      <c r="D181" s="4">
        <v>53</v>
      </c>
      <c r="E181" s="5" t="s">
        <v>9</v>
      </c>
      <c r="F181" s="9">
        <v>44991</v>
      </c>
      <c r="G181" s="4">
        <v>210</v>
      </c>
      <c r="H181" s="23">
        <v>3.9</v>
      </c>
      <c r="I181">
        <f>IF(MONTH(Calls[[#This Row],[Date of Call]])&lt;6,YEAR(Calls[[#This Row],[Date of Call]]),YEAR(Calls[[#This Row],[Date of Call]])+1)</f>
        <v>2023</v>
      </c>
      <c r="J181" t="str">
        <f>TEXT(Calls[[#This Row],[Date of Call]],"DDDD")</f>
        <v>Monday</v>
      </c>
      <c r="K181" t="str" cm="1">
        <f t="array" ref="K181">_xlfn.IFS(Calls[[#This Row],[Duration]]&lt;10,"Under 10 Mins",Calls[[#This Row],[Duration]]&lt;=30,"10 - 30 Mins",Calls[[#This Row],[Duration]]&lt;=60,"30 - 60 Mins",Calls[[#This Row],[Duration]]&lt;=120,"1 - 2 Hours",TRUE,"More than 2  Hours")</f>
        <v>30 - 60 Mins</v>
      </c>
      <c r="L181">
        <f>ROUND(Calls[[#This Row],[Satisfaction Rating]],0)</f>
        <v>4</v>
      </c>
    </row>
    <row r="182" spans="2:12" x14ac:dyDescent="0.3">
      <c r="B182" s="22" t="s">
        <v>204</v>
      </c>
      <c r="C182" s="4" t="s">
        <v>15</v>
      </c>
      <c r="D182" s="4">
        <v>153</v>
      </c>
      <c r="E182" s="5" t="s">
        <v>11</v>
      </c>
      <c r="F182" s="9">
        <v>44991</v>
      </c>
      <c r="G182" s="4">
        <v>34</v>
      </c>
      <c r="H182" s="23">
        <v>3</v>
      </c>
      <c r="I182">
        <f>IF(MONTH(Calls[[#This Row],[Date of Call]])&lt;6,YEAR(Calls[[#This Row],[Date of Call]]),YEAR(Calls[[#This Row],[Date of Call]])+1)</f>
        <v>2023</v>
      </c>
      <c r="J182" t="str">
        <f>TEXT(Calls[[#This Row],[Date of Call]],"DDDD")</f>
        <v>Monday</v>
      </c>
      <c r="K182" t="str" cm="1">
        <f t="array" ref="K182">_xlfn.IFS(Calls[[#This Row],[Duration]]&lt;10,"Under 10 Mins",Calls[[#This Row],[Duration]]&lt;=30,"10 - 30 Mins",Calls[[#This Row],[Duration]]&lt;=60,"30 - 60 Mins",Calls[[#This Row],[Duration]]&lt;=120,"1 - 2 Hours",TRUE,"More than 2  Hours")</f>
        <v>More than 2  Hours</v>
      </c>
      <c r="L182">
        <f>ROUND(Calls[[#This Row],[Satisfaction Rating]],0)</f>
        <v>3</v>
      </c>
    </row>
    <row r="183" spans="2:12" x14ac:dyDescent="0.3">
      <c r="B183" s="22" t="s">
        <v>205</v>
      </c>
      <c r="C183" s="4" t="s">
        <v>16</v>
      </c>
      <c r="D183" s="4">
        <v>73</v>
      </c>
      <c r="E183" s="5" t="s">
        <v>13</v>
      </c>
      <c r="F183" s="9">
        <v>44991</v>
      </c>
      <c r="G183" s="4">
        <v>215</v>
      </c>
      <c r="H183" s="23">
        <v>3.6</v>
      </c>
      <c r="I183">
        <f>IF(MONTH(Calls[[#This Row],[Date of Call]])&lt;6,YEAR(Calls[[#This Row],[Date of Call]]),YEAR(Calls[[#This Row],[Date of Call]])+1)</f>
        <v>2023</v>
      </c>
      <c r="J183" t="str">
        <f>TEXT(Calls[[#This Row],[Date of Call]],"DDDD")</f>
        <v>Monday</v>
      </c>
      <c r="K183" t="str" cm="1">
        <f t="array" ref="K183">_xlfn.IFS(Calls[[#This Row],[Duration]]&lt;10,"Under 10 Mins",Calls[[#This Row],[Duration]]&lt;=30,"10 - 30 Mins",Calls[[#This Row],[Duration]]&lt;=60,"30 - 60 Mins",Calls[[#This Row],[Duration]]&lt;=120,"1 - 2 Hours",TRUE,"More than 2  Hours")</f>
        <v>1 - 2 Hours</v>
      </c>
      <c r="L183">
        <f>ROUND(Calls[[#This Row],[Satisfaction Rating]],0)</f>
        <v>4</v>
      </c>
    </row>
    <row r="184" spans="2:12" x14ac:dyDescent="0.3">
      <c r="B184" s="22" t="s">
        <v>206</v>
      </c>
      <c r="C184" s="4" t="s">
        <v>22</v>
      </c>
      <c r="D184" s="4">
        <v>62</v>
      </c>
      <c r="E184" s="5" t="s">
        <v>13</v>
      </c>
      <c r="F184" s="9">
        <v>44991</v>
      </c>
      <c r="G184" s="4">
        <v>32</v>
      </c>
      <c r="H184" s="23">
        <v>0.7</v>
      </c>
      <c r="I184">
        <f>IF(MONTH(Calls[[#This Row],[Date of Call]])&lt;6,YEAR(Calls[[#This Row],[Date of Call]]),YEAR(Calls[[#This Row],[Date of Call]])+1)</f>
        <v>2023</v>
      </c>
      <c r="J184" t="str">
        <f>TEXT(Calls[[#This Row],[Date of Call]],"DDDD")</f>
        <v>Monday</v>
      </c>
      <c r="K184" t="str" cm="1">
        <f t="array" ref="K184">_xlfn.IFS(Calls[[#This Row],[Duration]]&lt;10,"Under 10 Mins",Calls[[#This Row],[Duration]]&lt;=30,"10 - 30 Mins",Calls[[#This Row],[Duration]]&lt;=60,"30 - 60 Mins",Calls[[#This Row],[Duration]]&lt;=120,"1 - 2 Hours",TRUE,"More than 2  Hours")</f>
        <v>1 - 2 Hours</v>
      </c>
      <c r="L184">
        <f>ROUND(Calls[[#This Row],[Satisfaction Rating]],0)</f>
        <v>1</v>
      </c>
    </row>
    <row r="185" spans="2:12" x14ac:dyDescent="0.3">
      <c r="B185" s="22" t="s">
        <v>207</v>
      </c>
      <c r="C185" s="4" t="s">
        <v>8</v>
      </c>
      <c r="D185" s="4">
        <v>115</v>
      </c>
      <c r="E185" s="5" t="s">
        <v>9</v>
      </c>
      <c r="F185" s="9">
        <v>44992</v>
      </c>
      <c r="G185" s="4">
        <v>48</v>
      </c>
      <c r="H185" s="23">
        <v>4.7</v>
      </c>
      <c r="I185">
        <f>IF(MONTH(Calls[[#This Row],[Date of Call]])&lt;6,YEAR(Calls[[#This Row],[Date of Call]]),YEAR(Calls[[#This Row],[Date of Call]])+1)</f>
        <v>2023</v>
      </c>
      <c r="J185" t="str">
        <f>TEXT(Calls[[#This Row],[Date of Call]],"DDDD")</f>
        <v>Tuesday</v>
      </c>
      <c r="K185" t="str" cm="1">
        <f t="array" ref="K185">_xlfn.IFS(Calls[[#This Row],[Duration]]&lt;10,"Under 10 Mins",Calls[[#This Row],[Duration]]&lt;=30,"10 - 30 Mins",Calls[[#This Row],[Duration]]&lt;=60,"30 - 60 Mins",Calls[[#This Row],[Duration]]&lt;=120,"1 - 2 Hours",TRUE,"More than 2  Hours")</f>
        <v>1 - 2 Hours</v>
      </c>
      <c r="L185">
        <f>ROUND(Calls[[#This Row],[Satisfaction Rating]],0)</f>
        <v>5</v>
      </c>
    </row>
    <row r="186" spans="2:12" x14ac:dyDescent="0.3">
      <c r="B186" s="22" t="s">
        <v>208</v>
      </c>
      <c r="C186" s="4" t="s">
        <v>15</v>
      </c>
      <c r="D186" s="4">
        <v>69</v>
      </c>
      <c r="E186" s="5" t="s">
        <v>9</v>
      </c>
      <c r="F186" s="9">
        <v>44992</v>
      </c>
      <c r="G186" s="4">
        <v>132</v>
      </c>
      <c r="H186" s="23">
        <v>4.5</v>
      </c>
      <c r="I186">
        <f>IF(MONTH(Calls[[#This Row],[Date of Call]])&lt;6,YEAR(Calls[[#This Row],[Date of Call]]),YEAR(Calls[[#This Row],[Date of Call]])+1)</f>
        <v>2023</v>
      </c>
      <c r="J186" t="str">
        <f>TEXT(Calls[[#This Row],[Date of Call]],"DDDD")</f>
        <v>Tuesday</v>
      </c>
      <c r="K186" t="str" cm="1">
        <f t="array" ref="K186">_xlfn.IFS(Calls[[#This Row],[Duration]]&lt;10,"Under 10 Mins",Calls[[#This Row],[Duration]]&lt;=30,"10 - 30 Mins",Calls[[#This Row],[Duration]]&lt;=60,"30 - 60 Mins",Calls[[#This Row],[Duration]]&lt;=120,"1 - 2 Hours",TRUE,"More than 2  Hours")</f>
        <v>1 - 2 Hours</v>
      </c>
      <c r="L186">
        <f>ROUND(Calls[[#This Row],[Satisfaction Rating]],0)</f>
        <v>5</v>
      </c>
    </row>
    <row r="187" spans="2:12" x14ac:dyDescent="0.3">
      <c r="B187" s="22" t="s">
        <v>209</v>
      </c>
      <c r="C187" s="4" t="s">
        <v>24</v>
      </c>
      <c r="D187" s="4">
        <v>103</v>
      </c>
      <c r="E187" s="5" t="s">
        <v>10</v>
      </c>
      <c r="F187" s="9">
        <v>44992</v>
      </c>
      <c r="G187" s="4">
        <v>172</v>
      </c>
      <c r="H187" s="23">
        <v>4.3</v>
      </c>
      <c r="I187">
        <f>IF(MONTH(Calls[[#This Row],[Date of Call]])&lt;6,YEAR(Calls[[#This Row],[Date of Call]]),YEAR(Calls[[#This Row],[Date of Call]])+1)</f>
        <v>2023</v>
      </c>
      <c r="J187" t="str">
        <f>TEXT(Calls[[#This Row],[Date of Call]],"DDDD")</f>
        <v>Tuesday</v>
      </c>
      <c r="K187" t="str" cm="1">
        <f t="array" ref="K187">_xlfn.IFS(Calls[[#This Row],[Duration]]&lt;10,"Under 10 Mins",Calls[[#This Row],[Duration]]&lt;=30,"10 - 30 Mins",Calls[[#This Row],[Duration]]&lt;=60,"30 - 60 Mins",Calls[[#This Row],[Duration]]&lt;=120,"1 - 2 Hours",TRUE,"More than 2  Hours")</f>
        <v>1 - 2 Hours</v>
      </c>
      <c r="L187">
        <f>ROUND(Calls[[#This Row],[Satisfaction Rating]],0)</f>
        <v>4</v>
      </c>
    </row>
    <row r="188" spans="2:12" x14ac:dyDescent="0.3">
      <c r="B188" s="22" t="s">
        <v>210</v>
      </c>
      <c r="C188" s="4" t="s">
        <v>24</v>
      </c>
      <c r="D188" s="4">
        <v>75</v>
      </c>
      <c r="E188" s="5" t="s">
        <v>10</v>
      </c>
      <c r="F188" s="9">
        <v>44992</v>
      </c>
      <c r="G188" s="4">
        <v>111</v>
      </c>
      <c r="H188" s="23">
        <v>3.4</v>
      </c>
      <c r="I188">
        <f>IF(MONTH(Calls[[#This Row],[Date of Call]])&lt;6,YEAR(Calls[[#This Row],[Date of Call]]),YEAR(Calls[[#This Row],[Date of Call]])+1)</f>
        <v>2023</v>
      </c>
      <c r="J188" t="str">
        <f>TEXT(Calls[[#This Row],[Date of Call]],"DDDD")</f>
        <v>Tuesday</v>
      </c>
      <c r="K188" t="str" cm="1">
        <f t="array" ref="K188">_xlfn.IFS(Calls[[#This Row],[Duration]]&lt;10,"Under 10 Mins",Calls[[#This Row],[Duration]]&lt;=30,"10 - 30 Mins",Calls[[#This Row],[Duration]]&lt;=60,"30 - 60 Mins",Calls[[#This Row],[Duration]]&lt;=120,"1 - 2 Hours",TRUE,"More than 2  Hours")</f>
        <v>1 - 2 Hours</v>
      </c>
      <c r="L188">
        <f>ROUND(Calls[[#This Row],[Satisfaction Rating]],0)</f>
        <v>3</v>
      </c>
    </row>
    <row r="189" spans="2:12" x14ac:dyDescent="0.3">
      <c r="B189" s="22" t="s">
        <v>211</v>
      </c>
      <c r="C189" s="4" t="s">
        <v>14</v>
      </c>
      <c r="D189" s="4">
        <v>92</v>
      </c>
      <c r="E189" s="5" t="s">
        <v>10</v>
      </c>
      <c r="F189" s="9">
        <v>44992</v>
      </c>
      <c r="G189" s="4">
        <v>58</v>
      </c>
      <c r="H189" s="23">
        <v>3.6</v>
      </c>
      <c r="I189">
        <f>IF(MONTH(Calls[[#This Row],[Date of Call]])&lt;6,YEAR(Calls[[#This Row],[Date of Call]]),YEAR(Calls[[#This Row],[Date of Call]])+1)</f>
        <v>2023</v>
      </c>
      <c r="J189" t="str">
        <f>TEXT(Calls[[#This Row],[Date of Call]],"DDDD")</f>
        <v>Tuesday</v>
      </c>
      <c r="K189" t="str" cm="1">
        <f t="array" ref="K189">_xlfn.IFS(Calls[[#This Row],[Duration]]&lt;10,"Under 10 Mins",Calls[[#This Row],[Duration]]&lt;=30,"10 - 30 Mins",Calls[[#This Row],[Duration]]&lt;=60,"30 - 60 Mins",Calls[[#This Row],[Duration]]&lt;=120,"1 - 2 Hours",TRUE,"More than 2  Hours")</f>
        <v>1 - 2 Hours</v>
      </c>
      <c r="L189">
        <f>ROUND(Calls[[#This Row],[Satisfaction Rating]],0)</f>
        <v>4</v>
      </c>
    </row>
    <row r="190" spans="2:12" x14ac:dyDescent="0.3">
      <c r="B190" s="22" t="s">
        <v>212</v>
      </c>
      <c r="C190" s="4" t="s">
        <v>14</v>
      </c>
      <c r="D190" s="4">
        <v>41</v>
      </c>
      <c r="E190" s="5" t="s">
        <v>13</v>
      </c>
      <c r="F190" s="9">
        <v>44992</v>
      </c>
      <c r="G190" s="4">
        <v>68</v>
      </c>
      <c r="H190" s="23">
        <v>4</v>
      </c>
      <c r="I190">
        <f>IF(MONTH(Calls[[#This Row],[Date of Call]])&lt;6,YEAR(Calls[[#This Row],[Date of Call]]),YEAR(Calls[[#This Row],[Date of Call]])+1)</f>
        <v>2023</v>
      </c>
      <c r="J190" t="str">
        <f>TEXT(Calls[[#This Row],[Date of Call]],"DDDD")</f>
        <v>Tuesday</v>
      </c>
      <c r="K190" t="str" cm="1">
        <f t="array" ref="K190">_xlfn.IFS(Calls[[#This Row],[Duration]]&lt;10,"Under 10 Mins",Calls[[#This Row],[Duration]]&lt;=30,"10 - 30 Mins",Calls[[#This Row],[Duration]]&lt;=60,"30 - 60 Mins",Calls[[#This Row],[Duration]]&lt;=120,"1 - 2 Hours",TRUE,"More than 2  Hours")</f>
        <v>30 - 60 Mins</v>
      </c>
      <c r="L190">
        <f>ROUND(Calls[[#This Row],[Satisfaction Rating]],0)</f>
        <v>4</v>
      </c>
    </row>
    <row r="191" spans="2:12" x14ac:dyDescent="0.3">
      <c r="B191" s="22" t="s">
        <v>213</v>
      </c>
      <c r="C191" s="4" t="s">
        <v>24</v>
      </c>
      <c r="D191" s="4">
        <v>134</v>
      </c>
      <c r="E191" s="5" t="s">
        <v>11</v>
      </c>
      <c r="F191" s="9">
        <v>44992</v>
      </c>
      <c r="G191" s="4">
        <v>160</v>
      </c>
      <c r="H191" s="23">
        <v>4.5</v>
      </c>
      <c r="I191">
        <f>IF(MONTH(Calls[[#This Row],[Date of Call]])&lt;6,YEAR(Calls[[#This Row],[Date of Call]]),YEAR(Calls[[#This Row],[Date of Call]])+1)</f>
        <v>2023</v>
      </c>
      <c r="J191" t="str">
        <f>TEXT(Calls[[#This Row],[Date of Call]],"DDDD")</f>
        <v>Tuesday</v>
      </c>
      <c r="K191" t="str" cm="1">
        <f t="array" ref="K191">_xlfn.IFS(Calls[[#This Row],[Duration]]&lt;10,"Under 10 Mins",Calls[[#This Row],[Duration]]&lt;=30,"10 - 30 Mins",Calls[[#This Row],[Duration]]&lt;=60,"30 - 60 Mins",Calls[[#This Row],[Duration]]&lt;=120,"1 - 2 Hours",TRUE,"More than 2  Hours")</f>
        <v>More than 2  Hours</v>
      </c>
      <c r="L191">
        <f>ROUND(Calls[[#This Row],[Satisfaction Rating]],0)</f>
        <v>5</v>
      </c>
    </row>
    <row r="192" spans="2:12" x14ac:dyDescent="0.3">
      <c r="B192" s="22" t="s">
        <v>214</v>
      </c>
      <c r="C192" s="4" t="s">
        <v>17</v>
      </c>
      <c r="D192" s="4">
        <v>80</v>
      </c>
      <c r="E192" s="5" t="s">
        <v>6</v>
      </c>
      <c r="F192" s="9">
        <v>44992</v>
      </c>
      <c r="G192" s="4">
        <v>45</v>
      </c>
      <c r="H192" s="23">
        <v>3</v>
      </c>
      <c r="I192">
        <f>IF(MONTH(Calls[[#This Row],[Date of Call]])&lt;6,YEAR(Calls[[#This Row],[Date of Call]]),YEAR(Calls[[#This Row],[Date of Call]])+1)</f>
        <v>2023</v>
      </c>
      <c r="J192" t="str">
        <f>TEXT(Calls[[#This Row],[Date of Call]],"DDDD")</f>
        <v>Tuesday</v>
      </c>
      <c r="K192" t="str" cm="1">
        <f t="array" ref="K192">_xlfn.IFS(Calls[[#This Row],[Duration]]&lt;10,"Under 10 Mins",Calls[[#This Row],[Duration]]&lt;=30,"10 - 30 Mins",Calls[[#This Row],[Duration]]&lt;=60,"30 - 60 Mins",Calls[[#This Row],[Duration]]&lt;=120,"1 - 2 Hours",TRUE,"More than 2  Hours")</f>
        <v>1 - 2 Hours</v>
      </c>
      <c r="L192">
        <f>ROUND(Calls[[#This Row],[Satisfaction Rating]],0)</f>
        <v>3</v>
      </c>
    </row>
    <row r="193" spans="2:12" x14ac:dyDescent="0.3">
      <c r="B193" s="22" t="s">
        <v>215</v>
      </c>
      <c r="C193" s="4" t="s">
        <v>5</v>
      </c>
      <c r="D193" s="4">
        <v>103</v>
      </c>
      <c r="E193" s="5" t="s">
        <v>9</v>
      </c>
      <c r="F193" s="9">
        <v>44993</v>
      </c>
      <c r="G193" s="4">
        <v>117</v>
      </c>
      <c r="H193" s="23">
        <v>3</v>
      </c>
      <c r="I193">
        <f>IF(MONTH(Calls[[#This Row],[Date of Call]])&lt;6,YEAR(Calls[[#This Row],[Date of Call]]),YEAR(Calls[[#This Row],[Date of Call]])+1)</f>
        <v>2023</v>
      </c>
      <c r="J193" t="str">
        <f>TEXT(Calls[[#This Row],[Date of Call]],"DDDD")</f>
        <v>Wednesday</v>
      </c>
      <c r="K193" t="str" cm="1">
        <f t="array" ref="K193">_xlfn.IFS(Calls[[#This Row],[Duration]]&lt;10,"Under 10 Mins",Calls[[#This Row],[Duration]]&lt;=30,"10 - 30 Mins",Calls[[#This Row],[Duration]]&lt;=60,"30 - 60 Mins",Calls[[#This Row],[Duration]]&lt;=120,"1 - 2 Hours",TRUE,"More than 2  Hours")</f>
        <v>1 - 2 Hours</v>
      </c>
      <c r="L193">
        <f>ROUND(Calls[[#This Row],[Satisfaction Rating]],0)</f>
        <v>3</v>
      </c>
    </row>
    <row r="194" spans="2:12" x14ac:dyDescent="0.3">
      <c r="B194" s="22" t="s">
        <v>216</v>
      </c>
      <c r="C194" s="4" t="s">
        <v>7</v>
      </c>
      <c r="D194" s="4">
        <v>20</v>
      </c>
      <c r="E194" s="5" t="s">
        <v>10</v>
      </c>
      <c r="F194" s="9">
        <v>44994</v>
      </c>
      <c r="G194" s="4">
        <v>22</v>
      </c>
      <c r="H194" s="23">
        <v>1.6</v>
      </c>
      <c r="I194">
        <f>IF(MONTH(Calls[[#This Row],[Date of Call]])&lt;6,YEAR(Calls[[#This Row],[Date of Call]]),YEAR(Calls[[#This Row],[Date of Call]])+1)</f>
        <v>2023</v>
      </c>
      <c r="J194" t="str">
        <f>TEXT(Calls[[#This Row],[Date of Call]],"DDDD")</f>
        <v>Thursday</v>
      </c>
      <c r="K194" t="str" cm="1">
        <f t="array" ref="K194">_xlfn.IFS(Calls[[#This Row],[Duration]]&lt;10,"Under 10 Mins",Calls[[#This Row],[Duration]]&lt;=30,"10 - 30 Mins",Calls[[#This Row],[Duration]]&lt;=60,"30 - 60 Mins",Calls[[#This Row],[Duration]]&lt;=120,"1 - 2 Hours",TRUE,"More than 2  Hours")</f>
        <v>10 - 30 Mins</v>
      </c>
      <c r="L194">
        <f>ROUND(Calls[[#This Row],[Satisfaction Rating]],0)</f>
        <v>2</v>
      </c>
    </row>
    <row r="195" spans="2:12" x14ac:dyDescent="0.3">
      <c r="B195" s="22" t="s">
        <v>217</v>
      </c>
      <c r="C195" s="4" t="s">
        <v>5</v>
      </c>
      <c r="D195" s="4">
        <v>75</v>
      </c>
      <c r="E195" s="5" t="s">
        <v>6</v>
      </c>
      <c r="F195" s="9">
        <v>44994</v>
      </c>
      <c r="G195" s="4">
        <v>195</v>
      </c>
      <c r="H195" s="23">
        <v>3</v>
      </c>
      <c r="I195">
        <f>IF(MONTH(Calls[[#This Row],[Date of Call]])&lt;6,YEAR(Calls[[#This Row],[Date of Call]]),YEAR(Calls[[#This Row],[Date of Call]])+1)</f>
        <v>2023</v>
      </c>
      <c r="J195" t="str">
        <f>TEXT(Calls[[#This Row],[Date of Call]],"DDDD")</f>
        <v>Thursday</v>
      </c>
      <c r="K195" t="str" cm="1">
        <f t="array" ref="K195">_xlfn.IFS(Calls[[#This Row],[Duration]]&lt;10,"Under 10 Mins",Calls[[#This Row],[Duration]]&lt;=30,"10 - 30 Mins",Calls[[#This Row],[Duration]]&lt;=60,"30 - 60 Mins",Calls[[#This Row],[Duration]]&lt;=120,"1 - 2 Hours",TRUE,"More than 2  Hours")</f>
        <v>1 - 2 Hours</v>
      </c>
      <c r="L195">
        <f>ROUND(Calls[[#This Row],[Satisfaction Rating]],0)</f>
        <v>3</v>
      </c>
    </row>
    <row r="196" spans="2:12" x14ac:dyDescent="0.3">
      <c r="B196" s="22" t="s">
        <v>218</v>
      </c>
      <c r="C196" s="4" t="s">
        <v>14</v>
      </c>
      <c r="D196" s="4">
        <v>80</v>
      </c>
      <c r="E196" s="5" t="s">
        <v>11</v>
      </c>
      <c r="F196" s="9">
        <v>44994</v>
      </c>
      <c r="G196" s="4">
        <v>168</v>
      </c>
      <c r="H196" s="23">
        <v>3.7</v>
      </c>
      <c r="I196">
        <f>IF(MONTH(Calls[[#This Row],[Date of Call]])&lt;6,YEAR(Calls[[#This Row],[Date of Call]]),YEAR(Calls[[#This Row],[Date of Call]])+1)</f>
        <v>2023</v>
      </c>
      <c r="J196" t="str">
        <f>TEXT(Calls[[#This Row],[Date of Call]],"DDDD")</f>
        <v>Thursday</v>
      </c>
      <c r="K196" t="str" cm="1">
        <f t="array" ref="K196">_xlfn.IFS(Calls[[#This Row],[Duration]]&lt;10,"Under 10 Mins",Calls[[#This Row],[Duration]]&lt;=30,"10 - 30 Mins",Calls[[#This Row],[Duration]]&lt;=60,"30 - 60 Mins",Calls[[#This Row],[Duration]]&lt;=120,"1 - 2 Hours",TRUE,"More than 2  Hours")</f>
        <v>1 - 2 Hours</v>
      </c>
      <c r="L196">
        <f>ROUND(Calls[[#This Row],[Satisfaction Rating]],0)</f>
        <v>4</v>
      </c>
    </row>
    <row r="197" spans="2:12" x14ac:dyDescent="0.3">
      <c r="B197" s="22" t="s">
        <v>219</v>
      </c>
      <c r="C197" s="4" t="s">
        <v>15</v>
      </c>
      <c r="D197" s="4">
        <v>85</v>
      </c>
      <c r="E197" s="5" t="s">
        <v>13</v>
      </c>
      <c r="F197" s="9">
        <v>44995</v>
      </c>
      <c r="G197" s="4">
        <v>46</v>
      </c>
      <c r="H197" s="23">
        <v>4.9000000000000004</v>
      </c>
      <c r="I197">
        <f>IF(MONTH(Calls[[#This Row],[Date of Call]])&lt;6,YEAR(Calls[[#This Row],[Date of Call]]),YEAR(Calls[[#This Row],[Date of Call]])+1)</f>
        <v>2023</v>
      </c>
      <c r="J197" t="str">
        <f>TEXT(Calls[[#This Row],[Date of Call]],"DDDD")</f>
        <v>Friday</v>
      </c>
      <c r="K197" t="str" cm="1">
        <f t="array" ref="K197">_xlfn.IFS(Calls[[#This Row],[Duration]]&lt;10,"Under 10 Mins",Calls[[#This Row],[Duration]]&lt;=30,"10 - 30 Mins",Calls[[#This Row],[Duration]]&lt;=60,"30 - 60 Mins",Calls[[#This Row],[Duration]]&lt;=120,"1 - 2 Hours",TRUE,"More than 2  Hours")</f>
        <v>1 - 2 Hours</v>
      </c>
      <c r="L197">
        <f>ROUND(Calls[[#This Row],[Satisfaction Rating]],0)</f>
        <v>5</v>
      </c>
    </row>
    <row r="198" spans="2:12" x14ac:dyDescent="0.3">
      <c r="B198" s="22" t="s">
        <v>220</v>
      </c>
      <c r="C198" s="4" t="s">
        <v>12</v>
      </c>
      <c r="D198" s="4">
        <v>155</v>
      </c>
      <c r="E198" s="5" t="s">
        <v>10</v>
      </c>
      <c r="F198" s="9">
        <v>44995</v>
      </c>
      <c r="G198" s="4">
        <v>164</v>
      </c>
      <c r="H198" s="23">
        <v>3.4</v>
      </c>
      <c r="I198">
        <f>IF(MONTH(Calls[[#This Row],[Date of Call]])&lt;6,YEAR(Calls[[#This Row],[Date of Call]]),YEAR(Calls[[#This Row],[Date of Call]])+1)</f>
        <v>2023</v>
      </c>
      <c r="J198" t="str">
        <f>TEXT(Calls[[#This Row],[Date of Call]],"DDDD")</f>
        <v>Friday</v>
      </c>
      <c r="K198" t="str" cm="1">
        <f t="array" ref="K198">_xlfn.IFS(Calls[[#This Row],[Duration]]&lt;10,"Under 10 Mins",Calls[[#This Row],[Duration]]&lt;=30,"10 - 30 Mins",Calls[[#This Row],[Duration]]&lt;=60,"30 - 60 Mins",Calls[[#This Row],[Duration]]&lt;=120,"1 - 2 Hours",TRUE,"More than 2  Hours")</f>
        <v>More than 2  Hours</v>
      </c>
      <c r="L198">
        <f>ROUND(Calls[[#This Row],[Satisfaction Rating]],0)</f>
        <v>3</v>
      </c>
    </row>
    <row r="199" spans="2:12" x14ac:dyDescent="0.3">
      <c r="B199" s="22" t="s">
        <v>221</v>
      </c>
      <c r="C199" s="4" t="s">
        <v>15</v>
      </c>
      <c r="D199" s="4">
        <v>63</v>
      </c>
      <c r="E199" s="5" t="s">
        <v>13</v>
      </c>
      <c r="F199" s="9">
        <v>44995</v>
      </c>
      <c r="G199" s="4">
        <v>48</v>
      </c>
      <c r="H199" s="23">
        <v>5</v>
      </c>
      <c r="I199">
        <f>IF(MONTH(Calls[[#This Row],[Date of Call]])&lt;6,YEAR(Calls[[#This Row],[Date of Call]]),YEAR(Calls[[#This Row],[Date of Call]])+1)</f>
        <v>2023</v>
      </c>
      <c r="J199" t="str">
        <f>TEXT(Calls[[#This Row],[Date of Call]],"DDDD")</f>
        <v>Friday</v>
      </c>
      <c r="K199" t="str" cm="1">
        <f t="array" ref="K199">_xlfn.IFS(Calls[[#This Row],[Duration]]&lt;10,"Under 10 Mins",Calls[[#This Row],[Duration]]&lt;=30,"10 - 30 Mins",Calls[[#This Row],[Duration]]&lt;=60,"30 - 60 Mins",Calls[[#This Row],[Duration]]&lt;=120,"1 - 2 Hours",TRUE,"More than 2  Hours")</f>
        <v>1 - 2 Hours</v>
      </c>
      <c r="L199">
        <f>ROUND(Calls[[#This Row],[Satisfaction Rating]],0)</f>
        <v>5</v>
      </c>
    </row>
    <row r="200" spans="2:12" x14ac:dyDescent="0.3">
      <c r="B200" s="22" t="s">
        <v>222</v>
      </c>
      <c r="C200" s="4" t="s">
        <v>23</v>
      </c>
      <c r="D200" s="4">
        <v>105</v>
      </c>
      <c r="E200" s="5" t="s">
        <v>9</v>
      </c>
      <c r="F200" s="9">
        <v>44995</v>
      </c>
      <c r="G200" s="4">
        <v>96</v>
      </c>
      <c r="H200" s="23">
        <v>5</v>
      </c>
      <c r="I200">
        <f>IF(MONTH(Calls[[#This Row],[Date of Call]])&lt;6,YEAR(Calls[[#This Row],[Date of Call]]),YEAR(Calls[[#This Row],[Date of Call]])+1)</f>
        <v>2023</v>
      </c>
      <c r="J200" t="str">
        <f>TEXT(Calls[[#This Row],[Date of Call]],"DDDD")</f>
        <v>Friday</v>
      </c>
      <c r="K200" t="str" cm="1">
        <f t="array" ref="K200">_xlfn.IFS(Calls[[#This Row],[Duration]]&lt;10,"Under 10 Mins",Calls[[#This Row],[Duration]]&lt;=30,"10 - 30 Mins",Calls[[#This Row],[Duration]]&lt;=60,"30 - 60 Mins",Calls[[#This Row],[Duration]]&lt;=120,"1 - 2 Hours",TRUE,"More than 2  Hours")</f>
        <v>1 - 2 Hours</v>
      </c>
      <c r="L200">
        <f>ROUND(Calls[[#This Row],[Satisfaction Rating]],0)</f>
        <v>5</v>
      </c>
    </row>
    <row r="201" spans="2:12" x14ac:dyDescent="0.3">
      <c r="B201" s="22" t="s">
        <v>223</v>
      </c>
      <c r="C201" s="4" t="s">
        <v>15</v>
      </c>
      <c r="D201" s="4">
        <v>71</v>
      </c>
      <c r="E201" s="5" t="s">
        <v>13</v>
      </c>
      <c r="F201" s="9">
        <v>44995</v>
      </c>
      <c r="G201" s="4">
        <v>105</v>
      </c>
      <c r="H201" s="23">
        <v>4</v>
      </c>
      <c r="I201">
        <f>IF(MONTH(Calls[[#This Row],[Date of Call]])&lt;6,YEAR(Calls[[#This Row],[Date of Call]]),YEAR(Calls[[#This Row],[Date of Call]])+1)</f>
        <v>2023</v>
      </c>
      <c r="J201" t="str">
        <f>TEXT(Calls[[#This Row],[Date of Call]],"DDDD")</f>
        <v>Friday</v>
      </c>
      <c r="K201" t="str" cm="1">
        <f t="array" ref="K201">_xlfn.IFS(Calls[[#This Row],[Duration]]&lt;10,"Under 10 Mins",Calls[[#This Row],[Duration]]&lt;=30,"10 - 30 Mins",Calls[[#This Row],[Duration]]&lt;=60,"30 - 60 Mins",Calls[[#This Row],[Duration]]&lt;=120,"1 - 2 Hours",TRUE,"More than 2  Hours")</f>
        <v>1 - 2 Hours</v>
      </c>
      <c r="L201">
        <f>ROUND(Calls[[#This Row],[Satisfaction Rating]],0)</f>
        <v>4</v>
      </c>
    </row>
    <row r="202" spans="2:12" x14ac:dyDescent="0.3">
      <c r="B202" s="22" t="s">
        <v>224</v>
      </c>
      <c r="C202" s="4" t="s">
        <v>12</v>
      </c>
      <c r="D202" s="4">
        <v>100</v>
      </c>
      <c r="E202" s="5" t="s">
        <v>13</v>
      </c>
      <c r="F202" s="9">
        <v>44996</v>
      </c>
      <c r="G202" s="4">
        <v>44</v>
      </c>
      <c r="H202" s="23">
        <v>3.6</v>
      </c>
      <c r="I202">
        <f>IF(MONTH(Calls[[#This Row],[Date of Call]])&lt;6,YEAR(Calls[[#This Row],[Date of Call]]),YEAR(Calls[[#This Row],[Date of Call]])+1)</f>
        <v>2023</v>
      </c>
      <c r="J202" t="str">
        <f>TEXT(Calls[[#This Row],[Date of Call]],"DDDD")</f>
        <v>Saturday</v>
      </c>
      <c r="K202" t="str" cm="1">
        <f t="array" ref="K202">_xlfn.IFS(Calls[[#This Row],[Duration]]&lt;10,"Under 10 Mins",Calls[[#This Row],[Duration]]&lt;=30,"10 - 30 Mins",Calls[[#This Row],[Duration]]&lt;=60,"30 - 60 Mins",Calls[[#This Row],[Duration]]&lt;=120,"1 - 2 Hours",TRUE,"More than 2  Hours")</f>
        <v>1 - 2 Hours</v>
      </c>
      <c r="L202">
        <f>ROUND(Calls[[#This Row],[Satisfaction Rating]],0)</f>
        <v>4</v>
      </c>
    </row>
    <row r="203" spans="2:12" x14ac:dyDescent="0.3">
      <c r="B203" s="22" t="s">
        <v>225</v>
      </c>
      <c r="C203" s="4" t="s">
        <v>20</v>
      </c>
      <c r="D203" s="4">
        <v>93</v>
      </c>
      <c r="E203" s="5" t="s">
        <v>11</v>
      </c>
      <c r="F203" s="9">
        <v>44996</v>
      </c>
      <c r="G203" s="4">
        <v>132</v>
      </c>
      <c r="H203" s="23">
        <v>3.7</v>
      </c>
      <c r="I203">
        <f>IF(MONTH(Calls[[#This Row],[Date of Call]])&lt;6,YEAR(Calls[[#This Row],[Date of Call]]),YEAR(Calls[[#This Row],[Date of Call]])+1)</f>
        <v>2023</v>
      </c>
      <c r="J203" t="str">
        <f>TEXT(Calls[[#This Row],[Date of Call]],"DDDD")</f>
        <v>Saturday</v>
      </c>
      <c r="K203" t="str" cm="1">
        <f t="array" ref="K203">_xlfn.IFS(Calls[[#This Row],[Duration]]&lt;10,"Under 10 Mins",Calls[[#This Row],[Duration]]&lt;=30,"10 - 30 Mins",Calls[[#This Row],[Duration]]&lt;=60,"30 - 60 Mins",Calls[[#This Row],[Duration]]&lt;=120,"1 - 2 Hours",TRUE,"More than 2  Hours")</f>
        <v>1 - 2 Hours</v>
      </c>
      <c r="L203">
        <f>ROUND(Calls[[#This Row],[Satisfaction Rating]],0)</f>
        <v>4</v>
      </c>
    </row>
    <row r="204" spans="2:12" x14ac:dyDescent="0.3">
      <c r="B204" s="22" t="s">
        <v>226</v>
      </c>
      <c r="C204" s="4" t="s">
        <v>23</v>
      </c>
      <c r="D204" s="4">
        <v>84</v>
      </c>
      <c r="E204" s="5" t="s">
        <v>10</v>
      </c>
      <c r="F204" s="9">
        <v>44996</v>
      </c>
      <c r="G204" s="4">
        <v>54</v>
      </c>
      <c r="H204" s="23">
        <v>4.2</v>
      </c>
      <c r="I204">
        <f>IF(MONTH(Calls[[#This Row],[Date of Call]])&lt;6,YEAR(Calls[[#This Row],[Date of Call]]),YEAR(Calls[[#This Row],[Date of Call]])+1)</f>
        <v>2023</v>
      </c>
      <c r="J204" t="str">
        <f>TEXT(Calls[[#This Row],[Date of Call]],"DDDD")</f>
        <v>Saturday</v>
      </c>
      <c r="K204" t="str" cm="1">
        <f t="array" ref="K204">_xlfn.IFS(Calls[[#This Row],[Duration]]&lt;10,"Under 10 Mins",Calls[[#This Row],[Duration]]&lt;=30,"10 - 30 Mins",Calls[[#This Row],[Duration]]&lt;=60,"30 - 60 Mins",Calls[[#This Row],[Duration]]&lt;=120,"1 - 2 Hours",TRUE,"More than 2  Hours")</f>
        <v>1 - 2 Hours</v>
      </c>
      <c r="L204">
        <f>ROUND(Calls[[#This Row],[Satisfaction Rating]],0)</f>
        <v>4</v>
      </c>
    </row>
    <row r="205" spans="2:12" x14ac:dyDescent="0.3">
      <c r="B205" s="22" t="s">
        <v>227</v>
      </c>
      <c r="C205" s="4" t="s">
        <v>17</v>
      </c>
      <c r="D205" s="4">
        <v>56</v>
      </c>
      <c r="E205" s="5" t="s">
        <v>6</v>
      </c>
      <c r="F205" s="9">
        <v>44996</v>
      </c>
      <c r="G205" s="4">
        <v>129</v>
      </c>
      <c r="H205" s="23">
        <v>2.1</v>
      </c>
      <c r="I205">
        <f>IF(MONTH(Calls[[#This Row],[Date of Call]])&lt;6,YEAR(Calls[[#This Row],[Date of Call]]),YEAR(Calls[[#This Row],[Date of Call]])+1)</f>
        <v>2023</v>
      </c>
      <c r="J205" t="str">
        <f>TEXT(Calls[[#This Row],[Date of Call]],"DDDD")</f>
        <v>Saturday</v>
      </c>
      <c r="K205" t="str" cm="1">
        <f t="array" ref="K205">_xlfn.IFS(Calls[[#This Row],[Duration]]&lt;10,"Under 10 Mins",Calls[[#This Row],[Duration]]&lt;=30,"10 - 30 Mins",Calls[[#This Row],[Duration]]&lt;=60,"30 - 60 Mins",Calls[[#This Row],[Duration]]&lt;=120,"1 - 2 Hours",TRUE,"More than 2  Hours")</f>
        <v>30 - 60 Mins</v>
      </c>
      <c r="L205">
        <f>ROUND(Calls[[#This Row],[Satisfaction Rating]],0)</f>
        <v>2</v>
      </c>
    </row>
    <row r="206" spans="2:12" x14ac:dyDescent="0.3">
      <c r="B206" s="22" t="s">
        <v>228</v>
      </c>
      <c r="C206" s="4" t="s">
        <v>17</v>
      </c>
      <c r="D206" s="4">
        <v>63</v>
      </c>
      <c r="E206" s="5" t="s">
        <v>13</v>
      </c>
      <c r="F206" s="9">
        <v>44996</v>
      </c>
      <c r="G206" s="4">
        <v>42</v>
      </c>
      <c r="H206" s="23">
        <v>4</v>
      </c>
      <c r="I206">
        <f>IF(MONTH(Calls[[#This Row],[Date of Call]])&lt;6,YEAR(Calls[[#This Row],[Date of Call]]),YEAR(Calls[[#This Row],[Date of Call]])+1)</f>
        <v>2023</v>
      </c>
      <c r="J206" t="str">
        <f>TEXT(Calls[[#This Row],[Date of Call]],"DDDD")</f>
        <v>Saturday</v>
      </c>
      <c r="K206" t="str" cm="1">
        <f t="array" ref="K206">_xlfn.IFS(Calls[[#This Row],[Duration]]&lt;10,"Under 10 Mins",Calls[[#This Row],[Duration]]&lt;=30,"10 - 30 Mins",Calls[[#This Row],[Duration]]&lt;=60,"30 - 60 Mins",Calls[[#This Row],[Duration]]&lt;=120,"1 - 2 Hours",TRUE,"More than 2  Hours")</f>
        <v>1 - 2 Hours</v>
      </c>
      <c r="L206">
        <f>ROUND(Calls[[#This Row],[Satisfaction Rating]],0)</f>
        <v>4</v>
      </c>
    </row>
    <row r="207" spans="2:12" x14ac:dyDescent="0.3">
      <c r="B207" s="22" t="s">
        <v>229</v>
      </c>
      <c r="C207" s="4" t="s">
        <v>22</v>
      </c>
      <c r="D207" s="4">
        <v>83</v>
      </c>
      <c r="E207" s="5" t="s">
        <v>13</v>
      </c>
      <c r="F207" s="9">
        <v>44996</v>
      </c>
      <c r="G207" s="4">
        <v>42</v>
      </c>
      <c r="H207" s="23">
        <v>4.2</v>
      </c>
      <c r="I207">
        <f>IF(MONTH(Calls[[#This Row],[Date of Call]])&lt;6,YEAR(Calls[[#This Row],[Date of Call]]),YEAR(Calls[[#This Row],[Date of Call]])+1)</f>
        <v>2023</v>
      </c>
      <c r="J207" t="str">
        <f>TEXT(Calls[[#This Row],[Date of Call]],"DDDD")</f>
        <v>Saturday</v>
      </c>
      <c r="K207" t="str" cm="1">
        <f t="array" ref="K207">_xlfn.IFS(Calls[[#This Row],[Duration]]&lt;10,"Under 10 Mins",Calls[[#This Row],[Duration]]&lt;=30,"10 - 30 Mins",Calls[[#This Row],[Duration]]&lt;=60,"30 - 60 Mins",Calls[[#This Row],[Duration]]&lt;=120,"1 - 2 Hours",TRUE,"More than 2  Hours")</f>
        <v>1 - 2 Hours</v>
      </c>
      <c r="L207">
        <f>ROUND(Calls[[#This Row],[Satisfaction Rating]],0)</f>
        <v>4</v>
      </c>
    </row>
    <row r="208" spans="2:12" x14ac:dyDescent="0.3">
      <c r="B208" s="22" t="s">
        <v>230</v>
      </c>
      <c r="C208" s="4" t="s">
        <v>14</v>
      </c>
      <c r="D208" s="4">
        <v>134</v>
      </c>
      <c r="E208" s="5" t="s">
        <v>10</v>
      </c>
      <c r="F208" s="9">
        <v>44996</v>
      </c>
      <c r="G208" s="4">
        <v>180</v>
      </c>
      <c r="H208" s="23">
        <v>3.1</v>
      </c>
      <c r="I208">
        <f>IF(MONTH(Calls[[#This Row],[Date of Call]])&lt;6,YEAR(Calls[[#This Row],[Date of Call]]),YEAR(Calls[[#This Row],[Date of Call]])+1)</f>
        <v>2023</v>
      </c>
      <c r="J208" t="str">
        <f>TEXT(Calls[[#This Row],[Date of Call]],"DDDD")</f>
        <v>Saturday</v>
      </c>
      <c r="K208" t="str" cm="1">
        <f t="array" ref="K208">_xlfn.IFS(Calls[[#This Row],[Duration]]&lt;10,"Under 10 Mins",Calls[[#This Row],[Duration]]&lt;=30,"10 - 30 Mins",Calls[[#This Row],[Duration]]&lt;=60,"30 - 60 Mins",Calls[[#This Row],[Duration]]&lt;=120,"1 - 2 Hours",TRUE,"More than 2  Hours")</f>
        <v>More than 2  Hours</v>
      </c>
      <c r="L208">
        <f>ROUND(Calls[[#This Row],[Satisfaction Rating]],0)</f>
        <v>3</v>
      </c>
    </row>
    <row r="209" spans="2:12" x14ac:dyDescent="0.3">
      <c r="B209" s="22" t="s">
        <v>231</v>
      </c>
      <c r="C209" s="4" t="s">
        <v>8</v>
      </c>
      <c r="D209" s="4">
        <v>73</v>
      </c>
      <c r="E209" s="5" t="s">
        <v>13</v>
      </c>
      <c r="F209" s="9">
        <v>44997</v>
      </c>
      <c r="G209" s="4">
        <v>34</v>
      </c>
      <c r="H209" s="23">
        <v>4.8</v>
      </c>
      <c r="I209">
        <f>IF(MONTH(Calls[[#This Row],[Date of Call]])&lt;6,YEAR(Calls[[#This Row],[Date of Call]]),YEAR(Calls[[#This Row],[Date of Call]])+1)</f>
        <v>2023</v>
      </c>
      <c r="J209" t="str">
        <f>TEXT(Calls[[#This Row],[Date of Call]],"DDDD")</f>
        <v>Sunday</v>
      </c>
      <c r="K209" t="str" cm="1">
        <f t="array" ref="K209">_xlfn.IFS(Calls[[#This Row],[Duration]]&lt;10,"Under 10 Mins",Calls[[#This Row],[Duration]]&lt;=30,"10 - 30 Mins",Calls[[#This Row],[Duration]]&lt;=60,"30 - 60 Mins",Calls[[#This Row],[Duration]]&lt;=120,"1 - 2 Hours",TRUE,"More than 2  Hours")</f>
        <v>1 - 2 Hours</v>
      </c>
      <c r="L209">
        <f>ROUND(Calls[[#This Row],[Satisfaction Rating]],0)</f>
        <v>5</v>
      </c>
    </row>
    <row r="210" spans="2:12" x14ac:dyDescent="0.3">
      <c r="B210" s="22" t="s">
        <v>232</v>
      </c>
      <c r="C210" s="4" t="s">
        <v>5</v>
      </c>
      <c r="D210" s="4">
        <v>6</v>
      </c>
      <c r="E210" s="5" t="s">
        <v>6</v>
      </c>
      <c r="F210" s="9">
        <v>44997</v>
      </c>
      <c r="G210" s="4">
        <v>29</v>
      </c>
      <c r="H210" s="23">
        <v>4.7</v>
      </c>
      <c r="I210">
        <f>IF(MONTH(Calls[[#This Row],[Date of Call]])&lt;6,YEAR(Calls[[#This Row],[Date of Call]]),YEAR(Calls[[#This Row],[Date of Call]])+1)</f>
        <v>2023</v>
      </c>
      <c r="J210" t="str">
        <f>TEXT(Calls[[#This Row],[Date of Call]],"DDDD")</f>
        <v>Sunday</v>
      </c>
      <c r="K210" t="str" cm="1">
        <f t="array" ref="K210">_xlfn.IFS(Calls[[#This Row],[Duration]]&lt;10,"Under 10 Mins",Calls[[#This Row],[Duration]]&lt;=30,"10 - 30 Mins",Calls[[#This Row],[Duration]]&lt;=60,"30 - 60 Mins",Calls[[#This Row],[Duration]]&lt;=120,"1 - 2 Hours",TRUE,"More than 2  Hours")</f>
        <v>Under 10 Mins</v>
      </c>
      <c r="L210">
        <f>ROUND(Calls[[#This Row],[Satisfaction Rating]],0)</f>
        <v>5</v>
      </c>
    </row>
    <row r="211" spans="2:12" x14ac:dyDescent="0.3">
      <c r="B211" s="22" t="s">
        <v>233</v>
      </c>
      <c r="C211" s="4" t="s">
        <v>16</v>
      </c>
      <c r="D211" s="4">
        <v>46</v>
      </c>
      <c r="E211" s="5" t="s">
        <v>9</v>
      </c>
      <c r="F211" s="9">
        <v>44997</v>
      </c>
      <c r="G211" s="4">
        <v>165</v>
      </c>
      <c r="H211" s="23">
        <v>3.3</v>
      </c>
      <c r="I211">
        <f>IF(MONTH(Calls[[#This Row],[Date of Call]])&lt;6,YEAR(Calls[[#This Row],[Date of Call]]),YEAR(Calls[[#This Row],[Date of Call]])+1)</f>
        <v>2023</v>
      </c>
      <c r="J211" t="str">
        <f>TEXT(Calls[[#This Row],[Date of Call]],"DDDD")</f>
        <v>Sunday</v>
      </c>
      <c r="K211" t="str" cm="1">
        <f t="array" ref="K211">_xlfn.IFS(Calls[[#This Row],[Duration]]&lt;10,"Under 10 Mins",Calls[[#This Row],[Duration]]&lt;=30,"10 - 30 Mins",Calls[[#This Row],[Duration]]&lt;=60,"30 - 60 Mins",Calls[[#This Row],[Duration]]&lt;=120,"1 - 2 Hours",TRUE,"More than 2  Hours")</f>
        <v>30 - 60 Mins</v>
      </c>
      <c r="L211">
        <f>ROUND(Calls[[#This Row],[Satisfaction Rating]],0)</f>
        <v>3</v>
      </c>
    </row>
    <row r="212" spans="2:12" x14ac:dyDescent="0.3">
      <c r="B212" s="22" t="s">
        <v>234</v>
      </c>
      <c r="C212" s="4" t="s">
        <v>5</v>
      </c>
      <c r="D212" s="4">
        <v>121</v>
      </c>
      <c r="E212" s="5" t="s">
        <v>13</v>
      </c>
      <c r="F212" s="9">
        <v>44998</v>
      </c>
      <c r="G212" s="4">
        <v>32</v>
      </c>
      <c r="H212" s="23">
        <v>3.7</v>
      </c>
      <c r="I212">
        <f>IF(MONTH(Calls[[#This Row],[Date of Call]])&lt;6,YEAR(Calls[[#This Row],[Date of Call]]),YEAR(Calls[[#This Row],[Date of Call]])+1)</f>
        <v>2023</v>
      </c>
      <c r="J212" t="str">
        <f>TEXT(Calls[[#This Row],[Date of Call]],"DDDD")</f>
        <v>Monday</v>
      </c>
      <c r="K212" t="str" cm="1">
        <f t="array" ref="K212">_xlfn.IFS(Calls[[#This Row],[Duration]]&lt;10,"Under 10 Mins",Calls[[#This Row],[Duration]]&lt;=30,"10 - 30 Mins",Calls[[#This Row],[Duration]]&lt;=60,"30 - 60 Mins",Calls[[#This Row],[Duration]]&lt;=120,"1 - 2 Hours",TRUE,"More than 2  Hours")</f>
        <v>More than 2  Hours</v>
      </c>
      <c r="L212">
        <f>ROUND(Calls[[#This Row],[Satisfaction Rating]],0)</f>
        <v>4</v>
      </c>
    </row>
    <row r="213" spans="2:12" x14ac:dyDescent="0.3">
      <c r="B213" s="22" t="s">
        <v>235</v>
      </c>
      <c r="C213" s="4" t="s">
        <v>17</v>
      </c>
      <c r="D213" s="4">
        <v>61</v>
      </c>
      <c r="E213" s="5" t="s">
        <v>11</v>
      </c>
      <c r="F213" s="9">
        <v>44998</v>
      </c>
      <c r="G213" s="4">
        <v>160</v>
      </c>
      <c r="H213" s="23">
        <v>4.9000000000000004</v>
      </c>
      <c r="I213">
        <f>IF(MONTH(Calls[[#This Row],[Date of Call]])&lt;6,YEAR(Calls[[#This Row],[Date of Call]]),YEAR(Calls[[#This Row],[Date of Call]])+1)</f>
        <v>2023</v>
      </c>
      <c r="J213" t="str">
        <f>TEXT(Calls[[#This Row],[Date of Call]],"DDDD")</f>
        <v>Monday</v>
      </c>
      <c r="K213" t="str" cm="1">
        <f t="array" ref="K213">_xlfn.IFS(Calls[[#This Row],[Duration]]&lt;10,"Under 10 Mins",Calls[[#This Row],[Duration]]&lt;=30,"10 - 30 Mins",Calls[[#This Row],[Duration]]&lt;=60,"30 - 60 Mins",Calls[[#This Row],[Duration]]&lt;=120,"1 - 2 Hours",TRUE,"More than 2  Hours")</f>
        <v>1 - 2 Hours</v>
      </c>
      <c r="L213">
        <f>ROUND(Calls[[#This Row],[Satisfaction Rating]],0)</f>
        <v>5</v>
      </c>
    </row>
    <row r="214" spans="2:12" x14ac:dyDescent="0.3">
      <c r="B214" s="22" t="s">
        <v>236</v>
      </c>
      <c r="C214" s="4" t="s">
        <v>14</v>
      </c>
      <c r="D214" s="4">
        <v>144</v>
      </c>
      <c r="E214" s="5" t="s">
        <v>10</v>
      </c>
      <c r="F214" s="9">
        <v>44998</v>
      </c>
      <c r="G214" s="4">
        <v>140</v>
      </c>
      <c r="H214" s="23">
        <v>3.5</v>
      </c>
      <c r="I214">
        <f>IF(MONTH(Calls[[#This Row],[Date of Call]])&lt;6,YEAR(Calls[[#This Row],[Date of Call]]),YEAR(Calls[[#This Row],[Date of Call]])+1)</f>
        <v>2023</v>
      </c>
      <c r="J214" t="str">
        <f>TEXT(Calls[[#This Row],[Date of Call]],"DDDD")</f>
        <v>Monday</v>
      </c>
      <c r="K214" t="str" cm="1">
        <f t="array" ref="K214">_xlfn.IFS(Calls[[#This Row],[Duration]]&lt;10,"Under 10 Mins",Calls[[#This Row],[Duration]]&lt;=30,"10 - 30 Mins",Calls[[#This Row],[Duration]]&lt;=60,"30 - 60 Mins",Calls[[#This Row],[Duration]]&lt;=120,"1 - 2 Hours",TRUE,"More than 2  Hours")</f>
        <v>More than 2  Hours</v>
      </c>
      <c r="L214">
        <f>ROUND(Calls[[#This Row],[Satisfaction Rating]],0)</f>
        <v>4</v>
      </c>
    </row>
    <row r="215" spans="2:12" x14ac:dyDescent="0.3">
      <c r="B215" s="22" t="s">
        <v>237</v>
      </c>
      <c r="C215" s="4" t="s">
        <v>16</v>
      </c>
      <c r="D215" s="4">
        <v>145</v>
      </c>
      <c r="E215" s="5" t="s">
        <v>10</v>
      </c>
      <c r="F215" s="9">
        <v>44998</v>
      </c>
      <c r="G215" s="4">
        <v>136</v>
      </c>
      <c r="H215" s="23">
        <v>4.4000000000000004</v>
      </c>
      <c r="I215">
        <f>IF(MONTH(Calls[[#This Row],[Date of Call]])&lt;6,YEAR(Calls[[#This Row],[Date of Call]]),YEAR(Calls[[#This Row],[Date of Call]])+1)</f>
        <v>2023</v>
      </c>
      <c r="J215" t="str">
        <f>TEXT(Calls[[#This Row],[Date of Call]],"DDDD")</f>
        <v>Monday</v>
      </c>
      <c r="K215" t="str" cm="1">
        <f t="array" ref="K215">_xlfn.IFS(Calls[[#This Row],[Duration]]&lt;10,"Under 10 Mins",Calls[[#This Row],[Duration]]&lt;=30,"10 - 30 Mins",Calls[[#This Row],[Duration]]&lt;=60,"30 - 60 Mins",Calls[[#This Row],[Duration]]&lt;=120,"1 - 2 Hours",TRUE,"More than 2  Hours")</f>
        <v>More than 2  Hours</v>
      </c>
      <c r="L215">
        <f>ROUND(Calls[[#This Row],[Satisfaction Rating]],0)</f>
        <v>4</v>
      </c>
    </row>
    <row r="216" spans="2:12" x14ac:dyDescent="0.3">
      <c r="B216" s="22" t="s">
        <v>238</v>
      </c>
      <c r="C216" s="4" t="s">
        <v>23</v>
      </c>
      <c r="D216" s="4">
        <v>85</v>
      </c>
      <c r="E216" s="5" t="s">
        <v>6</v>
      </c>
      <c r="F216" s="9">
        <v>44998</v>
      </c>
      <c r="G216" s="4">
        <v>66</v>
      </c>
      <c r="H216" s="23">
        <v>2.8</v>
      </c>
      <c r="I216">
        <f>IF(MONTH(Calls[[#This Row],[Date of Call]])&lt;6,YEAR(Calls[[#This Row],[Date of Call]]),YEAR(Calls[[#This Row],[Date of Call]])+1)</f>
        <v>2023</v>
      </c>
      <c r="J216" t="str">
        <f>TEXT(Calls[[#This Row],[Date of Call]],"DDDD")</f>
        <v>Monday</v>
      </c>
      <c r="K216" t="str" cm="1">
        <f t="array" ref="K216">_xlfn.IFS(Calls[[#This Row],[Duration]]&lt;10,"Under 10 Mins",Calls[[#This Row],[Duration]]&lt;=30,"10 - 30 Mins",Calls[[#This Row],[Duration]]&lt;=60,"30 - 60 Mins",Calls[[#This Row],[Duration]]&lt;=120,"1 - 2 Hours",TRUE,"More than 2  Hours")</f>
        <v>1 - 2 Hours</v>
      </c>
      <c r="L216">
        <f>ROUND(Calls[[#This Row],[Satisfaction Rating]],0)</f>
        <v>3</v>
      </c>
    </row>
    <row r="217" spans="2:12" x14ac:dyDescent="0.3">
      <c r="B217" s="22" t="s">
        <v>239</v>
      </c>
      <c r="C217" s="4" t="s">
        <v>16</v>
      </c>
      <c r="D217" s="4">
        <v>13</v>
      </c>
      <c r="E217" s="5" t="s">
        <v>11</v>
      </c>
      <c r="F217" s="9">
        <v>44999</v>
      </c>
      <c r="G217" s="4">
        <v>63</v>
      </c>
      <c r="H217" s="23">
        <v>4.0999999999999996</v>
      </c>
      <c r="I217">
        <f>IF(MONTH(Calls[[#This Row],[Date of Call]])&lt;6,YEAR(Calls[[#This Row],[Date of Call]]),YEAR(Calls[[#This Row],[Date of Call]])+1)</f>
        <v>2023</v>
      </c>
      <c r="J217" t="str">
        <f>TEXT(Calls[[#This Row],[Date of Call]],"DDDD")</f>
        <v>Tuesday</v>
      </c>
      <c r="K217" t="str" cm="1">
        <f t="array" ref="K217">_xlfn.IFS(Calls[[#This Row],[Duration]]&lt;10,"Under 10 Mins",Calls[[#This Row],[Duration]]&lt;=30,"10 - 30 Mins",Calls[[#This Row],[Duration]]&lt;=60,"30 - 60 Mins",Calls[[#This Row],[Duration]]&lt;=120,"1 - 2 Hours",TRUE,"More than 2  Hours")</f>
        <v>10 - 30 Mins</v>
      </c>
      <c r="L217">
        <f>ROUND(Calls[[#This Row],[Satisfaction Rating]],0)</f>
        <v>4</v>
      </c>
    </row>
    <row r="218" spans="2:12" x14ac:dyDescent="0.3">
      <c r="B218" s="22" t="s">
        <v>240</v>
      </c>
      <c r="C218" s="4" t="s">
        <v>20</v>
      </c>
      <c r="D218" s="4">
        <v>142</v>
      </c>
      <c r="E218" s="5" t="s">
        <v>13</v>
      </c>
      <c r="F218" s="9">
        <v>44999</v>
      </c>
      <c r="G218" s="4">
        <v>44</v>
      </c>
      <c r="H218" s="23">
        <v>3.5</v>
      </c>
      <c r="I218">
        <f>IF(MONTH(Calls[[#This Row],[Date of Call]])&lt;6,YEAR(Calls[[#This Row],[Date of Call]]),YEAR(Calls[[#This Row],[Date of Call]])+1)</f>
        <v>2023</v>
      </c>
      <c r="J218" t="str">
        <f>TEXT(Calls[[#This Row],[Date of Call]],"DDDD")</f>
        <v>Tuesday</v>
      </c>
      <c r="K218" t="str" cm="1">
        <f t="array" ref="K218">_xlfn.IFS(Calls[[#This Row],[Duration]]&lt;10,"Under 10 Mins",Calls[[#This Row],[Duration]]&lt;=30,"10 - 30 Mins",Calls[[#This Row],[Duration]]&lt;=60,"30 - 60 Mins",Calls[[#This Row],[Duration]]&lt;=120,"1 - 2 Hours",TRUE,"More than 2  Hours")</f>
        <v>More than 2  Hours</v>
      </c>
      <c r="L218">
        <f>ROUND(Calls[[#This Row],[Satisfaction Rating]],0)</f>
        <v>4</v>
      </c>
    </row>
    <row r="219" spans="2:12" x14ac:dyDescent="0.3">
      <c r="B219" s="22" t="s">
        <v>241</v>
      </c>
      <c r="C219" s="4" t="s">
        <v>14</v>
      </c>
      <c r="D219" s="4">
        <v>28</v>
      </c>
      <c r="E219" s="5" t="s">
        <v>9</v>
      </c>
      <c r="F219" s="9">
        <v>44999</v>
      </c>
      <c r="G219" s="4">
        <v>78</v>
      </c>
      <c r="H219" s="23">
        <v>3.8</v>
      </c>
      <c r="I219">
        <f>IF(MONTH(Calls[[#This Row],[Date of Call]])&lt;6,YEAR(Calls[[#This Row],[Date of Call]]),YEAR(Calls[[#This Row],[Date of Call]])+1)</f>
        <v>2023</v>
      </c>
      <c r="J219" t="str">
        <f>TEXT(Calls[[#This Row],[Date of Call]],"DDDD")</f>
        <v>Tuesday</v>
      </c>
      <c r="K219" t="str" cm="1">
        <f t="array" ref="K219">_xlfn.IFS(Calls[[#This Row],[Duration]]&lt;10,"Under 10 Mins",Calls[[#This Row],[Duration]]&lt;=30,"10 - 30 Mins",Calls[[#This Row],[Duration]]&lt;=60,"30 - 60 Mins",Calls[[#This Row],[Duration]]&lt;=120,"1 - 2 Hours",TRUE,"More than 2  Hours")</f>
        <v>10 - 30 Mins</v>
      </c>
      <c r="L219">
        <f>ROUND(Calls[[#This Row],[Satisfaction Rating]],0)</f>
        <v>4</v>
      </c>
    </row>
    <row r="220" spans="2:12" x14ac:dyDescent="0.3">
      <c r="B220" s="22" t="s">
        <v>242</v>
      </c>
      <c r="C220" s="4" t="s">
        <v>14</v>
      </c>
      <c r="D220" s="4">
        <v>119</v>
      </c>
      <c r="E220" s="5" t="s">
        <v>13</v>
      </c>
      <c r="F220" s="9">
        <v>44999</v>
      </c>
      <c r="G220" s="4">
        <v>20</v>
      </c>
      <c r="H220" s="23">
        <v>3.9</v>
      </c>
      <c r="I220">
        <f>IF(MONTH(Calls[[#This Row],[Date of Call]])&lt;6,YEAR(Calls[[#This Row],[Date of Call]]),YEAR(Calls[[#This Row],[Date of Call]])+1)</f>
        <v>2023</v>
      </c>
      <c r="J220" t="str">
        <f>TEXT(Calls[[#This Row],[Date of Call]],"DDDD")</f>
        <v>Tuesday</v>
      </c>
      <c r="K220" t="str" cm="1">
        <f t="array" ref="K220">_xlfn.IFS(Calls[[#This Row],[Duration]]&lt;10,"Under 10 Mins",Calls[[#This Row],[Duration]]&lt;=30,"10 - 30 Mins",Calls[[#This Row],[Duration]]&lt;=60,"30 - 60 Mins",Calls[[#This Row],[Duration]]&lt;=120,"1 - 2 Hours",TRUE,"More than 2  Hours")</f>
        <v>1 - 2 Hours</v>
      </c>
      <c r="L220">
        <f>ROUND(Calls[[#This Row],[Satisfaction Rating]],0)</f>
        <v>4</v>
      </c>
    </row>
    <row r="221" spans="2:12" x14ac:dyDescent="0.3">
      <c r="B221" s="22" t="s">
        <v>243</v>
      </c>
      <c r="C221" s="4" t="s">
        <v>5</v>
      </c>
      <c r="D221" s="4">
        <v>65</v>
      </c>
      <c r="E221" s="5" t="s">
        <v>6</v>
      </c>
      <c r="F221" s="9">
        <v>44999</v>
      </c>
      <c r="G221" s="4">
        <v>84</v>
      </c>
      <c r="H221" s="23">
        <v>2.5</v>
      </c>
      <c r="I221">
        <f>IF(MONTH(Calls[[#This Row],[Date of Call]])&lt;6,YEAR(Calls[[#This Row],[Date of Call]]),YEAR(Calls[[#This Row],[Date of Call]])+1)</f>
        <v>2023</v>
      </c>
      <c r="J221" t="str">
        <f>TEXT(Calls[[#This Row],[Date of Call]],"DDDD")</f>
        <v>Tuesday</v>
      </c>
      <c r="K221" t="str" cm="1">
        <f t="array" ref="K221">_xlfn.IFS(Calls[[#This Row],[Duration]]&lt;10,"Under 10 Mins",Calls[[#This Row],[Duration]]&lt;=30,"10 - 30 Mins",Calls[[#This Row],[Duration]]&lt;=60,"30 - 60 Mins",Calls[[#This Row],[Duration]]&lt;=120,"1 - 2 Hours",TRUE,"More than 2  Hours")</f>
        <v>1 - 2 Hours</v>
      </c>
      <c r="L221">
        <f>ROUND(Calls[[#This Row],[Satisfaction Rating]],0)</f>
        <v>3</v>
      </c>
    </row>
    <row r="222" spans="2:12" x14ac:dyDescent="0.3">
      <c r="B222" s="22" t="s">
        <v>244</v>
      </c>
      <c r="C222" s="4" t="s">
        <v>24</v>
      </c>
      <c r="D222" s="4">
        <v>68</v>
      </c>
      <c r="E222" s="5" t="s">
        <v>6</v>
      </c>
      <c r="F222" s="9">
        <v>44999</v>
      </c>
      <c r="G222" s="4">
        <v>32</v>
      </c>
      <c r="H222" s="23">
        <v>4.9000000000000004</v>
      </c>
      <c r="I222">
        <f>IF(MONTH(Calls[[#This Row],[Date of Call]])&lt;6,YEAR(Calls[[#This Row],[Date of Call]]),YEAR(Calls[[#This Row],[Date of Call]])+1)</f>
        <v>2023</v>
      </c>
      <c r="J222" t="str">
        <f>TEXT(Calls[[#This Row],[Date of Call]],"DDDD")</f>
        <v>Tuesday</v>
      </c>
      <c r="K222" t="str" cm="1">
        <f t="array" ref="K222">_xlfn.IFS(Calls[[#This Row],[Duration]]&lt;10,"Under 10 Mins",Calls[[#This Row],[Duration]]&lt;=30,"10 - 30 Mins",Calls[[#This Row],[Duration]]&lt;=60,"30 - 60 Mins",Calls[[#This Row],[Duration]]&lt;=120,"1 - 2 Hours",TRUE,"More than 2  Hours")</f>
        <v>1 - 2 Hours</v>
      </c>
      <c r="L222">
        <f>ROUND(Calls[[#This Row],[Satisfaction Rating]],0)</f>
        <v>5</v>
      </c>
    </row>
    <row r="223" spans="2:12" x14ac:dyDescent="0.3">
      <c r="B223" s="22" t="s">
        <v>245</v>
      </c>
      <c r="C223" s="4" t="s">
        <v>22</v>
      </c>
      <c r="D223" s="4">
        <v>72</v>
      </c>
      <c r="E223" s="5" t="s">
        <v>9</v>
      </c>
      <c r="F223" s="9">
        <v>44999</v>
      </c>
      <c r="G223" s="4">
        <v>132</v>
      </c>
      <c r="H223" s="23">
        <v>3.4</v>
      </c>
      <c r="I223">
        <f>IF(MONTH(Calls[[#This Row],[Date of Call]])&lt;6,YEAR(Calls[[#This Row],[Date of Call]]),YEAR(Calls[[#This Row],[Date of Call]])+1)</f>
        <v>2023</v>
      </c>
      <c r="J223" t="str">
        <f>TEXT(Calls[[#This Row],[Date of Call]],"DDDD")</f>
        <v>Tuesday</v>
      </c>
      <c r="K223" t="str" cm="1">
        <f t="array" ref="K223">_xlfn.IFS(Calls[[#This Row],[Duration]]&lt;10,"Under 10 Mins",Calls[[#This Row],[Duration]]&lt;=30,"10 - 30 Mins",Calls[[#This Row],[Duration]]&lt;=60,"30 - 60 Mins",Calls[[#This Row],[Duration]]&lt;=120,"1 - 2 Hours",TRUE,"More than 2  Hours")</f>
        <v>1 - 2 Hours</v>
      </c>
      <c r="L223">
        <f>ROUND(Calls[[#This Row],[Satisfaction Rating]],0)</f>
        <v>3</v>
      </c>
    </row>
    <row r="224" spans="2:12" x14ac:dyDescent="0.3">
      <c r="B224" s="22" t="s">
        <v>246</v>
      </c>
      <c r="C224" s="4" t="s">
        <v>22</v>
      </c>
      <c r="D224" s="4">
        <v>63</v>
      </c>
      <c r="E224" s="5" t="s">
        <v>10</v>
      </c>
      <c r="F224" s="9">
        <v>44999</v>
      </c>
      <c r="G224" s="4">
        <v>105</v>
      </c>
      <c r="H224" s="23">
        <v>3.3</v>
      </c>
      <c r="I224">
        <f>IF(MONTH(Calls[[#This Row],[Date of Call]])&lt;6,YEAR(Calls[[#This Row],[Date of Call]]),YEAR(Calls[[#This Row],[Date of Call]])+1)</f>
        <v>2023</v>
      </c>
      <c r="J224" t="str">
        <f>TEXT(Calls[[#This Row],[Date of Call]],"DDDD")</f>
        <v>Tuesday</v>
      </c>
      <c r="K224" t="str" cm="1">
        <f t="array" ref="K224">_xlfn.IFS(Calls[[#This Row],[Duration]]&lt;10,"Under 10 Mins",Calls[[#This Row],[Duration]]&lt;=30,"10 - 30 Mins",Calls[[#This Row],[Duration]]&lt;=60,"30 - 60 Mins",Calls[[#This Row],[Duration]]&lt;=120,"1 - 2 Hours",TRUE,"More than 2  Hours")</f>
        <v>1 - 2 Hours</v>
      </c>
      <c r="L224">
        <f>ROUND(Calls[[#This Row],[Satisfaction Rating]],0)</f>
        <v>3</v>
      </c>
    </row>
    <row r="225" spans="2:12" x14ac:dyDescent="0.3">
      <c r="B225" s="22" t="s">
        <v>247</v>
      </c>
      <c r="C225" s="4" t="s">
        <v>12</v>
      </c>
      <c r="D225" s="4">
        <v>139</v>
      </c>
      <c r="E225" s="5" t="s">
        <v>13</v>
      </c>
      <c r="F225" s="9">
        <v>45000</v>
      </c>
      <c r="G225" s="4">
        <v>48</v>
      </c>
      <c r="H225" s="23">
        <v>4.7</v>
      </c>
      <c r="I225">
        <f>IF(MONTH(Calls[[#This Row],[Date of Call]])&lt;6,YEAR(Calls[[#This Row],[Date of Call]]),YEAR(Calls[[#This Row],[Date of Call]])+1)</f>
        <v>2023</v>
      </c>
      <c r="J225" t="str">
        <f>TEXT(Calls[[#This Row],[Date of Call]],"DDDD")</f>
        <v>Wednesday</v>
      </c>
      <c r="K225" t="str" cm="1">
        <f t="array" ref="K225">_xlfn.IFS(Calls[[#This Row],[Duration]]&lt;10,"Under 10 Mins",Calls[[#This Row],[Duration]]&lt;=30,"10 - 30 Mins",Calls[[#This Row],[Duration]]&lt;=60,"30 - 60 Mins",Calls[[#This Row],[Duration]]&lt;=120,"1 - 2 Hours",TRUE,"More than 2  Hours")</f>
        <v>More than 2  Hours</v>
      </c>
      <c r="L225">
        <f>ROUND(Calls[[#This Row],[Satisfaction Rating]],0)</f>
        <v>5</v>
      </c>
    </row>
    <row r="226" spans="2:12" x14ac:dyDescent="0.3">
      <c r="B226" s="22" t="s">
        <v>248</v>
      </c>
      <c r="C226" s="4" t="s">
        <v>14</v>
      </c>
      <c r="D226" s="4">
        <v>59</v>
      </c>
      <c r="E226" s="5" t="s">
        <v>13</v>
      </c>
      <c r="F226" s="9">
        <v>45000</v>
      </c>
      <c r="G226" s="4">
        <v>64</v>
      </c>
      <c r="H226" s="23">
        <v>4</v>
      </c>
      <c r="I226">
        <f>IF(MONTH(Calls[[#This Row],[Date of Call]])&lt;6,YEAR(Calls[[#This Row],[Date of Call]]),YEAR(Calls[[#This Row],[Date of Call]])+1)</f>
        <v>2023</v>
      </c>
      <c r="J226" t="str">
        <f>TEXT(Calls[[#This Row],[Date of Call]],"DDDD")</f>
        <v>Wednesday</v>
      </c>
      <c r="K226" t="str" cm="1">
        <f t="array" ref="K226">_xlfn.IFS(Calls[[#This Row],[Duration]]&lt;10,"Under 10 Mins",Calls[[#This Row],[Duration]]&lt;=30,"10 - 30 Mins",Calls[[#This Row],[Duration]]&lt;=60,"30 - 60 Mins",Calls[[#This Row],[Duration]]&lt;=120,"1 - 2 Hours",TRUE,"More than 2  Hours")</f>
        <v>30 - 60 Mins</v>
      </c>
      <c r="L226">
        <f>ROUND(Calls[[#This Row],[Satisfaction Rating]],0)</f>
        <v>4</v>
      </c>
    </row>
    <row r="227" spans="2:12" x14ac:dyDescent="0.3">
      <c r="B227" s="22" t="s">
        <v>249</v>
      </c>
      <c r="C227" s="4" t="s">
        <v>7</v>
      </c>
      <c r="D227" s="4">
        <v>138</v>
      </c>
      <c r="E227" s="5" t="s">
        <v>10</v>
      </c>
      <c r="F227" s="9">
        <v>45000</v>
      </c>
      <c r="G227" s="4">
        <v>44</v>
      </c>
      <c r="H227" s="23">
        <v>3.8</v>
      </c>
      <c r="I227">
        <f>IF(MONTH(Calls[[#This Row],[Date of Call]])&lt;6,YEAR(Calls[[#This Row],[Date of Call]]),YEAR(Calls[[#This Row],[Date of Call]])+1)</f>
        <v>2023</v>
      </c>
      <c r="J227" t="str">
        <f>TEXT(Calls[[#This Row],[Date of Call]],"DDDD")</f>
        <v>Wednesday</v>
      </c>
      <c r="K227" t="str" cm="1">
        <f t="array" ref="K227">_xlfn.IFS(Calls[[#This Row],[Duration]]&lt;10,"Under 10 Mins",Calls[[#This Row],[Duration]]&lt;=30,"10 - 30 Mins",Calls[[#This Row],[Duration]]&lt;=60,"30 - 60 Mins",Calls[[#This Row],[Duration]]&lt;=120,"1 - 2 Hours",TRUE,"More than 2  Hours")</f>
        <v>More than 2  Hours</v>
      </c>
      <c r="L227">
        <f>ROUND(Calls[[#This Row],[Satisfaction Rating]],0)</f>
        <v>4</v>
      </c>
    </row>
    <row r="228" spans="2:12" x14ac:dyDescent="0.3">
      <c r="B228" s="22" t="s">
        <v>250</v>
      </c>
      <c r="C228" s="4" t="s">
        <v>12</v>
      </c>
      <c r="D228" s="4">
        <v>47</v>
      </c>
      <c r="E228" s="5" t="s">
        <v>9</v>
      </c>
      <c r="F228" s="9">
        <v>45000</v>
      </c>
      <c r="G228" s="4">
        <v>120</v>
      </c>
      <c r="H228" s="23">
        <v>3.1</v>
      </c>
      <c r="I228">
        <f>IF(MONTH(Calls[[#This Row],[Date of Call]])&lt;6,YEAR(Calls[[#This Row],[Date of Call]]),YEAR(Calls[[#This Row],[Date of Call]])+1)</f>
        <v>2023</v>
      </c>
      <c r="J228" t="str">
        <f>TEXT(Calls[[#This Row],[Date of Call]],"DDDD")</f>
        <v>Wednesday</v>
      </c>
      <c r="K228" t="str" cm="1">
        <f t="array" ref="K228">_xlfn.IFS(Calls[[#This Row],[Duration]]&lt;10,"Under 10 Mins",Calls[[#This Row],[Duration]]&lt;=30,"10 - 30 Mins",Calls[[#This Row],[Duration]]&lt;=60,"30 - 60 Mins",Calls[[#This Row],[Duration]]&lt;=120,"1 - 2 Hours",TRUE,"More than 2  Hours")</f>
        <v>30 - 60 Mins</v>
      </c>
      <c r="L228">
        <f>ROUND(Calls[[#This Row],[Satisfaction Rating]],0)</f>
        <v>3</v>
      </c>
    </row>
    <row r="229" spans="2:12" x14ac:dyDescent="0.3">
      <c r="B229" s="22" t="s">
        <v>251</v>
      </c>
      <c r="C229" s="4" t="s">
        <v>7</v>
      </c>
      <c r="D229" s="4">
        <v>74</v>
      </c>
      <c r="E229" s="5" t="s">
        <v>9</v>
      </c>
      <c r="F229" s="9">
        <v>45000</v>
      </c>
      <c r="G229" s="4">
        <v>144</v>
      </c>
      <c r="H229" s="23">
        <v>4.8</v>
      </c>
      <c r="I229">
        <f>IF(MONTH(Calls[[#This Row],[Date of Call]])&lt;6,YEAR(Calls[[#This Row],[Date of Call]]),YEAR(Calls[[#This Row],[Date of Call]])+1)</f>
        <v>2023</v>
      </c>
      <c r="J229" t="str">
        <f>TEXT(Calls[[#This Row],[Date of Call]],"DDDD")</f>
        <v>Wednesday</v>
      </c>
      <c r="K229" t="str" cm="1">
        <f t="array" ref="K229">_xlfn.IFS(Calls[[#This Row],[Duration]]&lt;10,"Under 10 Mins",Calls[[#This Row],[Duration]]&lt;=30,"10 - 30 Mins",Calls[[#This Row],[Duration]]&lt;=60,"30 - 60 Mins",Calls[[#This Row],[Duration]]&lt;=120,"1 - 2 Hours",TRUE,"More than 2  Hours")</f>
        <v>1 - 2 Hours</v>
      </c>
      <c r="L229">
        <f>ROUND(Calls[[#This Row],[Satisfaction Rating]],0)</f>
        <v>5</v>
      </c>
    </row>
    <row r="230" spans="2:12" x14ac:dyDescent="0.3">
      <c r="B230" s="22" t="s">
        <v>252</v>
      </c>
      <c r="C230" s="4" t="s">
        <v>22</v>
      </c>
      <c r="D230" s="4">
        <v>65</v>
      </c>
      <c r="E230" s="5" t="s">
        <v>9</v>
      </c>
      <c r="F230" s="9">
        <v>45000</v>
      </c>
      <c r="G230" s="4">
        <v>87</v>
      </c>
      <c r="H230" s="23">
        <v>2.7</v>
      </c>
      <c r="I230">
        <f>IF(MONTH(Calls[[#This Row],[Date of Call]])&lt;6,YEAR(Calls[[#This Row],[Date of Call]]),YEAR(Calls[[#This Row],[Date of Call]])+1)</f>
        <v>2023</v>
      </c>
      <c r="J230" t="str">
        <f>TEXT(Calls[[#This Row],[Date of Call]],"DDDD")</f>
        <v>Wednesday</v>
      </c>
      <c r="K230" t="str" cm="1">
        <f t="array" ref="K230">_xlfn.IFS(Calls[[#This Row],[Duration]]&lt;10,"Under 10 Mins",Calls[[#This Row],[Duration]]&lt;=30,"10 - 30 Mins",Calls[[#This Row],[Duration]]&lt;=60,"30 - 60 Mins",Calls[[#This Row],[Duration]]&lt;=120,"1 - 2 Hours",TRUE,"More than 2  Hours")</f>
        <v>1 - 2 Hours</v>
      </c>
      <c r="L230">
        <f>ROUND(Calls[[#This Row],[Satisfaction Rating]],0)</f>
        <v>3</v>
      </c>
    </row>
    <row r="231" spans="2:12" x14ac:dyDescent="0.3">
      <c r="B231" s="22" t="s">
        <v>253</v>
      </c>
      <c r="C231" s="4" t="s">
        <v>8</v>
      </c>
      <c r="D231" s="4">
        <v>123</v>
      </c>
      <c r="E231" s="5" t="s">
        <v>6</v>
      </c>
      <c r="F231" s="9">
        <v>45000</v>
      </c>
      <c r="G231" s="4">
        <v>36</v>
      </c>
      <c r="H231" s="23">
        <v>3.6</v>
      </c>
      <c r="I231">
        <f>IF(MONTH(Calls[[#This Row],[Date of Call]])&lt;6,YEAR(Calls[[#This Row],[Date of Call]]),YEAR(Calls[[#This Row],[Date of Call]])+1)</f>
        <v>2023</v>
      </c>
      <c r="J231" t="str">
        <f>TEXT(Calls[[#This Row],[Date of Call]],"DDDD")</f>
        <v>Wednesday</v>
      </c>
      <c r="K231" t="str" cm="1">
        <f t="array" ref="K231">_xlfn.IFS(Calls[[#This Row],[Duration]]&lt;10,"Under 10 Mins",Calls[[#This Row],[Duration]]&lt;=30,"10 - 30 Mins",Calls[[#This Row],[Duration]]&lt;=60,"30 - 60 Mins",Calls[[#This Row],[Duration]]&lt;=120,"1 - 2 Hours",TRUE,"More than 2  Hours")</f>
        <v>More than 2  Hours</v>
      </c>
      <c r="L231">
        <f>ROUND(Calls[[#This Row],[Satisfaction Rating]],0)</f>
        <v>4</v>
      </c>
    </row>
    <row r="232" spans="2:12" x14ac:dyDescent="0.3">
      <c r="B232" s="22" t="s">
        <v>254</v>
      </c>
      <c r="C232" s="4" t="s">
        <v>22</v>
      </c>
      <c r="D232" s="4">
        <v>90</v>
      </c>
      <c r="E232" s="5" t="s">
        <v>13</v>
      </c>
      <c r="F232" s="9">
        <v>45001</v>
      </c>
      <c r="G232" s="4">
        <v>72</v>
      </c>
      <c r="H232" s="23">
        <v>4.7</v>
      </c>
      <c r="I232">
        <f>IF(MONTH(Calls[[#This Row],[Date of Call]])&lt;6,YEAR(Calls[[#This Row],[Date of Call]]),YEAR(Calls[[#This Row],[Date of Call]])+1)</f>
        <v>2023</v>
      </c>
      <c r="J232" t="str">
        <f>TEXT(Calls[[#This Row],[Date of Call]],"DDDD")</f>
        <v>Thursday</v>
      </c>
      <c r="K232" t="str" cm="1">
        <f t="array" ref="K232">_xlfn.IFS(Calls[[#This Row],[Duration]]&lt;10,"Under 10 Mins",Calls[[#This Row],[Duration]]&lt;=30,"10 - 30 Mins",Calls[[#This Row],[Duration]]&lt;=60,"30 - 60 Mins",Calls[[#This Row],[Duration]]&lt;=120,"1 - 2 Hours",TRUE,"More than 2  Hours")</f>
        <v>1 - 2 Hours</v>
      </c>
      <c r="L232">
        <f>ROUND(Calls[[#This Row],[Satisfaction Rating]],0)</f>
        <v>5</v>
      </c>
    </row>
    <row r="233" spans="2:12" x14ac:dyDescent="0.3">
      <c r="B233" s="22" t="s">
        <v>255</v>
      </c>
      <c r="C233" s="4" t="s">
        <v>17</v>
      </c>
      <c r="D233" s="4">
        <v>127</v>
      </c>
      <c r="E233" s="5" t="s">
        <v>10</v>
      </c>
      <c r="F233" s="9">
        <v>45001</v>
      </c>
      <c r="G233" s="4">
        <v>150</v>
      </c>
      <c r="H233" s="23">
        <v>4.4000000000000004</v>
      </c>
      <c r="I233">
        <f>IF(MONTH(Calls[[#This Row],[Date of Call]])&lt;6,YEAR(Calls[[#This Row],[Date of Call]]),YEAR(Calls[[#This Row],[Date of Call]])+1)</f>
        <v>2023</v>
      </c>
      <c r="J233" t="str">
        <f>TEXT(Calls[[#This Row],[Date of Call]],"DDDD")</f>
        <v>Thursday</v>
      </c>
      <c r="K233" t="str" cm="1">
        <f t="array" ref="K233">_xlfn.IFS(Calls[[#This Row],[Duration]]&lt;10,"Under 10 Mins",Calls[[#This Row],[Duration]]&lt;=30,"10 - 30 Mins",Calls[[#This Row],[Duration]]&lt;=60,"30 - 60 Mins",Calls[[#This Row],[Duration]]&lt;=120,"1 - 2 Hours",TRUE,"More than 2  Hours")</f>
        <v>More than 2  Hours</v>
      </c>
      <c r="L233">
        <f>ROUND(Calls[[#This Row],[Satisfaction Rating]],0)</f>
        <v>4</v>
      </c>
    </row>
    <row r="234" spans="2:12" x14ac:dyDescent="0.3">
      <c r="B234" s="22" t="s">
        <v>256</v>
      </c>
      <c r="C234" s="4" t="s">
        <v>21</v>
      </c>
      <c r="D234" s="4">
        <v>60</v>
      </c>
      <c r="E234" s="5" t="s">
        <v>9</v>
      </c>
      <c r="F234" s="9">
        <v>45001</v>
      </c>
      <c r="G234" s="4">
        <v>68</v>
      </c>
      <c r="H234" s="23">
        <v>4.3</v>
      </c>
      <c r="I234">
        <f>IF(MONTH(Calls[[#This Row],[Date of Call]])&lt;6,YEAR(Calls[[#This Row],[Date of Call]]),YEAR(Calls[[#This Row],[Date of Call]])+1)</f>
        <v>2023</v>
      </c>
      <c r="J234" t="str">
        <f>TEXT(Calls[[#This Row],[Date of Call]],"DDDD")</f>
        <v>Thursday</v>
      </c>
      <c r="K234" t="str" cm="1">
        <f t="array" ref="K234">_xlfn.IFS(Calls[[#This Row],[Duration]]&lt;10,"Under 10 Mins",Calls[[#This Row],[Duration]]&lt;=30,"10 - 30 Mins",Calls[[#This Row],[Duration]]&lt;=60,"30 - 60 Mins",Calls[[#This Row],[Duration]]&lt;=120,"1 - 2 Hours",TRUE,"More than 2  Hours")</f>
        <v>30 - 60 Mins</v>
      </c>
      <c r="L234">
        <f>ROUND(Calls[[#This Row],[Satisfaction Rating]],0)</f>
        <v>4</v>
      </c>
    </row>
    <row r="235" spans="2:12" x14ac:dyDescent="0.3">
      <c r="B235" s="22" t="s">
        <v>257</v>
      </c>
      <c r="C235" s="4" t="s">
        <v>12</v>
      </c>
      <c r="D235" s="4">
        <v>94</v>
      </c>
      <c r="E235" s="5" t="s">
        <v>10</v>
      </c>
      <c r="F235" s="9">
        <v>45001</v>
      </c>
      <c r="G235" s="4">
        <v>99</v>
      </c>
      <c r="H235" s="23">
        <v>4.9000000000000004</v>
      </c>
      <c r="I235">
        <f>IF(MONTH(Calls[[#This Row],[Date of Call]])&lt;6,YEAR(Calls[[#This Row],[Date of Call]]),YEAR(Calls[[#This Row],[Date of Call]])+1)</f>
        <v>2023</v>
      </c>
      <c r="J235" t="str">
        <f>TEXT(Calls[[#This Row],[Date of Call]],"DDDD")</f>
        <v>Thursday</v>
      </c>
      <c r="K235" t="str" cm="1">
        <f t="array" ref="K235">_xlfn.IFS(Calls[[#This Row],[Duration]]&lt;10,"Under 10 Mins",Calls[[#This Row],[Duration]]&lt;=30,"10 - 30 Mins",Calls[[#This Row],[Duration]]&lt;=60,"30 - 60 Mins",Calls[[#This Row],[Duration]]&lt;=120,"1 - 2 Hours",TRUE,"More than 2  Hours")</f>
        <v>1 - 2 Hours</v>
      </c>
      <c r="L235">
        <f>ROUND(Calls[[#This Row],[Satisfaction Rating]],0)</f>
        <v>5</v>
      </c>
    </row>
    <row r="236" spans="2:12" x14ac:dyDescent="0.3">
      <c r="B236" s="22" t="s">
        <v>258</v>
      </c>
      <c r="C236" s="4" t="s">
        <v>8</v>
      </c>
      <c r="D236" s="4">
        <v>54</v>
      </c>
      <c r="E236" s="5" t="s">
        <v>9</v>
      </c>
      <c r="F236" s="9">
        <v>45001</v>
      </c>
      <c r="G236" s="4">
        <v>26</v>
      </c>
      <c r="H236" s="23">
        <v>4.8</v>
      </c>
      <c r="I236">
        <f>IF(MONTH(Calls[[#This Row],[Date of Call]])&lt;6,YEAR(Calls[[#This Row],[Date of Call]]),YEAR(Calls[[#This Row],[Date of Call]])+1)</f>
        <v>2023</v>
      </c>
      <c r="J236" t="str">
        <f>TEXT(Calls[[#This Row],[Date of Call]],"DDDD")</f>
        <v>Thursday</v>
      </c>
      <c r="K236" t="str" cm="1">
        <f t="array" ref="K236">_xlfn.IFS(Calls[[#This Row],[Duration]]&lt;10,"Under 10 Mins",Calls[[#This Row],[Duration]]&lt;=30,"10 - 30 Mins",Calls[[#This Row],[Duration]]&lt;=60,"30 - 60 Mins",Calls[[#This Row],[Duration]]&lt;=120,"1 - 2 Hours",TRUE,"More than 2  Hours")</f>
        <v>30 - 60 Mins</v>
      </c>
      <c r="L236">
        <f>ROUND(Calls[[#This Row],[Satisfaction Rating]],0)</f>
        <v>5</v>
      </c>
    </row>
    <row r="237" spans="2:12" x14ac:dyDescent="0.3">
      <c r="B237" s="22" t="s">
        <v>259</v>
      </c>
      <c r="C237" s="4" t="s">
        <v>22</v>
      </c>
      <c r="D237" s="4">
        <v>104</v>
      </c>
      <c r="E237" s="5" t="s">
        <v>9</v>
      </c>
      <c r="F237" s="9">
        <v>45001</v>
      </c>
      <c r="G237" s="4">
        <v>88</v>
      </c>
      <c r="H237" s="23">
        <v>3.2</v>
      </c>
      <c r="I237">
        <f>IF(MONTH(Calls[[#This Row],[Date of Call]])&lt;6,YEAR(Calls[[#This Row],[Date of Call]]),YEAR(Calls[[#This Row],[Date of Call]])+1)</f>
        <v>2023</v>
      </c>
      <c r="J237" t="str">
        <f>TEXT(Calls[[#This Row],[Date of Call]],"DDDD")</f>
        <v>Thursday</v>
      </c>
      <c r="K237" t="str" cm="1">
        <f t="array" ref="K237">_xlfn.IFS(Calls[[#This Row],[Duration]]&lt;10,"Under 10 Mins",Calls[[#This Row],[Duration]]&lt;=30,"10 - 30 Mins",Calls[[#This Row],[Duration]]&lt;=60,"30 - 60 Mins",Calls[[#This Row],[Duration]]&lt;=120,"1 - 2 Hours",TRUE,"More than 2  Hours")</f>
        <v>1 - 2 Hours</v>
      </c>
      <c r="L237">
        <f>ROUND(Calls[[#This Row],[Satisfaction Rating]],0)</f>
        <v>3</v>
      </c>
    </row>
    <row r="238" spans="2:12" x14ac:dyDescent="0.3">
      <c r="B238" s="22" t="s">
        <v>260</v>
      </c>
      <c r="C238" s="4" t="s">
        <v>15</v>
      </c>
      <c r="D238" s="4">
        <v>100</v>
      </c>
      <c r="E238" s="5" t="s">
        <v>9</v>
      </c>
      <c r="F238" s="9">
        <v>45001</v>
      </c>
      <c r="G238" s="4">
        <v>124</v>
      </c>
      <c r="H238" s="23">
        <v>3.4</v>
      </c>
      <c r="I238">
        <f>IF(MONTH(Calls[[#This Row],[Date of Call]])&lt;6,YEAR(Calls[[#This Row],[Date of Call]]),YEAR(Calls[[#This Row],[Date of Call]])+1)</f>
        <v>2023</v>
      </c>
      <c r="J238" t="str">
        <f>TEXT(Calls[[#This Row],[Date of Call]],"DDDD")</f>
        <v>Thursday</v>
      </c>
      <c r="K238" t="str" cm="1">
        <f t="array" ref="K238">_xlfn.IFS(Calls[[#This Row],[Duration]]&lt;10,"Under 10 Mins",Calls[[#This Row],[Duration]]&lt;=30,"10 - 30 Mins",Calls[[#This Row],[Duration]]&lt;=60,"30 - 60 Mins",Calls[[#This Row],[Duration]]&lt;=120,"1 - 2 Hours",TRUE,"More than 2  Hours")</f>
        <v>1 - 2 Hours</v>
      </c>
      <c r="L238">
        <f>ROUND(Calls[[#This Row],[Satisfaction Rating]],0)</f>
        <v>3</v>
      </c>
    </row>
    <row r="239" spans="2:12" x14ac:dyDescent="0.3">
      <c r="B239" s="22" t="s">
        <v>261</v>
      </c>
      <c r="C239" s="4" t="s">
        <v>7</v>
      </c>
      <c r="D239" s="4">
        <v>84</v>
      </c>
      <c r="E239" s="5" t="s">
        <v>9</v>
      </c>
      <c r="F239" s="9">
        <v>45001</v>
      </c>
      <c r="G239" s="4">
        <v>72</v>
      </c>
      <c r="H239" s="23">
        <v>3.5</v>
      </c>
      <c r="I239">
        <f>IF(MONTH(Calls[[#This Row],[Date of Call]])&lt;6,YEAR(Calls[[#This Row],[Date of Call]]),YEAR(Calls[[#This Row],[Date of Call]])+1)</f>
        <v>2023</v>
      </c>
      <c r="J239" t="str">
        <f>TEXT(Calls[[#This Row],[Date of Call]],"DDDD")</f>
        <v>Thursday</v>
      </c>
      <c r="K239" t="str" cm="1">
        <f t="array" ref="K239">_xlfn.IFS(Calls[[#This Row],[Duration]]&lt;10,"Under 10 Mins",Calls[[#This Row],[Duration]]&lt;=30,"10 - 30 Mins",Calls[[#This Row],[Duration]]&lt;=60,"30 - 60 Mins",Calls[[#This Row],[Duration]]&lt;=120,"1 - 2 Hours",TRUE,"More than 2  Hours")</f>
        <v>1 - 2 Hours</v>
      </c>
      <c r="L239">
        <f>ROUND(Calls[[#This Row],[Satisfaction Rating]],0)</f>
        <v>4</v>
      </c>
    </row>
    <row r="240" spans="2:12" x14ac:dyDescent="0.3">
      <c r="B240" s="22" t="s">
        <v>262</v>
      </c>
      <c r="C240" s="4" t="s">
        <v>20</v>
      </c>
      <c r="D240" s="4">
        <v>92</v>
      </c>
      <c r="E240" s="5" t="s">
        <v>11</v>
      </c>
      <c r="F240" s="9">
        <v>45002</v>
      </c>
      <c r="G240" s="4">
        <v>125</v>
      </c>
      <c r="H240" s="23">
        <v>4.9000000000000004</v>
      </c>
      <c r="I240">
        <f>IF(MONTH(Calls[[#This Row],[Date of Call]])&lt;6,YEAR(Calls[[#This Row],[Date of Call]]),YEAR(Calls[[#This Row],[Date of Call]])+1)</f>
        <v>2023</v>
      </c>
      <c r="J240" t="str">
        <f>TEXT(Calls[[#This Row],[Date of Call]],"DDDD")</f>
        <v>Friday</v>
      </c>
      <c r="K240" t="str" cm="1">
        <f t="array" ref="K240">_xlfn.IFS(Calls[[#This Row],[Duration]]&lt;10,"Under 10 Mins",Calls[[#This Row],[Duration]]&lt;=30,"10 - 30 Mins",Calls[[#This Row],[Duration]]&lt;=60,"30 - 60 Mins",Calls[[#This Row],[Duration]]&lt;=120,"1 - 2 Hours",TRUE,"More than 2  Hours")</f>
        <v>1 - 2 Hours</v>
      </c>
      <c r="L240">
        <f>ROUND(Calls[[#This Row],[Satisfaction Rating]],0)</f>
        <v>5</v>
      </c>
    </row>
    <row r="241" spans="2:12" x14ac:dyDescent="0.3">
      <c r="B241" s="22" t="s">
        <v>263</v>
      </c>
      <c r="C241" s="4" t="s">
        <v>18</v>
      </c>
      <c r="D241" s="4">
        <v>64</v>
      </c>
      <c r="E241" s="5" t="s">
        <v>10</v>
      </c>
      <c r="F241" s="9">
        <v>45002</v>
      </c>
      <c r="G241" s="4">
        <v>22</v>
      </c>
      <c r="H241" s="23">
        <v>4.0999999999999996</v>
      </c>
      <c r="I241">
        <f>IF(MONTH(Calls[[#This Row],[Date of Call]])&lt;6,YEAR(Calls[[#This Row],[Date of Call]]),YEAR(Calls[[#This Row],[Date of Call]])+1)</f>
        <v>2023</v>
      </c>
      <c r="J241" t="str">
        <f>TEXT(Calls[[#This Row],[Date of Call]],"DDDD")</f>
        <v>Friday</v>
      </c>
      <c r="K241" t="str" cm="1">
        <f t="array" ref="K241">_xlfn.IFS(Calls[[#This Row],[Duration]]&lt;10,"Under 10 Mins",Calls[[#This Row],[Duration]]&lt;=30,"10 - 30 Mins",Calls[[#This Row],[Duration]]&lt;=60,"30 - 60 Mins",Calls[[#This Row],[Duration]]&lt;=120,"1 - 2 Hours",TRUE,"More than 2  Hours")</f>
        <v>1 - 2 Hours</v>
      </c>
      <c r="L241">
        <f>ROUND(Calls[[#This Row],[Satisfaction Rating]],0)</f>
        <v>4</v>
      </c>
    </row>
    <row r="242" spans="2:12" x14ac:dyDescent="0.3">
      <c r="B242" s="22" t="s">
        <v>264</v>
      </c>
      <c r="C242" s="4" t="s">
        <v>23</v>
      </c>
      <c r="D242" s="4">
        <v>89</v>
      </c>
      <c r="E242" s="5" t="s">
        <v>13</v>
      </c>
      <c r="F242" s="9">
        <v>45003</v>
      </c>
      <c r="G242" s="4">
        <v>70</v>
      </c>
      <c r="H242" s="23">
        <v>4.9000000000000004</v>
      </c>
      <c r="I242">
        <f>IF(MONTH(Calls[[#This Row],[Date of Call]])&lt;6,YEAR(Calls[[#This Row],[Date of Call]]),YEAR(Calls[[#This Row],[Date of Call]])+1)</f>
        <v>2023</v>
      </c>
      <c r="J242" t="str">
        <f>TEXT(Calls[[#This Row],[Date of Call]],"DDDD")</f>
        <v>Saturday</v>
      </c>
      <c r="K242" t="str" cm="1">
        <f t="array" ref="K242">_xlfn.IFS(Calls[[#This Row],[Duration]]&lt;10,"Under 10 Mins",Calls[[#This Row],[Duration]]&lt;=30,"10 - 30 Mins",Calls[[#This Row],[Duration]]&lt;=60,"30 - 60 Mins",Calls[[#This Row],[Duration]]&lt;=120,"1 - 2 Hours",TRUE,"More than 2  Hours")</f>
        <v>1 - 2 Hours</v>
      </c>
      <c r="L242">
        <f>ROUND(Calls[[#This Row],[Satisfaction Rating]],0)</f>
        <v>5</v>
      </c>
    </row>
    <row r="243" spans="2:12" x14ac:dyDescent="0.3">
      <c r="B243" s="22" t="s">
        <v>265</v>
      </c>
      <c r="C243" s="4" t="s">
        <v>19</v>
      </c>
      <c r="D243" s="4">
        <v>40</v>
      </c>
      <c r="E243" s="5" t="s">
        <v>9</v>
      </c>
      <c r="F243" s="9">
        <v>45003</v>
      </c>
      <c r="G243" s="4">
        <v>24</v>
      </c>
      <c r="H243" s="23">
        <v>4.3</v>
      </c>
      <c r="I243">
        <f>IF(MONTH(Calls[[#This Row],[Date of Call]])&lt;6,YEAR(Calls[[#This Row],[Date of Call]]),YEAR(Calls[[#This Row],[Date of Call]])+1)</f>
        <v>2023</v>
      </c>
      <c r="J243" t="str">
        <f>TEXT(Calls[[#This Row],[Date of Call]],"DDDD")</f>
        <v>Saturday</v>
      </c>
      <c r="K243" t="str" cm="1">
        <f t="array" ref="K243">_xlfn.IFS(Calls[[#This Row],[Duration]]&lt;10,"Under 10 Mins",Calls[[#This Row],[Duration]]&lt;=30,"10 - 30 Mins",Calls[[#This Row],[Duration]]&lt;=60,"30 - 60 Mins",Calls[[#This Row],[Duration]]&lt;=120,"1 - 2 Hours",TRUE,"More than 2  Hours")</f>
        <v>30 - 60 Mins</v>
      </c>
      <c r="L243">
        <f>ROUND(Calls[[#This Row],[Satisfaction Rating]],0)</f>
        <v>4</v>
      </c>
    </row>
    <row r="244" spans="2:12" x14ac:dyDescent="0.3">
      <c r="B244" s="22" t="s">
        <v>266</v>
      </c>
      <c r="C244" s="4" t="s">
        <v>14</v>
      </c>
      <c r="D244" s="4">
        <v>75</v>
      </c>
      <c r="E244" s="5" t="s">
        <v>6</v>
      </c>
      <c r="F244" s="9">
        <v>45003</v>
      </c>
      <c r="G244" s="4">
        <v>32</v>
      </c>
      <c r="H244" s="23">
        <v>4.0999999999999996</v>
      </c>
      <c r="I244">
        <f>IF(MONTH(Calls[[#This Row],[Date of Call]])&lt;6,YEAR(Calls[[#This Row],[Date of Call]]),YEAR(Calls[[#This Row],[Date of Call]])+1)</f>
        <v>2023</v>
      </c>
      <c r="J244" t="str">
        <f>TEXT(Calls[[#This Row],[Date of Call]],"DDDD")</f>
        <v>Saturday</v>
      </c>
      <c r="K244" t="str" cm="1">
        <f t="array" ref="K244">_xlfn.IFS(Calls[[#This Row],[Duration]]&lt;10,"Under 10 Mins",Calls[[#This Row],[Duration]]&lt;=30,"10 - 30 Mins",Calls[[#This Row],[Duration]]&lt;=60,"30 - 60 Mins",Calls[[#This Row],[Duration]]&lt;=120,"1 - 2 Hours",TRUE,"More than 2  Hours")</f>
        <v>1 - 2 Hours</v>
      </c>
      <c r="L244">
        <f>ROUND(Calls[[#This Row],[Satisfaction Rating]],0)</f>
        <v>4</v>
      </c>
    </row>
    <row r="245" spans="2:12" x14ac:dyDescent="0.3">
      <c r="B245" s="22" t="s">
        <v>267</v>
      </c>
      <c r="C245" s="4" t="s">
        <v>17</v>
      </c>
      <c r="D245" s="4">
        <v>106</v>
      </c>
      <c r="E245" s="5" t="s">
        <v>11</v>
      </c>
      <c r="F245" s="9">
        <v>45003</v>
      </c>
      <c r="G245" s="4">
        <v>112</v>
      </c>
      <c r="H245" s="23">
        <v>4.4000000000000004</v>
      </c>
      <c r="I245">
        <f>IF(MONTH(Calls[[#This Row],[Date of Call]])&lt;6,YEAR(Calls[[#This Row],[Date of Call]]),YEAR(Calls[[#This Row],[Date of Call]])+1)</f>
        <v>2023</v>
      </c>
      <c r="J245" t="str">
        <f>TEXT(Calls[[#This Row],[Date of Call]],"DDDD")</f>
        <v>Saturday</v>
      </c>
      <c r="K245" t="str" cm="1">
        <f t="array" ref="K245">_xlfn.IFS(Calls[[#This Row],[Duration]]&lt;10,"Under 10 Mins",Calls[[#This Row],[Duration]]&lt;=30,"10 - 30 Mins",Calls[[#This Row],[Duration]]&lt;=60,"30 - 60 Mins",Calls[[#This Row],[Duration]]&lt;=120,"1 - 2 Hours",TRUE,"More than 2  Hours")</f>
        <v>1 - 2 Hours</v>
      </c>
      <c r="L245">
        <f>ROUND(Calls[[#This Row],[Satisfaction Rating]],0)</f>
        <v>4</v>
      </c>
    </row>
    <row r="246" spans="2:12" x14ac:dyDescent="0.3">
      <c r="B246" s="22" t="s">
        <v>268</v>
      </c>
      <c r="C246" s="4" t="s">
        <v>18</v>
      </c>
      <c r="D246" s="4">
        <v>58</v>
      </c>
      <c r="E246" s="5" t="s">
        <v>9</v>
      </c>
      <c r="F246" s="9">
        <v>45004</v>
      </c>
      <c r="G246" s="4">
        <v>43</v>
      </c>
      <c r="H246" s="23">
        <v>4.5</v>
      </c>
      <c r="I246">
        <f>IF(MONTH(Calls[[#This Row],[Date of Call]])&lt;6,YEAR(Calls[[#This Row],[Date of Call]]),YEAR(Calls[[#This Row],[Date of Call]])+1)</f>
        <v>2023</v>
      </c>
      <c r="J246" t="str">
        <f>TEXT(Calls[[#This Row],[Date of Call]],"DDDD")</f>
        <v>Sunday</v>
      </c>
      <c r="K246" t="str" cm="1">
        <f t="array" ref="K246">_xlfn.IFS(Calls[[#This Row],[Duration]]&lt;10,"Under 10 Mins",Calls[[#This Row],[Duration]]&lt;=30,"10 - 30 Mins",Calls[[#This Row],[Duration]]&lt;=60,"30 - 60 Mins",Calls[[#This Row],[Duration]]&lt;=120,"1 - 2 Hours",TRUE,"More than 2  Hours")</f>
        <v>30 - 60 Mins</v>
      </c>
      <c r="L246">
        <f>ROUND(Calls[[#This Row],[Satisfaction Rating]],0)</f>
        <v>5</v>
      </c>
    </row>
    <row r="247" spans="2:12" x14ac:dyDescent="0.3">
      <c r="B247" s="22" t="s">
        <v>269</v>
      </c>
      <c r="C247" s="4" t="s">
        <v>7</v>
      </c>
      <c r="D247" s="4">
        <v>84</v>
      </c>
      <c r="E247" s="5" t="s">
        <v>11</v>
      </c>
      <c r="F247" s="9">
        <v>45004</v>
      </c>
      <c r="G247" s="4">
        <v>22</v>
      </c>
      <c r="H247" s="23">
        <v>3.5</v>
      </c>
      <c r="I247">
        <f>IF(MONTH(Calls[[#This Row],[Date of Call]])&lt;6,YEAR(Calls[[#This Row],[Date of Call]]),YEAR(Calls[[#This Row],[Date of Call]])+1)</f>
        <v>2023</v>
      </c>
      <c r="J247" t="str">
        <f>TEXT(Calls[[#This Row],[Date of Call]],"DDDD")</f>
        <v>Sunday</v>
      </c>
      <c r="K247" t="str" cm="1">
        <f t="array" ref="K247">_xlfn.IFS(Calls[[#This Row],[Duration]]&lt;10,"Under 10 Mins",Calls[[#This Row],[Duration]]&lt;=30,"10 - 30 Mins",Calls[[#This Row],[Duration]]&lt;=60,"30 - 60 Mins",Calls[[#This Row],[Duration]]&lt;=120,"1 - 2 Hours",TRUE,"More than 2  Hours")</f>
        <v>1 - 2 Hours</v>
      </c>
      <c r="L247">
        <f>ROUND(Calls[[#This Row],[Satisfaction Rating]],0)</f>
        <v>4</v>
      </c>
    </row>
    <row r="248" spans="2:12" x14ac:dyDescent="0.3">
      <c r="B248" s="22" t="s">
        <v>270</v>
      </c>
      <c r="C248" s="4" t="s">
        <v>22</v>
      </c>
      <c r="D248" s="4">
        <v>140</v>
      </c>
      <c r="E248" s="5" t="s">
        <v>11</v>
      </c>
      <c r="F248" s="9">
        <v>45004</v>
      </c>
      <c r="G248" s="4">
        <v>93</v>
      </c>
      <c r="H248" s="23">
        <v>4.4000000000000004</v>
      </c>
      <c r="I248">
        <f>IF(MONTH(Calls[[#This Row],[Date of Call]])&lt;6,YEAR(Calls[[#This Row],[Date of Call]]),YEAR(Calls[[#This Row],[Date of Call]])+1)</f>
        <v>2023</v>
      </c>
      <c r="J248" t="str">
        <f>TEXT(Calls[[#This Row],[Date of Call]],"DDDD")</f>
        <v>Sunday</v>
      </c>
      <c r="K248" t="str" cm="1">
        <f t="array" ref="K248">_xlfn.IFS(Calls[[#This Row],[Duration]]&lt;10,"Under 10 Mins",Calls[[#This Row],[Duration]]&lt;=30,"10 - 30 Mins",Calls[[#This Row],[Duration]]&lt;=60,"30 - 60 Mins",Calls[[#This Row],[Duration]]&lt;=120,"1 - 2 Hours",TRUE,"More than 2  Hours")</f>
        <v>More than 2  Hours</v>
      </c>
      <c r="L248">
        <f>ROUND(Calls[[#This Row],[Satisfaction Rating]],0)</f>
        <v>4</v>
      </c>
    </row>
    <row r="249" spans="2:12" x14ac:dyDescent="0.3">
      <c r="B249" s="22" t="s">
        <v>271</v>
      </c>
      <c r="C249" s="4" t="s">
        <v>18</v>
      </c>
      <c r="D249" s="4">
        <v>67</v>
      </c>
      <c r="E249" s="5" t="s">
        <v>11</v>
      </c>
      <c r="F249" s="9">
        <v>45004</v>
      </c>
      <c r="G249" s="4">
        <v>45</v>
      </c>
      <c r="H249" s="23">
        <v>3.5</v>
      </c>
      <c r="I249">
        <f>IF(MONTH(Calls[[#This Row],[Date of Call]])&lt;6,YEAR(Calls[[#This Row],[Date of Call]]),YEAR(Calls[[#This Row],[Date of Call]])+1)</f>
        <v>2023</v>
      </c>
      <c r="J249" t="str">
        <f>TEXT(Calls[[#This Row],[Date of Call]],"DDDD")</f>
        <v>Sunday</v>
      </c>
      <c r="K249" t="str" cm="1">
        <f t="array" ref="K249">_xlfn.IFS(Calls[[#This Row],[Duration]]&lt;10,"Under 10 Mins",Calls[[#This Row],[Duration]]&lt;=30,"10 - 30 Mins",Calls[[#This Row],[Duration]]&lt;=60,"30 - 60 Mins",Calls[[#This Row],[Duration]]&lt;=120,"1 - 2 Hours",TRUE,"More than 2  Hours")</f>
        <v>1 - 2 Hours</v>
      </c>
      <c r="L249">
        <f>ROUND(Calls[[#This Row],[Satisfaction Rating]],0)</f>
        <v>4</v>
      </c>
    </row>
    <row r="250" spans="2:12" x14ac:dyDescent="0.3">
      <c r="B250" s="22" t="s">
        <v>272</v>
      </c>
      <c r="C250" s="4" t="s">
        <v>12</v>
      </c>
      <c r="D250" s="4">
        <v>126</v>
      </c>
      <c r="E250" s="5" t="s">
        <v>11</v>
      </c>
      <c r="F250" s="9">
        <v>45005</v>
      </c>
      <c r="G250" s="4">
        <v>96</v>
      </c>
      <c r="H250" s="23">
        <v>3.8</v>
      </c>
      <c r="I250">
        <f>IF(MONTH(Calls[[#This Row],[Date of Call]])&lt;6,YEAR(Calls[[#This Row],[Date of Call]]),YEAR(Calls[[#This Row],[Date of Call]])+1)</f>
        <v>2023</v>
      </c>
      <c r="J250" t="str">
        <f>TEXT(Calls[[#This Row],[Date of Call]],"DDDD")</f>
        <v>Monday</v>
      </c>
      <c r="K250" t="str" cm="1">
        <f t="array" ref="K250">_xlfn.IFS(Calls[[#This Row],[Duration]]&lt;10,"Under 10 Mins",Calls[[#This Row],[Duration]]&lt;=30,"10 - 30 Mins",Calls[[#This Row],[Duration]]&lt;=60,"30 - 60 Mins",Calls[[#This Row],[Duration]]&lt;=120,"1 - 2 Hours",TRUE,"More than 2  Hours")</f>
        <v>More than 2  Hours</v>
      </c>
      <c r="L250">
        <f>ROUND(Calls[[#This Row],[Satisfaction Rating]],0)</f>
        <v>4</v>
      </c>
    </row>
    <row r="251" spans="2:12" x14ac:dyDescent="0.3">
      <c r="B251" s="22" t="s">
        <v>273</v>
      </c>
      <c r="C251" s="4" t="s">
        <v>12</v>
      </c>
      <c r="D251" s="4">
        <v>89</v>
      </c>
      <c r="E251" s="5" t="s">
        <v>9</v>
      </c>
      <c r="F251" s="9">
        <v>45005</v>
      </c>
      <c r="G251" s="4">
        <v>96</v>
      </c>
      <c r="H251" s="23">
        <v>3.3</v>
      </c>
      <c r="I251">
        <f>IF(MONTH(Calls[[#This Row],[Date of Call]])&lt;6,YEAR(Calls[[#This Row],[Date of Call]]),YEAR(Calls[[#This Row],[Date of Call]])+1)</f>
        <v>2023</v>
      </c>
      <c r="J251" t="str">
        <f>TEXT(Calls[[#This Row],[Date of Call]],"DDDD")</f>
        <v>Monday</v>
      </c>
      <c r="K251" t="str" cm="1">
        <f t="array" ref="K251">_xlfn.IFS(Calls[[#This Row],[Duration]]&lt;10,"Under 10 Mins",Calls[[#This Row],[Duration]]&lt;=30,"10 - 30 Mins",Calls[[#This Row],[Duration]]&lt;=60,"30 - 60 Mins",Calls[[#This Row],[Duration]]&lt;=120,"1 - 2 Hours",TRUE,"More than 2  Hours")</f>
        <v>1 - 2 Hours</v>
      </c>
      <c r="L251">
        <f>ROUND(Calls[[#This Row],[Satisfaction Rating]],0)</f>
        <v>3</v>
      </c>
    </row>
    <row r="252" spans="2:12" x14ac:dyDescent="0.3">
      <c r="B252" s="22" t="s">
        <v>274</v>
      </c>
      <c r="C252" s="4" t="s">
        <v>23</v>
      </c>
      <c r="D252" s="4">
        <v>56</v>
      </c>
      <c r="E252" s="5" t="s">
        <v>10</v>
      </c>
      <c r="F252" s="9">
        <v>45005</v>
      </c>
      <c r="G252" s="4">
        <v>31</v>
      </c>
      <c r="H252" s="23">
        <v>4.4000000000000004</v>
      </c>
      <c r="I252">
        <f>IF(MONTH(Calls[[#This Row],[Date of Call]])&lt;6,YEAR(Calls[[#This Row],[Date of Call]]),YEAR(Calls[[#This Row],[Date of Call]])+1)</f>
        <v>2023</v>
      </c>
      <c r="J252" t="str">
        <f>TEXT(Calls[[#This Row],[Date of Call]],"DDDD")</f>
        <v>Monday</v>
      </c>
      <c r="K252" t="str" cm="1">
        <f t="array" ref="K252">_xlfn.IFS(Calls[[#This Row],[Duration]]&lt;10,"Under 10 Mins",Calls[[#This Row],[Duration]]&lt;=30,"10 - 30 Mins",Calls[[#This Row],[Duration]]&lt;=60,"30 - 60 Mins",Calls[[#This Row],[Duration]]&lt;=120,"1 - 2 Hours",TRUE,"More than 2  Hours")</f>
        <v>30 - 60 Mins</v>
      </c>
      <c r="L252">
        <f>ROUND(Calls[[#This Row],[Satisfaction Rating]],0)</f>
        <v>4</v>
      </c>
    </row>
    <row r="253" spans="2:12" x14ac:dyDescent="0.3">
      <c r="B253" s="22" t="s">
        <v>275</v>
      </c>
      <c r="C253" s="4" t="s">
        <v>8</v>
      </c>
      <c r="D253" s="4">
        <v>48</v>
      </c>
      <c r="E253" s="5" t="s">
        <v>9</v>
      </c>
      <c r="F253" s="9">
        <v>45005</v>
      </c>
      <c r="G253" s="4">
        <v>200</v>
      </c>
      <c r="H253" s="23">
        <v>3.9</v>
      </c>
      <c r="I253">
        <f>IF(MONTH(Calls[[#This Row],[Date of Call]])&lt;6,YEAR(Calls[[#This Row],[Date of Call]]),YEAR(Calls[[#This Row],[Date of Call]])+1)</f>
        <v>2023</v>
      </c>
      <c r="J253" t="str">
        <f>TEXT(Calls[[#This Row],[Date of Call]],"DDDD")</f>
        <v>Monday</v>
      </c>
      <c r="K253" t="str" cm="1">
        <f t="array" ref="K253">_xlfn.IFS(Calls[[#This Row],[Duration]]&lt;10,"Under 10 Mins",Calls[[#This Row],[Duration]]&lt;=30,"10 - 30 Mins",Calls[[#This Row],[Duration]]&lt;=60,"30 - 60 Mins",Calls[[#This Row],[Duration]]&lt;=120,"1 - 2 Hours",TRUE,"More than 2  Hours")</f>
        <v>30 - 60 Mins</v>
      </c>
      <c r="L253">
        <f>ROUND(Calls[[#This Row],[Satisfaction Rating]],0)</f>
        <v>4</v>
      </c>
    </row>
    <row r="254" spans="2:12" x14ac:dyDescent="0.3">
      <c r="B254" s="22" t="s">
        <v>276</v>
      </c>
      <c r="C254" s="4" t="s">
        <v>12</v>
      </c>
      <c r="D254" s="4">
        <v>55</v>
      </c>
      <c r="E254" s="5" t="s">
        <v>10</v>
      </c>
      <c r="F254" s="9">
        <v>45005</v>
      </c>
      <c r="G254" s="4">
        <v>99</v>
      </c>
      <c r="H254" s="23">
        <v>2.7</v>
      </c>
      <c r="I254">
        <f>IF(MONTH(Calls[[#This Row],[Date of Call]])&lt;6,YEAR(Calls[[#This Row],[Date of Call]]),YEAR(Calls[[#This Row],[Date of Call]])+1)</f>
        <v>2023</v>
      </c>
      <c r="J254" t="str">
        <f>TEXT(Calls[[#This Row],[Date of Call]],"DDDD")</f>
        <v>Monday</v>
      </c>
      <c r="K254" t="str" cm="1">
        <f t="array" ref="K254">_xlfn.IFS(Calls[[#This Row],[Duration]]&lt;10,"Under 10 Mins",Calls[[#This Row],[Duration]]&lt;=30,"10 - 30 Mins",Calls[[#This Row],[Duration]]&lt;=60,"30 - 60 Mins",Calls[[#This Row],[Duration]]&lt;=120,"1 - 2 Hours",TRUE,"More than 2  Hours")</f>
        <v>30 - 60 Mins</v>
      </c>
      <c r="L254">
        <f>ROUND(Calls[[#This Row],[Satisfaction Rating]],0)</f>
        <v>3</v>
      </c>
    </row>
    <row r="255" spans="2:12" x14ac:dyDescent="0.3">
      <c r="B255" s="22" t="s">
        <v>277</v>
      </c>
      <c r="C255" s="4" t="s">
        <v>21</v>
      </c>
      <c r="D255" s="4">
        <v>88</v>
      </c>
      <c r="E255" s="5" t="s">
        <v>6</v>
      </c>
      <c r="F255" s="9">
        <v>45005</v>
      </c>
      <c r="G255" s="4">
        <v>144</v>
      </c>
      <c r="H255" s="23">
        <v>2.9</v>
      </c>
      <c r="I255">
        <f>IF(MONTH(Calls[[#This Row],[Date of Call]])&lt;6,YEAR(Calls[[#This Row],[Date of Call]]),YEAR(Calls[[#This Row],[Date of Call]])+1)</f>
        <v>2023</v>
      </c>
      <c r="J255" t="str">
        <f>TEXT(Calls[[#This Row],[Date of Call]],"DDDD")</f>
        <v>Monday</v>
      </c>
      <c r="K255" t="str" cm="1">
        <f t="array" ref="K255">_xlfn.IFS(Calls[[#This Row],[Duration]]&lt;10,"Under 10 Mins",Calls[[#This Row],[Duration]]&lt;=30,"10 - 30 Mins",Calls[[#This Row],[Duration]]&lt;=60,"30 - 60 Mins",Calls[[#This Row],[Duration]]&lt;=120,"1 - 2 Hours",TRUE,"More than 2  Hours")</f>
        <v>1 - 2 Hours</v>
      </c>
      <c r="L255">
        <f>ROUND(Calls[[#This Row],[Satisfaction Rating]],0)</f>
        <v>3</v>
      </c>
    </row>
    <row r="256" spans="2:12" x14ac:dyDescent="0.3">
      <c r="B256" s="22" t="s">
        <v>278</v>
      </c>
      <c r="C256" s="4" t="s">
        <v>23</v>
      </c>
      <c r="D256" s="4">
        <v>102</v>
      </c>
      <c r="E256" s="5" t="s">
        <v>11</v>
      </c>
      <c r="F256" s="9">
        <v>45006</v>
      </c>
      <c r="G256" s="4">
        <v>81</v>
      </c>
      <c r="H256" s="23">
        <v>4</v>
      </c>
      <c r="I256">
        <f>IF(MONTH(Calls[[#This Row],[Date of Call]])&lt;6,YEAR(Calls[[#This Row],[Date of Call]]),YEAR(Calls[[#This Row],[Date of Call]])+1)</f>
        <v>2023</v>
      </c>
      <c r="J256" t="str">
        <f>TEXT(Calls[[#This Row],[Date of Call]],"DDDD")</f>
        <v>Tuesday</v>
      </c>
      <c r="K256" t="str" cm="1">
        <f t="array" ref="K256">_xlfn.IFS(Calls[[#This Row],[Duration]]&lt;10,"Under 10 Mins",Calls[[#This Row],[Duration]]&lt;=30,"10 - 30 Mins",Calls[[#This Row],[Duration]]&lt;=60,"30 - 60 Mins",Calls[[#This Row],[Duration]]&lt;=120,"1 - 2 Hours",TRUE,"More than 2  Hours")</f>
        <v>1 - 2 Hours</v>
      </c>
      <c r="L256">
        <f>ROUND(Calls[[#This Row],[Satisfaction Rating]],0)</f>
        <v>4</v>
      </c>
    </row>
    <row r="257" spans="2:12" x14ac:dyDescent="0.3">
      <c r="B257" s="22" t="s">
        <v>279</v>
      </c>
      <c r="C257" s="4" t="s">
        <v>21</v>
      </c>
      <c r="D257" s="4">
        <v>155</v>
      </c>
      <c r="E257" s="5" t="s">
        <v>6</v>
      </c>
      <c r="F257" s="9">
        <v>45006</v>
      </c>
      <c r="G257" s="4">
        <v>70</v>
      </c>
      <c r="H257" s="23">
        <v>4.4000000000000004</v>
      </c>
      <c r="I257">
        <f>IF(MONTH(Calls[[#This Row],[Date of Call]])&lt;6,YEAR(Calls[[#This Row],[Date of Call]]),YEAR(Calls[[#This Row],[Date of Call]])+1)</f>
        <v>2023</v>
      </c>
      <c r="J257" t="str">
        <f>TEXT(Calls[[#This Row],[Date of Call]],"DDDD")</f>
        <v>Tuesday</v>
      </c>
      <c r="K257" t="str" cm="1">
        <f t="array" ref="K257">_xlfn.IFS(Calls[[#This Row],[Duration]]&lt;10,"Under 10 Mins",Calls[[#This Row],[Duration]]&lt;=30,"10 - 30 Mins",Calls[[#This Row],[Duration]]&lt;=60,"30 - 60 Mins",Calls[[#This Row],[Duration]]&lt;=120,"1 - 2 Hours",TRUE,"More than 2  Hours")</f>
        <v>More than 2  Hours</v>
      </c>
      <c r="L257">
        <f>ROUND(Calls[[#This Row],[Satisfaction Rating]],0)</f>
        <v>4</v>
      </c>
    </row>
    <row r="258" spans="2:12" x14ac:dyDescent="0.3">
      <c r="B258" s="22" t="s">
        <v>280</v>
      </c>
      <c r="C258" s="4" t="s">
        <v>12</v>
      </c>
      <c r="D258" s="4">
        <v>63</v>
      </c>
      <c r="E258" s="5" t="s">
        <v>6</v>
      </c>
      <c r="F258" s="9">
        <v>45006</v>
      </c>
      <c r="G258" s="4">
        <v>148</v>
      </c>
      <c r="H258" s="23">
        <v>5</v>
      </c>
      <c r="I258">
        <f>IF(MONTH(Calls[[#This Row],[Date of Call]])&lt;6,YEAR(Calls[[#This Row],[Date of Call]]),YEAR(Calls[[#This Row],[Date of Call]])+1)</f>
        <v>2023</v>
      </c>
      <c r="J258" t="str">
        <f>TEXT(Calls[[#This Row],[Date of Call]],"DDDD")</f>
        <v>Tuesday</v>
      </c>
      <c r="K258" t="str" cm="1">
        <f t="array" ref="K258">_xlfn.IFS(Calls[[#This Row],[Duration]]&lt;10,"Under 10 Mins",Calls[[#This Row],[Duration]]&lt;=30,"10 - 30 Mins",Calls[[#This Row],[Duration]]&lt;=60,"30 - 60 Mins",Calls[[#This Row],[Duration]]&lt;=120,"1 - 2 Hours",TRUE,"More than 2  Hours")</f>
        <v>1 - 2 Hours</v>
      </c>
      <c r="L258">
        <f>ROUND(Calls[[#This Row],[Satisfaction Rating]],0)</f>
        <v>5</v>
      </c>
    </row>
    <row r="259" spans="2:12" x14ac:dyDescent="0.3">
      <c r="B259" s="22" t="s">
        <v>281</v>
      </c>
      <c r="C259" s="4" t="s">
        <v>15</v>
      </c>
      <c r="D259" s="4">
        <v>59</v>
      </c>
      <c r="E259" s="5" t="s">
        <v>11</v>
      </c>
      <c r="F259" s="9">
        <v>45006</v>
      </c>
      <c r="G259" s="4">
        <v>215</v>
      </c>
      <c r="H259" s="23">
        <v>4.0999999999999996</v>
      </c>
      <c r="I259">
        <f>IF(MONTH(Calls[[#This Row],[Date of Call]])&lt;6,YEAR(Calls[[#This Row],[Date of Call]]),YEAR(Calls[[#This Row],[Date of Call]])+1)</f>
        <v>2023</v>
      </c>
      <c r="J259" t="str">
        <f>TEXT(Calls[[#This Row],[Date of Call]],"DDDD")</f>
        <v>Tuesday</v>
      </c>
      <c r="K259" t="str" cm="1">
        <f t="array" ref="K259">_xlfn.IFS(Calls[[#This Row],[Duration]]&lt;10,"Under 10 Mins",Calls[[#This Row],[Duration]]&lt;=30,"10 - 30 Mins",Calls[[#This Row],[Duration]]&lt;=60,"30 - 60 Mins",Calls[[#This Row],[Duration]]&lt;=120,"1 - 2 Hours",TRUE,"More than 2  Hours")</f>
        <v>30 - 60 Mins</v>
      </c>
      <c r="L259">
        <f>ROUND(Calls[[#This Row],[Satisfaction Rating]],0)</f>
        <v>4</v>
      </c>
    </row>
    <row r="260" spans="2:12" x14ac:dyDescent="0.3">
      <c r="B260" s="22" t="s">
        <v>282</v>
      </c>
      <c r="C260" s="4" t="s">
        <v>15</v>
      </c>
      <c r="D260" s="4">
        <v>144</v>
      </c>
      <c r="E260" s="5" t="s">
        <v>9</v>
      </c>
      <c r="F260" s="9">
        <v>45006</v>
      </c>
      <c r="G260" s="4">
        <v>124</v>
      </c>
      <c r="H260" s="23">
        <v>4.4000000000000004</v>
      </c>
      <c r="I260">
        <f>IF(MONTH(Calls[[#This Row],[Date of Call]])&lt;6,YEAR(Calls[[#This Row],[Date of Call]]),YEAR(Calls[[#This Row],[Date of Call]])+1)</f>
        <v>2023</v>
      </c>
      <c r="J260" t="str">
        <f>TEXT(Calls[[#This Row],[Date of Call]],"DDDD")</f>
        <v>Tuesday</v>
      </c>
      <c r="K260" t="str" cm="1">
        <f t="array" ref="K260">_xlfn.IFS(Calls[[#This Row],[Duration]]&lt;10,"Under 10 Mins",Calls[[#This Row],[Duration]]&lt;=30,"10 - 30 Mins",Calls[[#This Row],[Duration]]&lt;=60,"30 - 60 Mins",Calls[[#This Row],[Duration]]&lt;=120,"1 - 2 Hours",TRUE,"More than 2  Hours")</f>
        <v>More than 2  Hours</v>
      </c>
      <c r="L260">
        <f>ROUND(Calls[[#This Row],[Satisfaction Rating]],0)</f>
        <v>4</v>
      </c>
    </row>
    <row r="261" spans="2:12" x14ac:dyDescent="0.3">
      <c r="B261" s="22" t="s">
        <v>283</v>
      </c>
      <c r="C261" s="4" t="s">
        <v>7</v>
      </c>
      <c r="D261" s="4">
        <v>113</v>
      </c>
      <c r="E261" s="5" t="s">
        <v>13</v>
      </c>
      <c r="F261" s="9">
        <v>45006</v>
      </c>
      <c r="G261" s="4">
        <v>168</v>
      </c>
      <c r="H261" s="23">
        <v>4.0999999999999996</v>
      </c>
      <c r="I261">
        <f>IF(MONTH(Calls[[#This Row],[Date of Call]])&lt;6,YEAR(Calls[[#This Row],[Date of Call]]),YEAR(Calls[[#This Row],[Date of Call]])+1)</f>
        <v>2023</v>
      </c>
      <c r="J261" t="str">
        <f>TEXT(Calls[[#This Row],[Date of Call]],"DDDD")</f>
        <v>Tuesday</v>
      </c>
      <c r="K261" t="str" cm="1">
        <f t="array" ref="K261">_xlfn.IFS(Calls[[#This Row],[Duration]]&lt;10,"Under 10 Mins",Calls[[#This Row],[Duration]]&lt;=30,"10 - 30 Mins",Calls[[#This Row],[Duration]]&lt;=60,"30 - 60 Mins",Calls[[#This Row],[Duration]]&lt;=120,"1 - 2 Hours",TRUE,"More than 2  Hours")</f>
        <v>1 - 2 Hours</v>
      </c>
      <c r="L261">
        <f>ROUND(Calls[[#This Row],[Satisfaction Rating]],0)</f>
        <v>4</v>
      </c>
    </row>
    <row r="262" spans="2:12" x14ac:dyDescent="0.3">
      <c r="B262" s="22" t="s">
        <v>284</v>
      </c>
      <c r="C262" s="4" t="s">
        <v>16</v>
      </c>
      <c r="D262" s="4">
        <v>154</v>
      </c>
      <c r="E262" s="5" t="s">
        <v>10</v>
      </c>
      <c r="F262" s="9">
        <v>45006</v>
      </c>
      <c r="G262" s="4">
        <v>90</v>
      </c>
      <c r="H262" s="23">
        <v>4.5</v>
      </c>
      <c r="I262">
        <f>IF(MONTH(Calls[[#This Row],[Date of Call]])&lt;6,YEAR(Calls[[#This Row],[Date of Call]]),YEAR(Calls[[#This Row],[Date of Call]])+1)</f>
        <v>2023</v>
      </c>
      <c r="J262" t="str">
        <f>TEXT(Calls[[#This Row],[Date of Call]],"DDDD")</f>
        <v>Tuesday</v>
      </c>
      <c r="K262" t="str" cm="1">
        <f t="array" ref="K262">_xlfn.IFS(Calls[[#This Row],[Duration]]&lt;10,"Under 10 Mins",Calls[[#This Row],[Duration]]&lt;=30,"10 - 30 Mins",Calls[[#This Row],[Duration]]&lt;=60,"30 - 60 Mins",Calls[[#This Row],[Duration]]&lt;=120,"1 - 2 Hours",TRUE,"More than 2  Hours")</f>
        <v>More than 2  Hours</v>
      </c>
      <c r="L262">
        <f>ROUND(Calls[[#This Row],[Satisfaction Rating]],0)</f>
        <v>5</v>
      </c>
    </row>
    <row r="263" spans="2:12" x14ac:dyDescent="0.3">
      <c r="B263" s="22" t="s">
        <v>285</v>
      </c>
      <c r="C263" s="4" t="s">
        <v>16</v>
      </c>
      <c r="D263" s="4">
        <v>58</v>
      </c>
      <c r="E263" s="5" t="s">
        <v>11</v>
      </c>
      <c r="F263" s="9">
        <v>45007</v>
      </c>
      <c r="G263" s="4">
        <v>176</v>
      </c>
      <c r="H263" s="23">
        <v>4.2</v>
      </c>
      <c r="I263">
        <f>IF(MONTH(Calls[[#This Row],[Date of Call]])&lt;6,YEAR(Calls[[#This Row],[Date of Call]]),YEAR(Calls[[#This Row],[Date of Call]])+1)</f>
        <v>2023</v>
      </c>
      <c r="J263" t="str">
        <f>TEXT(Calls[[#This Row],[Date of Call]],"DDDD")</f>
        <v>Wednesday</v>
      </c>
      <c r="K263" t="str" cm="1">
        <f t="array" ref="K263">_xlfn.IFS(Calls[[#This Row],[Duration]]&lt;10,"Under 10 Mins",Calls[[#This Row],[Duration]]&lt;=30,"10 - 30 Mins",Calls[[#This Row],[Duration]]&lt;=60,"30 - 60 Mins",Calls[[#This Row],[Duration]]&lt;=120,"1 - 2 Hours",TRUE,"More than 2  Hours")</f>
        <v>30 - 60 Mins</v>
      </c>
      <c r="L263">
        <f>ROUND(Calls[[#This Row],[Satisfaction Rating]],0)</f>
        <v>4</v>
      </c>
    </row>
    <row r="264" spans="2:12" x14ac:dyDescent="0.3">
      <c r="B264" s="22" t="s">
        <v>286</v>
      </c>
      <c r="C264" s="4" t="s">
        <v>8</v>
      </c>
      <c r="D264" s="4">
        <v>63</v>
      </c>
      <c r="E264" s="5" t="s">
        <v>6</v>
      </c>
      <c r="F264" s="9">
        <v>45007</v>
      </c>
      <c r="G264" s="4">
        <v>87</v>
      </c>
      <c r="H264" s="23">
        <v>4.5999999999999996</v>
      </c>
      <c r="I264">
        <f>IF(MONTH(Calls[[#This Row],[Date of Call]])&lt;6,YEAR(Calls[[#This Row],[Date of Call]]),YEAR(Calls[[#This Row],[Date of Call]])+1)</f>
        <v>2023</v>
      </c>
      <c r="J264" t="str">
        <f>TEXT(Calls[[#This Row],[Date of Call]],"DDDD")</f>
        <v>Wednesday</v>
      </c>
      <c r="K264" t="str" cm="1">
        <f t="array" ref="K264">_xlfn.IFS(Calls[[#This Row],[Duration]]&lt;10,"Under 10 Mins",Calls[[#This Row],[Duration]]&lt;=30,"10 - 30 Mins",Calls[[#This Row],[Duration]]&lt;=60,"30 - 60 Mins",Calls[[#This Row],[Duration]]&lt;=120,"1 - 2 Hours",TRUE,"More than 2  Hours")</f>
        <v>1 - 2 Hours</v>
      </c>
      <c r="L264">
        <f>ROUND(Calls[[#This Row],[Satisfaction Rating]],0)</f>
        <v>5</v>
      </c>
    </row>
    <row r="265" spans="2:12" x14ac:dyDescent="0.3">
      <c r="B265" s="22" t="s">
        <v>287</v>
      </c>
      <c r="C265" s="4" t="s">
        <v>22</v>
      </c>
      <c r="D265" s="4">
        <v>59</v>
      </c>
      <c r="E265" s="5" t="s">
        <v>9</v>
      </c>
      <c r="F265" s="9">
        <v>45007</v>
      </c>
      <c r="G265" s="4">
        <v>128</v>
      </c>
      <c r="H265" s="23">
        <v>4.5</v>
      </c>
      <c r="I265">
        <f>IF(MONTH(Calls[[#This Row],[Date of Call]])&lt;6,YEAR(Calls[[#This Row],[Date of Call]]),YEAR(Calls[[#This Row],[Date of Call]])+1)</f>
        <v>2023</v>
      </c>
      <c r="J265" t="str">
        <f>TEXT(Calls[[#This Row],[Date of Call]],"DDDD")</f>
        <v>Wednesday</v>
      </c>
      <c r="K265" t="str" cm="1">
        <f t="array" ref="K265">_xlfn.IFS(Calls[[#This Row],[Duration]]&lt;10,"Under 10 Mins",Calls[[#This Row],[Duration]]&lt;=30,"10 - 30 Mins",Calls[[#This Row],[Duration]]&lt;=60,"30 - 60 Mins",Calls[[#This Row],[Duration]]&lt;=120,"1 - 2 Hours",TRUE,"More than 2  Hours")</f>
        <v>30 - 60 Mins</v>
      </c>
      <c r="L265">
        <f>ROUND(Calls[[#This Row],[Satisfaction Rating]],0)</f>
        <v>5</v>
      </c>
    </row>
    <row r="266" spans="2:12" x14ac:dyDescent="0.3">
      <c r="B266" s="22" t="s">
        <v>288</v>
      </c>
      <c r="C266" s="4" t="s">
        <v>5</v>
      </c>
      <c r="D266" s="4">
        <v>129</v>
      </c>
      <c r="E266" s="5" t="s">
        <v>6</v>
      </c>
      <c r="F266" s="9">
        <v>45007</v>
      </c>
      <c r="G266" s="4">
        <v>120</v>
      </c>
      <c r="H266" s="23">
        <v>4.0999999999999996</v>
      </c>
      <c r="I266">
        <f>IF(MONTH(Calls[[#This Row],[Date of Call]])&lt;6,YEAR(Calls[[#This Row],[Date of Call]]),YEAR(Calls[[#This Row],[Date of Call]])+1)</f>
        <v>2023</v>
      </c>
      <c r="J266" t="str">
        <f>TEXT(Calls[[#This Row],[Date of Call]],"DDDD")</f>
        <v>Wednesday</v>
      </c>
      <c r="K266" t="str" cm="1">
        <f t="array" ref="K266">_xlfn.IFS(Calls[[#This Row],[Duration]]&lt;10,"Under 10 Mins",Calls[[#This Row],[Duration]]&lt;=30,"10 - 30 Mins",Calls[[#This Row],[Duration]]&lt;=60,"30 - 60 Mins",Calls[[#This Row],[Duration]]&lt;=120,"1 - 2 Hours",TRUE,"More than 2  Hours")</f>
        <v>More than 2  Hours</v>
      </c>
      <c r="L266">
        <f>ROUND(Calls[[#This Row],[Satisfaction Rating]],0)</f>
        <v>4</v>
      </c>
    </row>
    <row r="267" spans="2:12" x14ac:dyDescent="0.3">
      <c r="B267" s="22" t="s">
        <v>289</v>
      </c>
      <c r="C267" s="4" t="s">
        <v>24</v>
      </c>
      <c r="D267" s="4">
        <v>101</v>
      </c>
      <c r="E267" s="5" t="s">
        <v>13</v>
      </c>
      <c r="F267" s="9">
        <v>45007</v>
      </c>
      <c r="G267" s="4">
        <v>130</v>
      </c>
      <c r="H267" s="23">
        <v>4.8</v>
      </c>
      <c r="I267">
        <f>IF(MONTH(Calls[[#This Row],[Date of Call]])&lt;6,YEAR(Calls[[#This Row],[Date of Call]]),YEAR(Calls[[#This Row],[Date of Call]])+1)</f>
        <v>2023</v>
      </c>
      <c r="J267" t="str">
        <f>TEXT(Calls[[#This Row],[Date of Call]],"DDDD")</f>
        <v>Wednesday</v>
      </c>
      <c r="K267" t="str" cm="1">
        <f t="array" ref="K267">_xlfn.IFS(Calls[[#This Row],[Duration]]&lt;10,"Under 10 Mins",Calls[[#This Row],[Duration]]&lt;=30,"10 - 30 Mins",Calls[[#This Row],[Duration]]&lt;=60,"30 - 60 Mins",Calls[[#This Row],[Duration]]&lt;=120,"1 - 2 Hours",TRUE,"More than 2  Hours")</f>
        <v>1 - 2 Hours</v>
      </c>
      <c r="L267">
        <f>ROUND(Calls[[#This Row],[Satisfaction Rating]],0)</f>
        <v>5</v>
      </c>
    </row>
    <row r="268" spans="2:12" x14ac:dyDescent="0.3">
      <c r="B268" s="22" t="s">
        <v>290</v>
      </c>
      <c r="C268" s="4" t="s">
        <v>19</v>
      </c>
      <c r="D268" s="4">
        <v>154</v>
      </c>
      <c r="E268" s="5" t="s">
        <v>9</v>
      </c>
      <c r="F268" s="9">
        <v>45007</v>
      </c>
      <c r="G268" s="4">
        <v>172</v>
      </c>
      <c r="H268" s="23">
        <v>3.1</v>
      </c>
      <c r="I268">
        <f>IF(MONTH(Calls[[#This Row],[Date of Call]])&lt;6,YEAR(Calls[[#This Row],[Date of Call]]),YEAR(Calls[[#This Row],[Date of Call]])+1)</f>
        <v>2023</v>
      </c>
      <c r="J268" t="str">
        <f>TEXT(Calls[[#This Row],[Date of Call]],"DDDD")</f>
        <v>Wednesday</v>
      </c>
      <c r="K268" t="str" cm="1">
        <f t="array" ref="K268">_xlfn.IFS(Calls[[#This Row],[Duration]]&lt;10,"Under 10 Mins",Calls[[#This Row],[Duration]]&lt;=30,"10 - 30 Mins",Calls[[#This Row],[Duration]]&lt;=60,"30 - 60 Mins",Calls[[#This Row],[Duration]]&lt;=120,"1 - 2 Hours",TRUE,"More than 2  Hours")</f>
        <v>More than 2  Hours</v>
      </c>
      <c r="L268">
        <f>ROUND(Calls[[#This Row],[Satisfaction Rating]],0)</f>
        <v>3</v>
      </c>
    </row>
    <row r="269" spans="2:12" x14ac:dyDescent="0.3">
      <c r="B269" s="22" t="s">
        <v>291</v>
      </c>
      <c r="C269" s="4" t="s">
        <v>18</v>
      </c>
      <c r="D269" s="4">
        <v>131</v>
      </c>
      <c r="E269" s="5" t="s">
        <v>9</v>
      </c>
      <c r="F269" s="9">
        <v>45007</v>
      </c>
      <c r="G269" s="4">
        <v>58</v>
      </c>
      <c r="H269" s="23">
        <v>4.9000000000000004</v>
      </c>
      <c r="I269">
        <f>IF(MONTH(Calls[[#This Row],[Date of Call]])&lt;6,YEAR(Calls[[#This Row],[Date of Call]]),YEAR(Calls[[#This Row],[Date of Call]])+1)</f>
        <v>2023</v>
      </c>
      <c r="J269" t="str">
        <f>TEXT(Calls[[#This Row],[Date of Call]],"DDDD")</f>
        <v>Wednesday</v>
      </c>
      <c r="K269" t="str" cm="1">
        <f t="array" ref="K269">_xlfn.IFS(Calls[[#This Row],[Duration]]&lt;10,"Under 10 Mins",Calls[[#This Row],[Duration]]&lt;=30,"10 - 30 Mins",Calls[[#This Row],[Duration]]&lt;=60,"30 - 60 Mins",Calls[[#This Row],[Duration]]&lt;=120,"1 - 2 Hours",TRUE,"More than 2  Hours")</f>
        <v>More than 2  Hours</v>
      </c>
      <c r="L269">
        <f>ROUND(Calls[[#This Row],[Satisfaction Rating]],0)</f>
        <v>5</v>
      </c>
    </row>
    <row r="270" spans="2:12" x14ac:dyDescent="0.3">
      <c r="B270" s="22" t="s">
        <v>292</v>
      </c>
      <c r="C270" s="4" t="s">
        <v>15</v>
      </c>
      <c r="D270" s="4">
        <v>111</v>
      </c>
      <c r="E270" s="5" t="s">
        <v>13</v>
      </c>
      <c r="F270" s="9">
        <v>45008</v>
      </c>
      <c r="G270" s="4">
        <v>86</v>
      </c>
      <c r="H270" s="23">
        <v>4.0999999999999996</v>
      </c>
      <c r="I270">
        <f>IF(MONTH(Calls[[#This Row],[Date of Call]])&lt;6,YEAR(Calls[[#This Row],[Date of Call]]),YEAR(Calls[[#This Row],[Date of Call]])+1)</f>
        <v>2023</v>
      </c>
      <c r="J270" t="str">
        <f>TEXT(Calls[[#This Row],[Date of Call]],"DDDD")</f>
        <v>Thursday</v>
      </c>
      <c r="K270" t="str" cm="1">
        <f t="array" ref="K270">_xlfn.IFS(Calls[[#This Row],[Duration]]&lt;10,"Under 10 Mins",Calls[[#This Row],[Duration]]&lt;=30,"10 - 30 Mins",Calls[[#This Row],[Duration]]&lt;=60,"30 - 60 Mins",Calls[[#This Row],[Duration]]&lt;=120,"1 - 2 Hours",TRUE,"More than 2  Hours")</f>
        <v>1 - 2 Hours</v>
      </c>
      <c r="L270">
        <f>ROUND(Calls[[#This Row],[Satisfaction Rating]],0)</f>
        <v>4</v>
      </c>
    </row>
    <row r="271" spans="2:12" x14ac:dyDescent="0.3">
      <c r="B271" s="22" t="s">
        <v>293</v>
      </c>
      <c r="C271" s="4" t="s">
        <v>16</v>
      </c>
      <c r="D271" s="4">
        <v>142</v>
      </c>
      <c r="E271" s="5" t="s">
        <v>13</v>
      </c>
      <c r="F271" s="9">
        <v>45009</v>
      </c>
      <c r="G271" s="4">
        <v>31</v>
      </c>
      <c r="H271" s="23">
        <v>4.4000000000000004</v>
      </c>
      <c r="I271">
        <f>IF(MONTH(Calls[[#This Row],[Date of Call]])&lt;6,YEAR(Calls[[#This Row],[Date of Call]]),YEAR(Calls[[#This Row],[Date of Call]])+1)</f>
        <v>2023</v>
      </c>
      <c r="J271" t="str">
        <f>TEXT(Calls[[#This Row],[Date of Call]],"DDDD")</f>
        <v>Friday</v>
      </c>
      <c r="K271" t="str" cm="1">
        <f t="array" ref="K271">_xlfn.IFS(Calls[[#This Row],[Duration]]&lt;10,"Under 10 Mins",Calls[[#This Row],[Duration]]&lt;=30,"10 - 30 Mins",Calls[[#This Row],[Duration]]&lt;=60,"30 - 60 Mins",Calls[[#This Row],[Duration]]&lt;=120,"1 - 2 Hours",TRUE,"More than 2  Hours")</f>
        <v>More than 2  Hours</v>
      </c>
      <c r="L271">
        <f>ROUND(Calls[[#This Row],[Satisfaction Rating]],0)</f>
        <v>4</v>
      </c>
    </row>
    <row r="272" spans="2:12" x14ac:dyDescent="0.3">
      <c r="B272" s="22" t="s">
        <v>294</v>
      </c>
      <c r="C272" s="4" t="s">
        <v>23</v>
      </c>
      <c r="D272" s="4">
        <v>93</v>
      </c>
      <c r="E272" s="5" t="s">
        <v>6</v>
      </c>
      <c r="F272" s="9">
        <v>45009</v>
      </c>
      <c r="G272" s="4">
        <v>72</v>
      </c>
      <c r="H272" s="23">
        <v>4.4000000000000004</v>
      </c>
      <c r="I272">
        <f>IF(MONTH(Calls[[#This Row],[Date of Call]])&lt;6,YEAR(Calls[[#This Row],[Date of Call]]),YEAR(Calls[[#This Row],[Date of Call]])+1)</f>
        <v>2023</v>
      </c>
      <c r="J272" t="str">
        <f>TEXT(Calls[[#This Row],[Date of Call]],"DDDD")</f>
        <v>Friday</v>
      </c>
      <c r="K272" t="str" cm="1">
        <f t="array" ref="K272">_xlfn.IFS(Calls[[#This Row],[Duration]]&lt;10,"Under 10 Mins",Calls[[#This Row],[Duration]]&lt;=30,"10 - 30 Mins",Calls[[#This Row],[Duration]]&lt;=60,"30 - 60 Mins",Calls[[#This Row],[Duration]]&lt;=120,"1 - 2 Hours",TRUE,"More than 2  Hours")</f>
        <v>1 - 2 Hours</v>
      </c>
      <c r="L272">
        <f>ROUND(Calls[[#This Row],[Satisfaction Rating]],0)</f>
        <v>4</v>
      </c>
    </row>
    <row r="273" spans="2:12" x14ac:dyDescent="0.3">
      <c r="B273" s="22" t="s">
        <v>295</v>
      </c>
      <c r="C273" s="4" t="s">
        <v>16</v>
      </c>
      <c r="D273" s="4">
        <v>125</v>
      </c>
      <c r="E273" s="5" t="s">
        <v>10</v>
      </c>
      <c r="F273" s="9">
        <v>45010</v>
      </c>
      <c r="G273" s="4">
        <v>27</v>
      </c>
      <c r="H273" s="23">
        <v>3</v>
      </c>
      <c r="I273">
        <f>IF(MONTH(Calls[[#This Row],[Date of Call]])&lt;6,YEAR(Calls[[#This Row],[Date of Call]]),YEAR(Calls[[#This Row],[Date of Call]])+1)</f>
        <v>2023</v>
      </c>
      <c r="J273" t="str">
        <f>TEXT(Calls[[#This Row],[Date of Call]],"DDDD")</f>
        <v>Saturday</v>
      </c>
      <c r="K273" t="str" cm="1">
        <f t="array" ref="K273">_xlfn.IFS(Calls[[#This Row],[Duration]]&lt;10,"Under 10 Mins",Calls[[#This Row],[Duration]]&lt;=30,"10 - 30 Mins",Calls[[#This Row],[Duration]]&lt;=60,"30 - 60 Mins",Calls[[#This Row],[Duration]]&lt;=120,"1 - 2 Hours",TRUE,"More than 2  Hours")</f>
        <v>More than 2  Hours</v>
      </c>
      <c r="L273">
        <f>ROUND(Calls[[#This Row],[Satisfaction Rating]],0)</f>
        <v>3</v>
      </c>
    </row>
    <row r="274" spans="2:12" x14ac:dyDescent="0.3">
      <c r="B274" s="22" t="s">
        <v>296</v>
      </c>
      <c r="C274" s="4" t="s">
        <v>5</v>
      </c>
      <c r="D274" s="4">
        <v>76</v>
      </c>
      <c r="E274" s="5" t="s">
        <v>9</v>
      </c>
      <c r="F274" s="9">
        <v>45010</v>
      </c>
      <c r="G274" s="4">
        <v>110</v>
      </c>
      <c r="H274" s="23">
        <v>4.4000000000000004</v>
      </c>
      <c r="I274">
        <f>IF(MONTH(Calls[[#This Row],[Date of Call]])&lt;6,YEAR(Calls[[#This Row],[Date of Call]]),YEAR(Calls[[#This Row],[Date of Call]])+1)</f>
        <v>2023</v>
      </c>
      <c r="J274" t="str">
        <f>TEXT(Calls[[#This Row],[Date of Call]],"DDDD")</f>
        <v>Saturday</v>
      </c>
      <c r="K274" t="str" cm="1">
        <f t="array" ref="K274">_xlfn.IFS(Calls[[#This Row],[Duration]]&lt;10,"Under 10 Mins",Calls[[#This Row],[Duration]]&lt;=30,"10 - 30 Mins",Calls[[#This Row],[Duration]]&lt;=60,"30 - 60 Mins",Calls[[#This Row],[Duration]]&lt;=120,"1 - 2 Hours",TRUE,"More than 2  Hours")</f>
        <v>1 - 2 Hours</v>
      </c>
      <c r="L274">
        <f>ROUND(Calls[[#This Row],[Satisfaction Rating]],0)</f>
        <v>4</v>
      </c>
    </row>
    <row r="275" spans="2:12" x14ac:dyDescent="0.3">
      <c r="B275" s="22" t="s">
        <v>297</v>
      </c>
      <c r="C275" s="4" t="s">
        <v>7</v>
      </c>
      <c r="D275" s="4">
        <v>69</v>
      </c>
      <c r="E275" s="5" t="s">
        <v>6</v>
      </c>
      <c r="F275" s="9">
        <v>45010</v>
      </c>
      <c r="G275" s="4">
        <v>126</v>
      </c>
      <c r="H275" s="23">
        <v>3.7</v>
      </c>
      <c r="I275">
        <f>IF(MONTH(Calls[[#This Row],[Date of Call]])&lt;6,YEAR(Calls[[#This Row],[Date of Call]]),YEAR(Calls[[#This Row],[Date of Call]])+1)</f>
        <v>2023</v>
      </c>
      <c r="J275" t="str">
        <f>TEXT(Calls[[#This Row],[Date of Call]],"DDDD")</f>
        <v>Saturday</v>
      </c>
      <c r="K275" t="str" cm="1">
        <f t="array" ref="K275">_xlfn.IFS(Calls[[#This Row],[Duration]]&lt;10,"Under 10 Mins",Calls[[#This Row],[Duration]]&lt;=30,"10 - 30 Mins",Calls[[#This Row],[Duration]]&lt;=60,"30 - 60 Mins",Calls[[#This Row],[Duration]]&lt;=120,"1 - 2 Hours",TRUE,"More than 2  Hours")</f>
        <v>1 - 2 Hours</v>
      </c>
      <c r="L275">
        <f>ROUND(Calls[[#This Row],[Satisfaction Rating]],0)</f>
        <v>4</v>
      </c>
    </row>
    <row r="276" spans="2:12" x14ac:dyDescent="0.3">
      <c r="B276" s="22" t="s">
        <v>298</v>
      </c>
      <c r="C276" s="4" t="s">
        <v>22</v>
      </c>
      <c r="D276" s="4">
        <v>149</v>
      </c>
      <c r="E276" s="5" t="s">
        <v>10</v>
      </c>
      <c r="F276" s="9">
        <v>45010</v>
      </c>
      <c r="G276" s="4">
        <v>60</v>
      </c>
      <c r="H276" s="23">
        <v>3.9</v>
      </c>
      <c r="I276">
        <f>IF(MONTH(Calls[[#This Row],[Date of Call]])&lt;6,YEAR(Calls[[#This Row],[Date of Call]]),YEAR(Calls[[#This Row],[Date of Call]])+1)</f>
        <v>2023</v>
      </c>
      <c r="J276" t="str">
        <f>TEXT(Calls[[#This Row],[Date of Call]],"DDDD")</f>
        <v>Saturday</v>
      </c>
      <c r="K276" t="str" cm="1">
        <f t="array" ref="K276">_xlfn.IFS(Calls[[#This Row],[Duration]]&lt;10,"Under 10 Mins",Calls[[#This Row],[Duration]]&lt;=30,"10 - 30 Mins",Calls[[#This Row],[Duration]]&lt;=60,"30 - 60 Mins",Calls[[#This Row],[Duration]]&lt;=120,"1 - 2 Hours",TRUE,"More than 2  Hours")</f>
        <v>More than 2  Hours</v>
      </c>
      <c r="L276">
        <f>ROUND(Calls[[#This Row],[Satisfaction Rating]],0)</f>
        <v>4</v>
      </c>
    </row>
    <row r="277" spans="2:12" x14ac:dyDescent="0.3">
      <c r="B277" s="22" t="s">
        <v>299</v>
      </c>
      <c r="C277" s="4" t="s">
        <v>16</v>
      </c>
      <c r="D277" s="4">
        <v>57</v>
      </c>
      <c r="E277" s="5" t="s">
        <v>6</v>
      </c>
      <c r="F277" s="9">
        <v>45010</v>
      </c>
      <c r="G277" s="4">
        <v>35</v>
      </c>
      <c r="H277" s="23">
        <v>3.5</v>
      </c>
      <c r="I277">
        <f>IF(MONTH(Calls[[#This Row],[Date of Call]])&lt;6,YEAR(Calls[[#This Row],[Date of Call]]),YEAR(Calls[[#This Row],[Date of Call]])+1)</f>
        <v>2023</v>
      </c>
      <c r="J277" t="str">
        <f>TEXT(Calls[[#This Row],[Date of Call]],"DDDD")</f>
        <v>Saturday</v>
      </c>
      <c r="K277" t="str" cm="1">
        <f t="array" ref="K277">_xlfn.IFS(Calls[[#This Row],[Duration]]&lt;10,"Under 10 Mins",Calls[[#This Row],[Duration]]&lt;=30,"10 - 30 Mins",Calls[[#This Row],[Duration]]&lt;=60,"30 - 60 Mins",Calls[[#This Row],[Duration]]&lt;=120,"1 - 2 Hours",TRUE,"More than 2  Hours")</f>
        <v>30 - 60 Mins</v>
      </c>
      <c r="L277">
        <f>ROUND(Calls[[#This Row],[Satisfaction Rating]],0)</f>
        <v>4</v>
      </c>
    </row>
    <row r="278" spans="2:12" x14ac:dyDescent="0.3">
      <c r="B278" s="22" t="s">
        <v>300</v>
      </c>
      <c r="C278" s="4" t="s">
        <v>12</v>
      </c>
      <c r="D278" s="4">
        <v>113</v>
      </c>
      <c r="E278" s="5" t="s">
        <v>9</v>
      </c>
      <c r="F278" s="9">
        <v>45010</v>
      </c>
      <c r="G278" s="4">
        <v>81</v>
      </c>
      <c r="H278" s="23">
        <v>3.5</v>
      </c>
      <c r="I278">
        <f>IF(MONTH(Calls[[#This Row],[Date of Call]])&lt;6,YEAR(Calls[[#This Row],[Date of Call]]),YEAR(Calls[[#This Row],[Date of Call]])+1)</f>
        <v>2023</v>
      </c>
      <c r="J278" t="str">
        <f>TEXT(Calls[[#This Row],[Date of Call]],"DDDD")</f>
        <v>Saturday</v>
      </c>
      <c r="K278" t="str" cm="1">
        <f t="array" ref="K278">_xlfn.IFS(Calls[[#This Row],[Duration]]&lt;10,"Under 10 Mins",Calls[[#This Row],[Duration]]&lt;=30,"10 - 30 Mins",Calls[[#This Row],[Duration]]&lt;=60,"30 - 60 Mins",Calls[[#This Row],[Duration]]&lt;=120,"1 - 2 Hours",TRUE,"More than 2  Hours")</f>
        <v>1 - 2 Hours</v>
      </c>
      <c r="L278">
        <f>ROUND(Calls[[#This Row],[Satisfaction Rating]],0)</f>
        <v>4</v>
      </c>
    </row>
    <row r="279" spans="2:12" x14ac:dyDescent="0.3">
      <c r="B279" s="22" t="s">
        <v>301</v>
      </c>
      <c r="C279" s="4" t="s">
        <v>20</v>
      </c>
      <c r="D279" s="4">
        <v>160</v>
      </c>
      <c r="E279" s="5" t="s">
        <v>10</v>
      </c>
      <c r="F279" s="9">
        <v>45010</v>
      </c>
      <c r="G279" s="4">
        <v>116</v>
      </c>
      <c r="H279" s="23">
        <v>3.4</v>
      </c>
      <c r="I279">
        <f>IF(MONTH(Calls[[#This Row],[Date of Call]])&lt;6,YEAR(Calls[[#This Row],[Date of Call]]),YEAR(Calls[[#This Row],[Date of Call]])+1)</f>
        <v>2023</v>
      </c>
      <c r="J279" t="str">
        <f>TEXT(Calls[[#This Row],[Date of Call]],"DDDD")</f>
        <v>Saturday</v>
      </c>
      <c r="K279" t="str" cm="1">
        <f t="array" ref="K279">_xlfn.IFS(Calls[[#This Row],[Duration]]&lt;10,"Under 10 Mins",Calls[[#This Row],[Duration]]&lt;=30,"10 - 30 Mins",Calls[[#This Row],[Duration]]&lt;=60,"30 - 60 Mins",Calls[[#This Row],[Duration]]&lt;=120,"1 - 2 Hours",TRUE,"More than 2  Hours")</f>
        <v>More than 2  Hours</v>
      </c>
      <c r="L279">
        <f>ROUND(Calls[[#This Row],[Satisfaction Rating]],0)</f>
        <v>3</v>
      </c>
    </row>
    <row r="280" spans="2:12" x14ac:dyDescent="0.3">
      <c r="B280" s="22" t="s">
        <v>302</v>
      </c>
      <c r="C280" s="4" t="s">
        <v>8</v>
      </c>
      <c r="D280" s="4">
        <v>158</v>
      </c>
      <c r="E280" s="5" t="s">
        <v>11</v>
      </c>
      <c r="F280" s="9">
        <v>45010</v>
      </c>
      <c r="G280" s="4">
        <v>60</v>
      </c>
      <c r="H280" s="23">
        <v>4.5</v>
      </c>
      <c r="I280">
        <f>IF(MONTH(Calls[[#This Row],[Date of Call]])&lt;6,YEAR(Calls[[#This Row],[Date of Call]]),YEAR(Calls[[#This Row],[Date of Call]])+1)</f>
        <v>2023</v>
      </c>
      <c r="J280" t="str">
        <f>TEXT(Calls[[#This Row],[Date of Call]],"DDDD")</f>
        <v>Saturday</v>
      </c>
      <c r="K280" t="str" cm="1">
        <f t="array" ref="K280">_xlfn.IFS(Calls[[#This Row],[Duration]]&lt;10,"Under 10 Mins",Calls[[#This Row],[Duration]]&lt;=30,"10 - 30 Mins",Calls[[#This Row],[Duration]]&lt;=60,"30 - 60 Mins",Calls[[#This Row],[Duration]]&lt;=120,"1 - 2 Hours",TRUE,"More than 2  Hours")</f>
        <v>More than 2  Hours</v>
      </c>
      <c r="L280">
        <f>ROUND(Calls[[#This Row],[Satisfaction Rating]],0)</f>
        <v>5</v>
      </c>
    </row>
    <row r="281" spans="2:12" x14ac:dyDescent="0.3">
      <c r="B281" s="22" t="s">
        <v>303</v>
      </c>
      <c r="C281" s="4" t="s">
        <v>7</v>
      </c>
      <c r="D281" s="4">
        <v>77</v>
      </c>
      <c r="E281" s="5" t="s">
        <v>10</v>
      </c>
      <c r="F281" s="9">
        <v>45011</v>
      </c>
      <c r="G281" s="4">
        <v>130</v>
      </c>
      <c r="H281" s="23">
        <v>4.2</v>
      </c>
      <c r="I281">
        <f>IF(MONTH(Calls[[#This Row],[Date of Call]])&lt;6,YEAR(Calls[[#This Row],[Date of Call]]),YEAR(Calls[[#This Row],[Date of Call]])+1)</f>
        <v>2023</v>
      </c>
      <c r="J281" t="str">
        <f>TEXT(Calls[[#This Row],[Date of Call]],"DDDD")</f>
        <v>Sunday</v>
      </c>
      <c r="K281" t="str" cm="1">
        <f t="array" ref="K281">_xlfn.IFS(Calls[[#This Row],[Duration]]&lt;10,"Under 10 Mins",Calls[[#This Row],[Duration]]&lt;=30,"10 - 30 Mins",Calls[[#This Row],[Duration]]&lt;=60,"30 - 60 Mins",Calls[[#This Row],[Duration]]&lt;=120,"1 - 2 Hours",TRUE,"More than 2  Hours")</f>
        <v>1 - 2 Hours</v>
      </c>
      <c r="L281">
        <f>ROUND(Calls[[#This Row],[Satisfaction Rating]],0)</f>
        <v>4</v>
      </c>
    </row>
    <row r="282" spans="2:12" x14ac:dyDescent="0.3">
      <c r="B282" s="22" t="s">
        <v>304</v>
      </c>
      <c r="C282" s="4" t="s">
        <v>14</v>
      </c>
      <c r="D282" s="4">
        <v>118</v>
      </c>
      <c r="E282" s="5" t="s">
        <v>13</v>
      </c>
      <c r="F282" s="9">
        <v>45011</v>
      </c>
      <c r="G282" s="4">
        <v>99</v>
      </c>
      <c r="H282" s="23">
        <v>5</v>
      </c>
      <c r="I282">
        <f>IF(MONTH(Calls[[#This Row],[Date of Call]])&lt;6,YEAR(Calls[[#This Row],[Date of Call]]),YEAR(Calls[[#This Row],[Date of Call]])+1)</f>
        <v>2023</v>
      </c>
      <c r="J282" t="str">
        <f>TEXT(Calls[[#This Row],[Date of Call]],"DDDD")</f>
        <v>Sunday</v>
      </c>
      <c r="K282" t="str" cm="1">
        <f t="array" ref="K282">_xlfn.IFS(Calls[[#This Row],[Duration]]&lt;10,"Under 10 Mins",Calls[[#This Row],[Duration]]&lt;=30,"10 - 30 Mins",Calls[[#This Row],[Duration]]&lt;=60,"30 - 60 Mins",Calls[[#This Row],[Duration]]&lt;=120,"1 - 2 Hours",TRUE,"More than 2  Hours")</f>
        <v>1 - 2 Hours</v>
      </c>
      <c r="L282">
        <f>ROUND(Calls[[#This Row],[Satisfaction Rating]],0)</f>
        <v>5</v>
      </c>
    </row>
    <row r="283" spans="2:12" x14ac:dyDescent="0.3">
      <c r="B283" s="22" t="s">
        <v>305</v>
      </c>
      <c r="C283" s="4" t="s">
        <v>19</v>
      </c>
      <c r="D283" s="4">
        <v>75</v>
      </c>
      <c r="E283" s="5" t="s">
        <v>9</v>
      </c>
      <c r="F283" s="9">
        <v>45011</v>
      </c>
      <c r="G283" s="4">
        <v>135</v>
      </c>
      <c r="H283" s="23">
        <v>4.7</v>
      </c>
      <c r="I283">
        <f>IF(MONTH(Calls[[#This Row],[Date of Call]])&lt;6,YEAR(Calls[[#This Row],[Date of Call]]),YEAR(Calls[[#This Row],[Date of Call]])+1)</f>
        <v>2023</v>
      </c>
      <c r="J283" t="str">
        <f>TEXT(Calls[[#This Row],[Date of Call]],"DDDD")</f>
        <v>Sunday</v>
      </c>
      <c r="K283" t="str" cm="1">
        <f t="array" ref="K283">_xlfn.IFS(Calls[[#This Row],[Duration]]&lt;10,"Under 10 Mins",Calls[[#This Row],[Duration]]&lt;=30,"10 - 30 Mins",Calls[[#This Row],[Duration]]&lt;=60,"30 - 60 Mins",Calls[[#This Row],[Duration]]&lt;=120,"1 - 2 Hours",TRUE,"More than 2  Hours")</f>
        <v>1 - 2 Hours</v>
      </c>
      <c r="L283">
        <f>ROUND(Calls[[#This Row],[Satisfaction Rating]],0)</f>
        <v>5</v>
      </c>
    </row>
    <row r="284" spans="2:12" x14ac:dyDescent="0.3">
      <c r="B284" s="22" t="s">
        <v>306</v>
      </c>
      <c r="C284" s="4" t="s">
        <v>12</v>
      </c>
      <c r="D284" s="4">
        <v>103</v>
      </c>
      <c r="E284" s="5" t="s">
        <v>10</v>
      </c>
      <c r="F284" s="9">
        <v>45011</v>
      </c>
      <c r="G284" s="4">
        <v>42</v>
      </c>
      <c r="H284" s="23">
        <v>2.8</v>
      </c>
      <c r="I284">
        <f>IF(MONTH(Calls[[#This Row],[Date of Call]])&lt;6,YEAR(Calls[[#This Row],[Date of Call]]),YEAR(Calls[[#This Row],[Date of Call]])+1)</f>
        <v>2023</v>
      </c>
      <c r="J284" t="str">
        <f>TEXT(Calls[[#This Row],[Date of Call]],"DDDD")</f>
        <v>Sunday</v>
      </c>
      <c r="K284" t="str" cm="1">
        <f t="array" ref="K284">_xlfn.IFS(Calls[[#This Row],[Duration]]&lt;10,"Under 10 Mins",Calls[[#This Row],[Duration]]&lt;=30,"10 - 30 Mins",Calls[[#This Row],[Duration]]&lt;=60,"30 - 60 Mins",Calls[[#This Row],[Duration]]&lt;=120,"1 - 2 Hours",TRUE,"More than 2  Hours")</f>
        <v>1 - 2 Hours</v>
      </c>
      <c r="L284">
        <f>ROUND(Calls[[#This Row],[Satisfaction Rating]],0)</f>
        <v>3</v>
      </c>
    </row>
    <row r="285" spans="2:12" x14ac:dyDescent="0.3">
      <c r="B285" s="22" t="s">
        <v>307</v>
      </c>
      <c r="C285" s="4" t="s">
        <v>7</v>
      </c>
      <c r="D285" s="4">
        <v>116</v>
      </c>
      <c r="E285" s="5" t="s">
        <v>13</v>
      </c>
      <c r="F285" s="9">
        <v>45012</v>
      </c>
      <c r="G285" s="4">
        <v>63</v>
      </c>
      <c r="H285" s="23">
        <v>3.4</v>
      </c>
      <c r="I285">
        <f>IF(MONTH(Calls[[#This Row],[Date of Call]])&lt;6,YEAR(Calls[[#This Row],[Date of Call]]),YEAR(Calls[[#This Row],[Date of Call]])+1)</f>
        <v>2023</v>
      </c>
      <c r="J285" t="str">
        <f>TEXT(Calls[[#This Row],[Date of Call]],"DDDD")</f>
        <v>Monday</v>
      </c>
      <c r="K285" t="str" cm="1">
        <f t="array" ref="K285">_xlfn.IFS(Calls[[#This Row],[Duration]]&lt;10,"Under 10 Mins",Calls[[#This Row],[Duration]]&lt;=30,"10 - 30 Mins",Calls[[#This Row],[Duration]]&lt;=60,"30 - 60 Mins",Calls[[#This Row],[Duration]]&lt;=120,"1 - 2 Hours",TRUE,"More than 2  Hours")</f>
        <v>1 - 2 Hours</v>
      </c>
      <c r="L285">
        <f>ROUND(Calls[[#This Row],[Satisfaction Rating]],0)</f>
        <v>3</v>
      </c>
    </row>
    <row r="286" spans="2:12" x14ac:dyDescent="0.3">
      <c r="B286" s="22" t="s">
        <v>308</v>
      </c>
      <c r="C286" s="4" t="s">
        <v>15</v>
      </c>
      <c r="D286" s="4">
        <v>61</v>
      </c>
      <c r="E286" s="5" t="s">
        <v>11</v>
      </c>
      <c r="F286" s="9">
        <v>45012</v>
      </c>
      <c r="G286" s="4">
        <v>140</v>
      </c>
      <c r="H286" s="23">
        <v>1.8</v>
      </c>
      <c r="I286">
        <f>IF(MONTH(Calls[[#This Row],[Date of Call]])&lt;6,YEAR(Calls[[#This Row],[Date of Call]]),YEAR(Calls[[#This Row],[Date of Call]])+1)</f>
        <v>2023</v>
      </c>
      <c r="J286" t="str">
        <f>TEXT(Calls[[#This Row],[Date of Call]],"DDDD")</f>
        <v>Monday</v>
      </c>
      <c r="K286" t="str" cm="1">
        <f t="array" ref="K286">_xlfn.IFS(Calls[[#This Row],[Duration]]&lt;10,"Under 10 Mins",Calls[[#This Row],[Duration]]&lt;=30,"10 - 30 Mins",Calls[[#This Row],[Duration]]&lt;=60,"30 - 60 Mins",Calls[[#This Row],[Duration]]&lt;=120,"1 - 2 Hours",TRUE,"More than 2  Hours")</f>
        <v>1 - 2 Hours</v>
      </c>
      <c r="L286">
        <f>ROUND(Calls[[#This Row],[Satisfaction Rating]],0)</f>
        <v>2</v>
      </c>
    </row>
    <row r="287" spans="2:12" x14ac:dyDescent="0.3">
      <c r="B287" s="22" t="s">
        <v>309</v>
      </c>
      <c r="C287" s="4" t="s">
        <v>16</v>
      </c>
      <c r="D287" s="4">
        <v>126</v>
      </c>
      <c r="E287" s="5" t="s">
        <v>9</v>
      </c>
      <c r="F287" s="9">
        <v>45012</v>
      </c>
      <c r="G287" s="4">
        <v>128</v>
      </c>
      <c r="H287" s="23">
        <v>4.2</v>
      </c>
      <c r="I287">
        <f>IF(MONTH(Calls[[#This Row],[Date of Call]])&lt;6,YEAR(Calls[[#This Row],[Date of Call]]),YEAR(Calls[[#This Row],[Date of Call]])+1)</f>
        <v>2023</v>
      </c>
      <c r="J287" t="str">
        <f>TEXT(Calls[[#This Row],[Date of Call]],"DDDD")</f>
        <v>Monday</v>
      </c>
      <c r="K287" t="str" cm="1">
        <f t="array" ref="K287">_xlfn.IFS(Calls[[#This Row],[Duration]]&lt;10,"Under 10 Mins",Calls[[#This Row],[Duration]]&lt;=30,"10 - 30 Mins",Calls[[#This Row],[Duration]]&lt;=60,"30 - 60 Mins",Calls[[#This Row],[Duration]]&lt;=120,"1 - 2 Hours",TRUE,"More than 2  Hours")</f>
        <v>More than 2  Hours</v>
      </c>
      <c r="L287">
        <f>ROUND(Calls[[#This Row],[Satisfaction Rating]],0)</f>
        <v>4</v>
      </c>
    </row>
    <row r="288" spans="2:12" x14ac:dyDescent="0.3">
      <c r="B288" s="22" t="s">
        <v>310</v>
      </c>
      <c r="C288" s="4" t="s">
        <v>24</v>
      </c>
      <c r="D288" s="4">
        <v>141</v>
      </c>
      <c r="E288" s="5" t="s">
        <v>6</v>
      </c>
      <c r="F288" s="9">
        <v>45012</v>
      </c>
      <c r="G288" s="4">
        <v>80</v>
      </c>
      <c r="H288" s="23">
        <v>4.4000000000000004</v>
      </c>
      <c r="I288">
        <f>IF(MONTH(Calls[[#This Row],[Date of Call]])&lt;6,YEAR(Calls[[#This Row],[Date of Call]]),YEAR(Calls[[#This Row],[Date of Call]])+1)</f>
        <v>2023</v>
      </c>
      <c r="J288" t="str">
        <f>TEXT(Calls[[#This Row],[Date of Call]],"DDDD")</f>
        <v>Monday</v>
      </c>
      <c r="K288" t="str" cm="1">
        <f t="array" ref="K288">_xlfn.IFS(Calls[[#This Row],[Duration]]&lt;10,"Under 10 Mins",Calls[[#This Row],[Duration]]&lt;=30,"10 - 30 Mins",Calls[[#This Row],[Duration]]&lt;=60,"30 - 60 Mins",Calls[[#This Row],[Duration]]&lt;=120,"1 - 2 Hours",TRUE,"More than 2  Hours")</f>
        <v>More than 2  Hours</v>
      </c>
      <c r="L288">
        <f>ROUND(Calls[[#This Row],[Satisfaction Rating]],0)</f>
        <v>4</v>
      </c>
    </row>
    <row r="289" spans="2:12" x14ac:dyDescent="0.3">
      <c r="B289" s="22" t="s">
        <v>311</v>
      </c>
      <c r="C289" s="4" t="s">
        <v>8</v>
      </c>
      <c r="D289" s="4">
        <v>95</v>
      </c>
      <c r="E289" s="5" t="s">
        <v>13</v>
      </c>
      <c r="F289" s="9">
        <v>45012</v>
      </c>
      <c r="G289" s="4">
        <v>28</v>
      </c>
      <c r="H289" s="23">
        <v>2.7</v>
      </c>
      <c r="I289">
        <f>IF(MONTH(Calls[[#This Row],[Date of Call]])&lt;6,YEAR(Calls[[#This Row],[Date of Call]]),YEAR(Calls[[#This Row],[Date of Call]])+1)</f>
        <v>2023</v>
      </c>
      <c r="J289" t="str">
        <f>TEXT(Calls[[#This Row],[Date of Call]],"DDDD")</f>
        <v>Monday</v>
      </c>
      <c r="K289" t="str" cm="1">
        <f t="array" ref="K289">_xlfn.IFS(Calls[[#This Row],[Duration]]&lt;10,"Under 10 Mins",Calls[[#This Row],[Duration]]&lt;=30,"10 - 30 Mins",Calls[[#This Row],[Duration]]&lt;=60,"30 - 60 Mins",Calls[[#This Row],[Duration]]&lt;=120,"1 - 2 Hours",TRUE,"More than 2  Hours")</f>
        <v>1 - 2 Hours</v>
      </c>
      <c r="L289">
        <f>ROUND(Calls[[#This Row],[Satisfaction Rating]],0)</f>
        <v>3</v>
      </c>
    </row>
    <row r="290" spans="2:12" x14ac:dyDescent="0.3">
      <c r="B290" s="22" t="s">
        <v>312</v>
      </c>
      <c r="C290" s="4" t="s">
        <v>19</v>
      </c>
      <c r="D290" s="4">
        <v>39</v>
      </c>
      <c r="E290" s="5" t="s">
        <v>11</v>
      </c>
      <c r="F290" s="9">
        <v>45013</v>
      </c>
      <c r="G290" s="4">
        <v>81</v>
      </c>
      <c r="H290" s="23">
        <v>5</v>
      </c>
      <c r="I290">
        <f>IF(MONTH(Calls[[#This Row],[Date of Call]])&lt;6,YEAR(Calls[[#This Row],[Date of Call]]),YEAR(Calls[[#This Row],[Date of Call]])+1)</f>
        <v>2023</v>
      </c>
      <c r="J290" t="str">
        <f>TEXT(Calls[[#This Row],[Date of Call]],"DDDD")</f>
        <v>Tuesday</v>
      </c>
      <c r="K290" t="str" cm="1">
        <f t="array" ref="K290">_xlfn.IFS(Calls[[#This Row],[Duration]]&lt;10,"Under 10 Mins",Calls[[#This Row],[Duration]]&lt;=30,"10 - 30 Mins",Calls[[#This Row],[Duration]]&lt;=60,"30 - 60 Mins",Calls[[#This Row],[Duration]]&lt;=120,"1 - 2 Hours",TRUE,"More than 2  Hours")</f>
        <v>30 - 60 Mins</v>
      </c>
      <c r="L290">
        <f>ROUND(Calls[[#This Row],[Satisfaction Rating]],0)</f>
        <v>5</v>
      </c>
    </row>
    <row r="291" spans="2:12" x14ac:dyDescent="0.3">
      <c r="B291" s="22" t="s">
        <v>313</v>
      </c>
      <c r="C291" s="4" t="s">
        <v>12</v>
      </c>
      <c r="D291" s="4">
        <v>127</v>
      </c>
      <c r="E291" s="5" t="s">
        <v>9</v>
      </c>
      <c r="F291" s="9">
        <v>45013</v>
      </c>
      <c r="G291" s="4">
        <v>99</v>
      </c>
      <c r="H291" s="23">
        <v>3.9</v>
      </c>
      <c r="I291">
        <f>IF(MONTH(Calls[[#This Row],[Date of Call]])&lt;6,YEAR(Calls[[#This Row],[Date of Call]]),YEAR(Calls[[#This Row],[Date of Call]])+1)</f>
        <v>2023</v>
      </c>
      <c r="J291" t="str">
        <f>TEXT(Calls[[#This Row],[Date of Call]],"DDDD")</f>
        <v>Tuesday</v>
      </c>
      <c r="K291" t="str" cm="1">
        <f t="array" ref="K291">_xlfn.IFS(Calls[[#This Row],[Duration]]&lt;10,"Under 10 Mins",Calls[[#This Row],[Duration]]&lt;=30,"10 - 30 Mins",Calls[[#This Row],[Duration]]&lt;=60,"30 - 60 Mins",Calls[[#This Row],[Duration]]&lt;=120,"1 - 2 Hours",TRUE,"More than 2  Hours")</f>
        <v>More than 2  Hours</v>
      </c>
      <c r="L291">
        <f>ROUND(Calls[[#This Row],[Satisfaction Rating]],0)</f>
        <v>4</v>
      </c>
    </row>
    <row r="292" spans="2:12" x14ac:dyDescent="0.3">
      <c r="B292" s="22" t="s">
        <v>314</v>
      </c>
      <c r="C292" s="4" t="s">
        <v>15</v>
      </c>
      <c r="D292" s="4">
        <v>78</v>
      </c>
      <c r="E292" s="5" t="s">
        <v>9</v>
      </c>
      <c r="F292" s="9">
        <v>45013</v>
      </c>
      <c r="G292" s="4">
        <v>43</v>
      </c>
      <c r="H292" s="23">
        <v>3.8</v>
      </c>
      <c r="I292">
        <f>IF(MONTH(Calls[[#This Row],[Date of Call]])&lt;6,YEAR(Calls[[#This Row],[Date of Call]]),YEAR(Calls[[#This Row],[Date of Call]])+1)</f>
        <v>2023</v>
      </c>
      <c r="J292" t="str">
        <f>TEXT(Calls[[#This Row],[Date of Call]],"DDDD")</f>
        <v>Tuesday</v>
      </c>
      <c r="K292" t="str" cm="1">
        <f t="array" ref="K292">_xlfn.IFS(Calls[[#This Row],[Duration]]&lt;10,"Under 10 Mins",Calls[[#This Row],[Duration]]&lt;=30,"10 - 30 Mins",Calls[[#This Row],[Duration]]&lt;=60,"30 - 60 Mins",Calls[[#This Row],[Duration]]&lt;=120,"1 - 2 Hours",TRUE,"More than 2  Hours")</f>
        <v>1 - 2 Hours</v>
      </c>
      <c r="L292">
        <f>ROUND(Calls[[#This Row],[Satisfaction Rating]],0)</f>
        <v>4</v>
      </c>
    </row>
    <row r="293" spans="2:12" x14ac:dyDescent="0.3">
      <c r="B293" s="22" t="s">
        <v>315</v>
      </c>
      <c r="C293" s="4" t="s">
        <v>14</v>
      </c>
      <c r="D293" s="4">
        <v>40</v>
      </c>
      <c r="E293" s="5" t="s">
        <v>9</v>
      </c>
      <c r="F293" s="9">
        <v>45013</v>
      </c>
      <c r="G293" s="4">
        <v>34</v>
      </c>
      <c r="H293" s="23">
        <v>4.5999999999999996</v>
      </c>
      <c r="I293">
        <f>IF(MONTH(Calls[[#This Row],[Date of Call]])&lt;6,YEAR(Calls[[#This Row],[Date of Call]]),YEAR(Calls[[#This Row],[Date of Call]])+1)</f>
        <v>2023</v>
      </c>
      <c r="J293" t="str">
        <f>TEXT(Calls[[#This Row],[Date of Call]],"DDDD")</f>
        <v>Tuesday</v>
      </c>
      <c r="K293" t="str" cm="1">
        <f t="array" ref="K293">_xlfn.IFS(Calls[[#This Row],[Duration]]&lt;10,"Under 10 Mins",Calls[[#This Row],[Duration]]&lt;=30,"10 - 30 Mins",Calls[[#This Row],[Duration]]&lt;=60,"30 - 60 Mins",Calls[[#This Row],[Duration]]&lt;=120,"1 - 2 Hours",TRUE,"More than 2  Hours")</f>
        <v>30 - 60 Mins</v>
      </c>
      <c r="L293">
        <f>ROUND(Calls[[#This Row],[Satisfaction Rating]],0)</f>
        <v>5</v>
      </c>
    </row>
    <row r="294" spans="2:12" x14ac:dyDescent="0.3">
      <c r="B294" s="22" t="s">
        <v>316</v>
      </c>
      <c r="C294" s="4" t="s">
        <v>15</v>
      </c>
      <c r="D294" s="4">
        <v>56</v>
      </c>
      <c r="E294" s="5" t="s">
        <v>11</v>
      </c>
      <c r="F294" s="9">
        <v>45013</v>
      </c>
      <c r="G294" s="4">
        <v>225</v>
      </c>
      <c r="H294" s="23">
        <v>4.5999999999999996</v>
      </c>
      <c r="I294">
        <f>IF(MONTH(Calls[[#This Row],[Date of Call]])&lt;6,YEAR(Calls[[#This Row],[Date of Call]]),YEAR(Calls[[#This Row],[Date of Call]])+1)</f>
        <v>2023</v>
      </c>
      <c r="J294" t="str">
        <f>TEXT(Calls[[#This Row],[Date of Call]],"DDDD")</f>
        <v>Tuesday</v>
      </c>
      <c r="K294" t="str" cm="1">
        <f t="array" ref="K294">_xlfn.IFS(Calls[[#This Row],[Duration]]&lt;10,"Under 10 Mins",Calls[[#This Row],[Duration]]&lt;=30,"10 - 30 Mins",Calls[[#This Row],[Duration]]&lt;=60,"30 - 60 Mins",Calls[[#This Row],[Duration]]&lt;=120,"1 - 2 Hours",TRUE,"More than 2  Hours")</f>
        <v>30 - 60 Mins</v>
      </c>
      <c r="L294">
        <f>ROUND(Calls[[#This Row],[Satisfaction Rating]],0)</f>
        <v>5</v>
      </c>
    </row>
    <row r="295" spans="2:12" x14ac:dyDescent="0.3">
      <c r="B295" s="22" t="s">
        <v>317</v>
      </c>
      <c r="C295" s="4" t="s">
        <v>19</v>
      </c>
      <c r="D295" s="4">
        <v>59</v>
      </c>
      <c r="E295" s="5" t="s">
        <v>6</v>
      </c>
      <c r="F295" s="9">
        <v>45013</v>
      </c>
      <c r="G295" s="4">
        <v>210</v>
      </c>
      <c r="H295" s="23">
        <v>4.5</v>
      </c>
      <c r="I295">
        <f>IF(MONTH(Calls[[#This Row],[Date of Call]])&lt;6,YEAR(Calls[[#This Row],[Date of Call]]),YEAR(Calls[[#This Row],[Date of Call]])+1)</f>
        <v>2023</v>
      </c>
      <c r="J295" t="str">
        <f>TEXT(Calls[[#This Row],[Date of Call]],"DDDD")</f>
        <v>Tuesday</v>
      </c>
      <c r="K295" t="str" cm="1">
        <f t="array" ref="K295">_xlfn.IFS(Calls[[#This Row],[Duration]]&lt;10,"Under 10 Mins",Calls[[#This Row],[Duration]]&lt;=30,"10 - 30 Mins",Calls[[#This Row],[Duration]]&lt;=60,"30 - 60 Mins",Calls[[#This Row],[Duration]]&lt;=120,"1 - 2 Hours",TRUE,"More than 2  Hours")</f>
        <v>30 - 60 Mins</v>
      </c>
      <c r="L295">
        <f>ROUND(Calls[[#This Row],[Satisfaction Rating]],0)</f>
        <v>5</v>
      </c>
    </row>
    <row r="296" spans="2:12" x14ac:dyDescent="0.3">
      <c r="B296" s="22" t="s">
        <v>318</v>
      </c>
      <c r="C296" s="4" t="s">
        <v>16</v>
      </c>
      <c r="D296" s="4">
        <v>30</v>
      </c>
      <c r="E296" s="5" t="s">
        <v>9</v>
      </c>
      <c r="F296" s="9">
        <v>45013</v>
      </c>
      <c r="G296" s="4">
        <v>168</v>
      </c>
      <c r="H296" s="23">
        <v>4.2</v>
      </c>
      <c r="I296">
        <f>IF(MONTH(Calls[[#This Row],[Date of Call]])&lt;6,YEAR(Calls[[#This Row],[Date of Call]]),YEAR(Calls[[#This Row],[Date of Call]])+1)</f>
        <v>2023</v>
      </c>
      <c r="J296" t="str">
        <f>TEXT(Calls[[#This Row],[Date of Call]],"DDDD")</f>
        <v>Tuesday</v>
      </c>
      <c r="K296" t="str" cm="1">
        <f t="array" ref="K296">_xlfn.IFS(Calls[[#This Row],[Duration]]&lt;10,"Under 10 Mins",Calls[[#This Row],[Duration]]&lt;=30,"10 - 30 Mins",Calls[[#This Row],[Duration]]&lt;=60,"30 - 60 Mins",Calls[[#This Row],[Duration]]&lt;=120,"1 - 2 Hours",TRUE,"More than 2  Hours")</f>
        <v>10 - 30 Mins</v>
      </c>
      <c r="L296">
        <f>ROUND(Calls[[#This Row],[Satisfaction Rating]],0)</f>
        <v>4</v>
      </c>
    </row>
    <row r="297" spans="2:12" x14ac:dyDescent="0.3">
      <c r="B297" s="22" t="s">
        <v>319</v>
      </c>
      <c r="C297" s="4" t="s">
        <v>14</v>
      </c>
      <c r="D297" s="4">
        <v>63</v>
      </c>
      <c r="E297" s="5" t="s">
        <v>10</v>
      </c>
      <c r="F297" s="9">
        <v>45014</v>
      </c>
      <c r="G297" s="4">
        <v>82</v>
      </c>
      <c r="H297" s="23">
        <v>4.5</v>
      </c>
      <c r="I297">
        <f>IF(MONTH(Calls[[#This Row],[Date of Call]])&lt;6,YEAR(Calls[[#This Row],[Date of Call]]),YEAR(Calls[[#This Row],[Date of Call]])+1)</f>
        <v>2023</v>
      </c>
      <c r="J297" t="str">
        <f>TEXT(Calls[[#This Row],[Date of Call]],"DDDD")</f>
        <v>Wednesday</v>
      </c>
      <c r="K297" t="str" cm="1">
        <f t="array" ref="K297">_xlfn.IFS(Calls[[#This Row],[Duration]]&lt;10,"Under 10 Mins",Calls[[#This Row],[Duration]]&lt;=30,"10 - 30 Mins",Calls[[#This Row],[Duration]]&lt;=60,"30 - 60 Mins",Calls[[#This Row],[Duration]]&lt;=120,"1 - 2 Hours",TRUE,"More than 2  Hours")</f>
        <v>1 - 2 Hours</v>
      </c>
      <c r="L297">
        <f>ROUND(Calls[[#This Row],[Satisfaction Rating]],0)</f>
        <v>5</v>
      </c>
    </row>
    <row r="298" spans="2:12" x14ac:dyDescent="0.3">
      <c r="B298" s="22" t="s">
        <v>320</v>
      </c>
      <c r="C298" s="4" t="s">
        <v>23</v>
      </c>
      <c r="D298" s="4">
        <v>56</v>
      </c>
      <c r="E298" s="5" t="s">
        <v>13</v>
      </c>
      <c r="F298" s="9">
        <v>45014</v>
      </c>
      <c r="G298" s="4">
        <v>88</v>
      </c>
      <c r="H298" s="23">
        <v>4.0999999999999996</v>
      </c>
      <c r="I298">
        <f>IF(MONTH(Calls[[#This Row],[Date of Call]])&lt;6,YEAR(Calls[[#This Row],[Date of Call]]),YEAR(Calls[[#This Row],[Date of Call]])+1)</f>
        <v>2023</v>
      </c>
      <c r="J298" t="str">
        <f>TEXT(Calls[[#This Row],[Date of Call]],"DDDD")</f>
        <v>Wednesday</v>
      </c>
      <c r="K298" t="str" cm="1">
        <f t="array" ref="K298">_xlfn.IFS(Calls[[#This Row],[Duration]]&lt;10,"Under 10 Mins",Calls[[#This Row],[Duration]]&lt;=30,"10 - 30 Mins",Calls[[#This Row],[Duration]]&lt;=60,"30 - 60 Mins",Calls[[#This Row],[Duration]]&lt;=120,"1 - 2 Hours",TRUE,"More than 2  Hours")</f>
        <v>30 - 60 Mins</v>
      </c>
      <c r="L298">
        <f>ROUND(Calls[[#This Row],[Satisfaction Rating]],0)</f>
        <v>4</v>
      </c>
    </row>
    <row r="299" spans="2:12" x14ac:dyDescent="0.3">
      <c r="B299" s="22" t="s">
        <v>321</v>
      </c>
      <c r="C299" s="4" t="s">
        <v>5</v>
      </c>
      <c r="D299" s="4">
        <v>95</v>
      </c>
      <c r="E299" s="5" t="s">
        <v>10</v>
      </c>
      <c r="F299" s="9">
        <v>45014</v>
      </c>
      <c r="G299" s="4">
        <v>111</v>
      </c>
      <c r="H299" s="23">
        <v>3.3</v>
      </c>
      <c r="I299">
        <f>IF(MONTH(Calls[[#This Row],[Date of Call]])&lt;6,YEAR(Calls[[#This Row],[Date of Call]]),YEAR(Calls[[#This Row],[Date of Call]])+1)</f>
        <v>2023</v>
      </c>
      <c r="J299" t="str">
        <f>TEXT(Calls[[#This Row],[Date of Call]],"DDDD")</f>
        <v>Wednesday</v>
      </c>
      <c r="K299" t="str" cm="1">
        <f t="array" ref="K299">_xlfn.IFS(Calls[[#This Row],[Duration]]&lt;10,"Under 10 Mins",Calls[[#This Row],[Duration]]&lt;=30,"10 - 30 Mins",Calls[[#This Row],[Duration]]&lt;=60,"30 - 60 Mins",Calls[[#This Row],[Duration]]&lt;=120,"1 - 2 Hours",TRUE,"More than 2  Hours")</f>
        <v>1 - 2 Hours</v>
      </c>
      <c r="L299">
        <f>ROUND(Calls[[#This Row],[Satisfaction Rating]],0)</f>
        <v>3</v>
      </c>
    </row>
    <row r="300" spans="2:12" x14ac:dyDescent="0.3">
      <c r="B300" s="22" t="s">
        <v>322</v>
      </c>
      <c r="C300" s="4" t="s">
        <v>17</v>
      </c>
      <c r="D300" s="4">
        <v>128</v>
      </c>
      <c r="E300" s="5" t="s">
        <v>6</v>
      </c>
      <c r="F300" s="9">
        <v>45014</v>
      </c>
      <c r="G300" s="4">
        <v>60</v>
      </c>
      <c r="H300" s="23">
        <v>3.8</v>
      </c>
      <c r="I300">
        <f>IF(MONTH(Calls[[#This Row],[Date of Call]])&lt;6,YEAR(Calls[[#This Row],[Date of Call]]),YEAR(Calls[[#This Row],[Date of Call]])+1)</f>
        <v>2023</v>
      </c>
      <c r="J300" t="str">
        <f>TEXT(Calls[[#This Row],[Date of Call]],"DDDD")</f>
        <v>Wednesday</v>
      </c>
      <c r="K300" t="str" cm="1">
        <f t="array" ref="K300">_xlfn.IFS(Calls[[#This Row],[Duration]]&lt;10,"Under 10 Mins",Calls[[#This Row],[Duration]]&lt;=30,"10 - 30 Mins",Calls[[#This Row],[Duration]]&lt;=60,"30 - 60 Mins",Calls[[#This Row],[Duration]]&lt;=120,"1 - 2 Hours",TRUE,"More than 2  Hours")</f>
        <v>More than 2  Hours</v>
      </c>
      <c r="L300">
        <f>ROUND(Calls[[#This Row],[Satisfaction Rating]],0)</f>
        <v>4</v>
      </c>
    </row>
    <row r="301" spans="2:12" x14ac:dyDescent="0.3">
      <c r="B301" s="22" t="s">
        <v>323</v>
      </c>
      <c r="C301" s="4" t="s">
        <v>8</v>
      </c>
      <c r="D301" s="4">
        <v>49</v>
      </c>
      <c r="E301" s="5" t="s">
        <v>10</v>
      </c>
      <c r="F301" s="9">
        <v>45014</v>
      </c>
      <c r="G301" s="4">
        <v>80</v>
      </c>
      <c r="H301" s="23">
        <v>3</v>
      </c>
      <c r="I301">
        <f>IF(MONTH(Calls[[#This Row],[Date of Call]])&lt;6,YEAR(Calls[[#This Row],[Date of Call]]),YEAR(Calls[[#This Row],[Date of Call]])+1)</f>
        <v>2023</v>
      </c>
      <c r="J301" t="str">
        <f>TEXT(Calls[[#This Row],[Date of Call]],"DDDD")</f>
        <v>Wednesday</v>
      </c>
      <c r="K301" t="str" cm="1">
        <f t="array" ref="K301">_xlfn.IFS(Calls[[#This Row],[Duration]]&lt;10,"Under 10 Mins",Calls[[#This Row],[Duration]]&lt;=30,"10 - 30 Mins",Calls[[#This Row],[Duration]]&lt;=60,"30 - 60 Mins",Calls[[#This Row],[Duration]]&lt;=120,"1 - 2 Hours",TRUE,"More than 2  Hours")</f>
        <v>30 - 60 Mins</v>
      </c>
      <c r="L301">
        <f>ROUND(Calls[[#This Row],[Satisfaction Rating]],0)</f>
        <v>3</v>
      </c>
    </row>
    <row r="302" spans="2:12" x14ac:dyDescent="0.3">
      <c r="B302" s="22" t="s">
        <v>324</v>
      </c>
      <c r="C302" s="4" t="s">
        <v>17</v>
      </c>
      <c r="D302" s="4">
        <v>89</v>
      </c>
      <c r="E302" s="5" t="s">
        <v>11</v>
      </c>
      <c r="F302" s="9">
        <v>45016</v>
      </c>
      <c r="G302" s="4">
        <v>90</v>
      </c>
      <c r="H302" s="23">
        <v>4.5999999999999996</v>
      </c>
      <c r="I302">
        <f>IF(MONTH(Calls[[#This Row],[Date of Call]])&lt;6,YEAR(Calls[[#This Row],[Date of Call]]),YEAR(Calls[[#This Row],[Date of Call]])+1)</f>
        <v>2023</v>
      </c>
      <c r="J302" t="str">
        <f>TEXT(Calls[[#This Row],[Date of Call]],"DDDD")</f>
        <v>Friday</v>
      </c>
      <c r="K302" t="str" cm="1">
        <f t="array" ref="K302">_xlfn.IFS(Calls[[#This Row],[Duration]]&lt;10,"Under 10 Mins",Calls[[#This Row],[Duration]]&lt;=30,"10 - 30 Mins",Calls[[#This Row],[Duration]]&lt;=60,"30 - 60 Mins",Calls[[#This Row],[Duration]]&lt;=120,"1 - 2 Hours",TRUE,"More than 2  Hours")</f>
        <v>1 - 2 Hours</v>
      </c>
      <c r="L302">
        <f>ROUND(Calls[[#This Row],[Satisfaction Rating]],0)</f>
        <v>5</v>
      </c>
    </row>
    <row r="303" spans="2:12" x14ac:dyDescent="0.3">
      <c r="B303" s="22" t="s">
        <v>325</v>
      </c>
      <c r="C303" s="4" t="s">
        <v>22</v>
      </c>
      <c r="D303" s="4">
        <v>87</v>
      </c>
      <c r="E303" s="5" t="s">
        <v>10</v>
      </c>
      <c r="F303" s="9">
        <v>45016</v>
      </c>
      <c r="G303" s="4">
        <v>225</v>
      </c>
      <c r="H303" s="23">
        <v>2.9</v>
      </c>
      <c r="I303">
        <f>IF(MONTH(Calls[[#This Row],[Date of Call]])&lt;6,YEAR(Calls[[#This Row],[Date of Call]]),YEAR(Calls[[#This Row],[Date of Call]])+1)</f>
        <v>2023</v>
      </c>
      <c r="J303" t="str">
        <f>TEXT(Calls[[#This Row],[Date of Call]],"DDDD")</f>
        <v>Friday</v>
      </c>
      <c r="K303" t="str" cm="1">
        <f t="array" ref="K303">_xlfn.IFS(Calls[[#This Row],[Duration]]&lt;10,"Under 10 Mins",Calls[[#This Row],[Duration]]&lt;=30,"10 - 30 Mins",Calls[[#This Row],[Duration]]&lt;=60,"30 - 60 Mins",Calls[[#This Row],[Duration]]&lt;=120,"1 - 2 Hours",TRUE,"More than 2  Hours")</f>
        <v>1 - 2 Hours</v>
      </c>
      <c r="L303">
        <f>ROUND(Calls[[#This Row],[Satisfaction Rating]],0)</f>
        <v>3</v>
      </c>
    </row>
    <row r="304" spans="2:12" x14ac:dyDescent="0.3">
      <c r="B304" s="22" t="s">
        <v>326</v>
      </c>
      <c r="C304" s="4" t="s">
        <v>20</v>
      </c>
      <c r="D304" s="4">
        <v>60</v>
      </c>
      <c r="E304" s="5" t="s">
        <v>9</v>
      </c>
      <c r="F304" s="9">
        <v>45017</v>
      </c>
      <c r="G304" s="4">
        <v>215</v>
      </c>
      <c r="H304" s="23">
        <v>3.2</v>
      </c>
      <c r="I304">
        <f>IF(MONTH(Calls[[#This Row],[Date of Call]])&lt;6,YEAR(Calls[[#This Row],[Date of Call]]),YEAR(Calls[[#This Row],[Date of Call]])+1)</f>
        <v>2023</v>
      </c>
      <c r="J304" t="str">
        <f>TEXT(Calls[[#This Row],[Date of Call]],"DDDD")</f>
        <v>Saturday</v>
      </c>
      <c r="K304" t="str" cm="1">
        <f t="array" ref="K304">_xlfn.IFS(Calls[[#This Row],[Duration]]&lt;10,"Under 10 Mins",Calls[[#This Row],[Duration]]&lt;=30,"10 - 30 Mins",Calls[[#This Row],[Duration]]&lt;=60,"30 - 60 Mins",Calls[[#This Row],[Duration]]&lt;=120,"1 - 2 Hours",TRUE,"More than 2  Hours")</f>
        <v>30 - 60 Mins</v>
      </c>
      <c r="L304">
        <f>ROUND(Calls[[#This Row],[Satisfaction Rating]],0)</f>
        <v>3</v>
      </c>
    </row>
    <row r="305" spans="2:12" x14ac:dyDescent="0.3">
      <c r="B305" s="22" t="s">
        <v>327</v>
      </c>
      <c r="C305" s="4" t="s">
        <v>21</v>
      </c>
      <c r="D305" s="4">
        <v>42</v>
      </c>
      <c r="E305" s="5" t="s">
        <v>11</v>
      </c>
      <c r="F305" s="9">
        <v>45017</v>
      </c>
      <c r="G305" s="4">
        <v>45</v>
      </c>
      <c r="H305" s="23">
        <v>1.5</v>
      </c>
      <c r="I305">
        <f>IF(MONTH(Calls[[#This Row],[Date of Call]])&lt;6,YEAR(Calls[[#This Row],[Date of Call]]),YEAR(Calls[[#This Row],[Date of Call]])+1)</f>
        <v>2023</v>
      </c>
      <c r="J305" t="str">
        <f>TEXT(Calls[[#This Row],[Date of Call]],"DDDD")</f>
        <v>Saturday</v>
      </c>
      <c r="K305" t="str" cm="1">
        <f t="array" ref="K305">_xlfn.IFS(Calls[[#This Row],[Duration]]&lt;10,"Under 10 Mins",Calls[[#This Row],[Duration]]&lt;=30,"10 - 30 Mins",Calls[[#This Row],[Duration]]&lt;=60,"30 - 60 Mins",Calls[[#This Row],[Duration]]&lt;=120,"1 - 2 Hours",TRUE,"More than 2  Hours")</f>
        <v>30 - 60 Mins</v>
      </c>
      <c r="L305">
        <f>ROUND(Calls[[#This Row],[Satisfaction Rating]],0)</f>
        <v>2</v>
      </c>
    </row>
    <row r="306" spans="2:12" x14ac:dyDescent="0.3">
      <c r="B306" s="22" t="s">
        <v>328</v>
      </c>
      <c r="C306" s="4" t="s">
        <v>18</v>
      </c>
      <c r="D306" s="4">
        <v>99</v>
      </c>
      <c r="E306" s="5" t="s">
        <v>9</v>
      </c>
      <c r="F306" s="9">
        <v>45017</v>
      </c>
      <c r="G306" s="4">
        <v>74</v>
      </c>
      <c r="H306" s="23">
        <v>4</v>
      </c>
      <c r="I306">
        <f>IF(MONTH(Calls[[#This Row],[Date of Call]])&lt;6,YEAR(Calls[[#This Row],[Date of Call]]),YEAR(Calls[[#This Row],[Date of Call]])+1)</f>
        <v>2023</v>
      </c>
      <c r="J306" t="str">
        <f>TEXT(Calls[[#This Row],[Date of Call]],"DDDD")</f>
        <v>Saturday</v>
      </c>
      <c r="K306" t="str" cm="1">
        <f t="array" ref="K306">_xlfn.IFS(Calls[[#This Row],[Duration]]&lt;10,"Under 10 Mins",Calls[[#This Row],[Duration]]&lt;=30,"10 - 30 Mins",Calls[[#This Row],[Duration]]&lt;=60,"30 - 60 Mins",Calls[[#This Row],[Duration]]&lt;=120,"1 - 2 Hours",TRUE,"More than 2  Hours")</f>
        <v>1 - 2 Hours</v>
      </c>
      <c r="L306">
        <f>ROUND(Calls[[#This Row],[Satisfaction Rating]],0)</f>
        <v>4</v>
      </c>
    </row>
    <row r="307" spans="2:12" x14ac:dyDescent="0.3">
      <c r="B307" s="22" t="s">
        <v>329</v>
      </c>
      <c r="C307" s="4" t="s">
        <v>23</v>
      </c>
      <c r="D307" s="4">
        <v>20</v>
      </c>
      <c r="E307" s="5" t="s">
        <v>11</v>
      </c>
      <c r="F307" s="9">
        <v>45017</v>
      </c>
      <c r="G307" s="4">
        <v>60</v>
      </c>
      <c r="H307" s="23">
        <v>3.6</v>
      </c>
      <c r="I307">
        <f>IF(MONTH(Calls[[#This Row],[Date of Call]])&lt;6,YEAR(Calls[[#This Row],[Date of Call]]),YEAR(Calls[[#This Row],[Date of Call]])+1)</f>
        <v>2023</v>
      </c>
      <c r="J307" t="str">
        <f>TEXT(Calls[[#This Row],[Date of Call]],"DDDD")</f>
        <v>Saturday</v>
      </c>
      <c r="K307" t="str" cm="1">
        <f t="array" ref="K307">_xlfn.IFS(Calls[[#This Row],[Duration]]&lt;10,"Under 10 Mins",Calls[[#This Row],[Duration]]&lt;=30,"10 - 30 Mins",Calls[[#This Row],[Duration]]&lt;=60,"30 - 60 Mins",Calls[[#This Row],[Duration]]&lt;=120,"1 - 2 Hours",TRUE,"More than 2  Hours")</f>
        <v>10 - 30 Mins</v>
      </c>
      <c r="L307">
        <f>ROUND(Calls[[#This Row],[Satisfaction Rating]],0)</f>
        <v>4</v>
      </c>
    </row>
    <row r="308" spans="2:12" x14ac:dyDescent="0.3">
      <c r="B308" s="22" t="s">
        <v>330</v>
      </c>
      <c r="C308" s="4" t="s">
        <v>14</v>
      </c>
      <c r="D308" s="4">
        <v>65</v>
      </c>
      <c r="E308" s="5" t="s">
        <v>9</v>
      </c>
      <c r="F308" s="9">
        <v>45017</v>
      </c>
      <c r="G308" s="4">
        <v>64</v>
      </c>
      <c r="H308" s="23">
        <v>3.7</v>
      </c>
      <c r="I308">
        <f>IF(MONTH(Calls[[#This Row],[Date of Call]])&lt;6,YEAR(Calls[[#This Row],[Date of Call]]),YEAR(Calls[[#This Row],[Date of Call]])+1)</f>
        <v>2023</v>
      </c>
      <c r="J308" t="str">
        <f>TEXT(Calls[[#This Row],[Date of Call]],"DDDD")</f>
        <v>Saturday</v>
      </c>
      <c r="K308" t="str" cm="1">
        <f t="array" ref="K308">_xlfn.IFS(Calls[[#This Row],[Duration]]&lt;10,"Under 10 Mins",Calls[[#This Row],[Duration]]&lt;=30,"10 - 30 Mins",Calls[[#This Row],[Duration]]&lt;=60,"30 - 60 Mins",Calls[[#This Row],[Duration]]&lt;=120,"1 - 2 Hours",TRUE,"More than 2  Hours")</f>
        <v>1 - 2 Hours</v>
      </c>
      <c r="L308">
        <f>ROUND(Calls[[#This Row],[Satisfaction Rating]],0)</f>
        <v>4</v>
      </c>
    </row>
    <row r="309" spans="2:12" x14ac:dyDescent="0.3">
      <c r="B309" s="22" t="s">
        <v>331</v>
      </c>
      <c r="C309" s="4" t="s">
        <v>16</v>
      </c>
      <c r="D309" s="4">
        <v>71</v>
      </c>
      <c r="E309" s="5" t="s">
        <v>10</v>
      </c>
      <c r="F309" s="9">
        <v>45018</v>
      </c>
      <c r="G309" s="4">
        <v>110</v>
      </c>
      <c r="H309" s="23">
        <v>4.8</v>
      </c>
      <c r="I309">
        <f>IF(MONTH(Calls[[#This Row],[Date of Call]])&lt;6,YEAR(Calls[[#This Row],[Date of Call]]),YEAR(Calls[[#This Row],[Date of Call]])+1)</f>
        <v>2023</v>
      </c>
      <c r="J309" t="str">
        <f>TEXT(Calls[[#This Row],[Date of Call]],"DDDD")</f>
        <v>Sunday</v>
      </c>
      <c r="K309" t="str" cm="1">
        <f t="array" ref="K309">_xlfn.IFS(Calls[[#This Row],[Duration]]&lt;10,"Under 10 Mins",Calls[[#This Row],[Duration]]&lt;=30,"10 - 30 Mins",Calls[[#This Row],[Duration]]&lt;=60,"30 - 60 Mins",Calls[[#This Row],[Duration]]&lt;=120,"1 - 2 Hours",TRUE,"More than 2  Hours")</f>
        <v>1 - 2 Hours</v>
      </c>
      <c r="L309">
        <f>ROUND(Calls[[#This Row],[Satisfaction Rating]],0)</f>
        <v>5</v>
      </c>
    </row>
    <row r="310" spans="2:12" x14ac:dyDescent="0.3">
      <c r="B310" s="22" t="s">
        <v>332</v>
      </c>
      <c r="C310" s="4" t="s">
        <v>12</v>
      </c>
      <c r="D310" s="4">
        <v>95</v>
      </c>
      <c r="E310" s="5" t="s">
        <v>6</v>
      </c>
      <c r="F310" s="9">
        <v>45018</v>
      </c>
      <c r="G310" s="4">
        <v>52</v>
      </c>
      <c r="H310" s="23">
        <v>1.2</v>
      </c>
      <c r="I310">
        <f>IF(MONTH(Calls[[#This Row],[Date of Call]])&lt;6,YEAR(Calls[[#This Row],[Date of Call]]),YEAR(Calls[[#This Row],[Date of Call]])+1)</f>
        <v>2023</v>
      </c>
      <c r="J310" t="str">
        <f>TEXT(Calls[[#This Row],[Date of Call]],"DDDD")</f>
        <v>Sunday</v>
      </c>
      <c r="K310" t="str" cm="1">
        <f t="array" ref="K310">_xlfn.IFS(Calls[[#This Row],[Duration]]&lt;10,"Under 10 Mins",Calls[[#This Row],[Duration]]&lt;=30,"10 - 30 Mins",Calls[[#This Row],[Duration]]&lt;=60,"30 - 60 Mins",Calls[[#This Row],[Duration]]&lt;=120,"1 - 2 Hours",TRUE,"More than 2  Hours")</f>
        <v>1 - 2 Hours</v>
      </c>
      <c r="L310">
        <f>ROUND(Calls[[#This Row],[Satisfaction Rating]],0)</f>
        <v>1</v>
      </c>
    </row>
    <row r="311" spans="2:12" x14ac:dyDescent="0.3">
      <c r="B311" s="22" t="s">
        <v>333</v>
      </c>
      <c r="C311" s="4" t="s">
        <v>23</v>
      </c>
      <c r="D311" s="4">
        <v>81</v>
      </c>
      <c r="E311" s="5" t="s">
        <v>13</v>
      </c>
      <c r="F311" s="9">
        <v>45019</v>
      </c>
      <c r="G311" s="4">
        <v>160</v>
      </c>
      <c r="H311" s="23">
        <v>4.7</v>
      </c>
      <c r="I311">
        <f>IF(MONTH(Calls[[#This Row],[Date of Call]])&lt;6,YEAR(Calls[[#This Row],[Date of Call]]),YEAR(Calls[[#This Row],[Date of Call]])+1)</f>
        <v>2023</v>
      </c>
      <c r="J311" t="str">
        <f>TEXT(Calls[[#This Row],[Date of Call]],"DDDD")</f>
        <v>Monday</v>
      </c>
      <c r="K311" t="str" cm="1">
        <f t="array" ref="K311">_xlfn.IFS(Calls[[#This Row],[Duration]]&lt;10,"Under 10 Mins",Calls[[#This Row],[Duration]]&lt;=30,"10 - 30 Mins",Calls[[#This Row],[Duration]]&lt;=60,"30 - 60 Mins",Calls[[#This Row],[Duration]]&lt;=120,"1 - 2 Hours",TRUE,"More than 2  Hours")</f>
        <v>1 - 2 Hours</v>
      </c>
      <c r="L311">
        <f>ROUND(Calls[[#This Row],[Satisfaction Rating]],0)</f>
        <v>5</v>
      </c>
    </row>
    <row r="312" spans="2:12" x14ac:dyDescent="0.3">
      <c r="B312" s="22" t="s">
        <v>334</v>
      </c>
      <c r="C312" s="4" t="s">
        <v>7</v>
      </c>
      <c r="D312" s="4">
        <v>137</v>
      </c>
      <c r="E312" s="5" t="s">
        <v>13</v>
      </c>
      <c r="F312" s="9">
        <v>45019</v>
      </c>
      <c r="G312" s="4">
        <v>215</v>
      </c>
      <c r="H312" s="23">
        <v>4.7</v>
      </c>
      <c r="I312">
        <f>IF(MONTH(Calls[[#This Row],[Date of Call]])&lt;6,YEAR(Calls[[#This Row],[Date of Call]]),YEAR(Calls[[#This Row],[Date of Call]])+1)</f>
        <v>2023</v>
      </c>
      <c r="J312" t="str">
        <f>TEXT(Calls[[#This Row],[Date of Call]],"DDDD")</f>
        <v>Monday</v>
      </c>
      <c r="K312" t="str" cm="1">
        <f t="array" ref="K312">_xlfn.IFS(Calls[[#This Row],[Duration]]&lt;10,"Under 10 Mins",Calls[[#This Row],[Duration]]&lt;=30,"10 - 30 Mins",Calls[[#This Row],[Duration]]&lt;=60,"30 - 60 Mins",Calls[[#This Row],[Duration]]&lt;=120,"1 - 2 Hours",TRUE,"More than 2  Hours")</f>
        <v>More than 2  Hours</v>
      </c>
      <c r="L312">
        <f>ROUND(Calls[[#This Row],[Satisfaction Rating]],0)</f>
        <v>5</v>
      </c>
    </row>
    <row r="313" spans="2:12" x14ac:dyDescent="0.3">
      <c r="B313" s="22" t="s">
        <v>335</v>
      </c>
      <c r="C313" s="4" t="s">
        <v>7</v>
      </c>
      <c r="D313" s="4">
        <v>40</v>
      </c>
      <c r="E313" s="5" t="s">
        <v>6</v>
      </c>
      <c r="F313" s="9">
        <v>45019</v>
      </c>
      <c r="G313" s="4">
        <v>220</v>
      </c>
      <c r="H313" s="23">
        <v>4.5</v>
      </c>
      <c r="I313">
        <f>IF(MONTH(Calls[[#This Row],[Date of Call]])&lt;6,YEAR(Calls[[#This Row],[Date of Call]]),YEAR(Calls[[#This Row],[Date of Call]])+1)</f>
        <v>2023</v>
      </c>
      <c r="J313" t="str">
        <f>TEXT(Calls[[#This Row],[Date of Call]],"DDDD")</f>
        <v>Monday</v>
      </c>
      <c r="K313" t="str" cm="1">
        <f t="array" ref="K313">_xlfn.IFS(Calls[[#This Row],[Duration]]&lt;10,"Under 10 Mins",Calls[[#This Row],[Duration]]&lt;=30,"10 - 30 Mins",Calls[[#This Row],[Duration]]&lt;=60,"30 - 60 Mins",Calls[[#This Row],[Duration]]&lt;=120,"1 - 2 Hours",TRUE,"More than 2  Hours")</f>
        <v>30 - 60 Mins</v>
      </c>
      <c r="L313">
        <f>ROUND(Calls[[#This Row],[Satisfaction Rating]],0)</f>
        <v>5</v>
      </c>
    </row>
    <row r="314" spans="2:12" x14ac:dyDescent="0.3">
      <c r="B314" s="22" t="s">
        <v>336</v>
      </c>
      <c r="C314" s="4" t="s">
        <v>18</v>
      </c>
      <c r="D314" s="4">
        <v>111</v>
      </c>
      <c r="E314" s="5" t="s">
        <v>9</v>
      </c>
      <c r="F314" s="9">
        <v>45020</v>
      </c>
      <c r="G314" s="4">
        <v>175</v>
      </c>
      <c r="H314" s="23">
        <v>3.5</v>
      </c>
      <c r="I314">
        <f>IF(MONTH(Calls[[#This Row],[Date of Call]])&lt;6,YEAR(Calls[[#This Row],[Date of Call]]),YEAR(Calls[[#This Row],[Date of Call]])+1)</f>
        <v>2023</v>
      </c>
      <c r="J314" t="str">
        <f>TEXT(Calls[[#This Row],[Date of Call]],"DDDD")</f>
        <v>Tuesday</v>
      </c>
      <c r="K314" t="str" cm="1">
        <f t="array" ref="K314">_xlfn.IFS(Calls[[#This Row],[Duration]]&lt;10,"Under 10 Mins",Calls[[#This Row],[Duration]]&lt;=30,"10 - 30 Mins",Calls[[#This Row],[Duration]]&lt;=60,"30 - 60 Mins",Calls[[#This Row],[Duration]]&lt;=120,"1 - 2 Hours",TRUE,"More than 2  Hours")</f>
        <v>1 - 2 Hours</v>
      </c>
      <c r="L314">
        <f>ROUND(Calls[[#This Row],[Satisfaction Rating]],0)</f>
        <v>4</v>
      </c>
    </row>
    <row r="315" spans="2:12" x14ac:dyDescent="0.3">
      <c r="B315" s="22" t="s">
        <v>337</v>
      </c>
      <c r="C315" s="4" t="s">
        <v>16</v>
      </c>
      <c r="D315" s="4">
        <v>106</v>
      </c>
      <c r="E315" s="5" t="s">
        <v>9</v>
      </c>
      <c r="F315" s="9">
        <v>45020</v>
      </c>
      <c r="G315" s="4">
        <v>145</v>
      </c>
      <c r="H315" s="23">
        <v>4.0999999999999996</v>
      </c>
      <c r="I315">
        <f>IF(MONTH(Calls[[#This Row],[Date of Call]])&lt;6,YEAR(Calls[[#This Row],[Date of Call]]),YEAR(Calls[[#This Row],[Date of Call]])+1)</f>
        <v>2023</v>
      </c>
      <c r="J315" t="str">
        <f>TEXT(Calls[[#This Row],[Date of Call]],"DDDD")</f>
        <v>Tuesday</v>
      </c>
      <c r="K315" t="str" cm="1">
        <f t="array" ref="K315">_xlfn.IFS(Calls[[#This Row],[Duration]]&lt;10,"Under 10 Mins",Calls[[#This Row],[Duration]]&lt;=30,"10 - 30 Mins",Calls[[#This Row],[Duration]]&lt;=60,"30 - 60 Mins",Calls[[#This Row],[Duration]]&lt;=120,"1 - 2 Hours",TRUE,"More than 2  Hours")</f>
        <v>1 - 2 Hours</v>
      </c>
      <c r="L315">
        <f>ROUND(Calls[[#This Row],[Satisfaction Rating]],0)</f>
        <v>4</v>
      </c>
    </row>
    <row r="316" spans="2:12" x14ac:dyDescent="0.3">
      <c r="B316" s="22" t="s">
        <v>338</v>
      </c>
      <c r="C316" s="4" t="s">
        <v>21</v>
      </c>
      <c r="D316" s="4">
        <v>133</v>
      </c>
      <c r="E316" s="5" t="s">
        <v>11</v>
      </c>
      <c r="F316" s="9">
        <v>45020</v>
      </c>
      <c r="G316" s="4">
        <v>72</v>
      </c>
      <c r="H316" s="23">
        <v>4.4000000000000004</v>
      </c>
      <c r="I316">
        <f>IF(MONTH(Calls[[#This Row],[Date of Call]])&lt;6,YEAR(Calls[[#This Row],[Date of Call]]),YEAR(Calls[[#This Row],[Date of Call]])+1)</f>
        <v>2023</v>
      </c>
      <c r="J316" t="str">
        <f>TEXT(Calls[[#This Row],[Date of Call]],"DDDD")</f>
        <v>Tuesday</v>
      </c>
      <c r="K316" t="str" cm="1">
        <f t="array" ref="K316">_xlfn.IFS(Calls[[#This Row],[Duration]]&lt;10,"Under 10 Mins",Calls[[#This Row],[Duration]]&lt;=30,"10 - 30 Mins",Calls[[#This Row],[Duration]]&lt;=60,"30 - 60 Mins",Calls[[#This Row],[Duration]]&lt;=120,"1 - 2 Hours",TRUE,"More than 2  Hours")</f>
        <v>More than 2  Hours</v>
      </c>
      <c r="L316">
        <f>ROUND(Calls[[#This Row],[Satisfaction Rating]],0)</f>
        <v>4</v>
      </c>
    </row>
    <row r="317" spans="2:12" x14ac:dyDescent="0.3">
      <c r="B317" s="22" t="s">
        <v>339</v>
      </c>
      <c r="C317" s="4" t="s">
        <v>15</v>
      </c>
      <c r="D317" s="4">
        <v>38</v>
      </c>
      <c r="E317" s="5" t="s">
        <v>9</v>
      </c>
      <c r="F317" s="9">
        <v>45021</v>
      </c>
      <c r="G317" s="4">
        <v>81</v>
      </c>
      <c r="H317" s="23">
        <v>3.6</v>
      </c>
      <c r="I317">
        <f>IF(MONTH(Calls[[#This Row],[Date of Call]])&lt;6,YEAR(Calls[[#This Row],[Date of Call]]),YEAR(Calls[[#This Row],[Date of Call]])+1)</f>
        <v>2023</v>
      </c>
      <c r="J317" t="str">
        <f>TEXT(Calls[[#This Row],[Date of Call]],"DDDD")</f>
        <v>Wednesday</v>
      </c>
      <c r="K317" t="str" cm="1">
        <f t="array" ref="K317">_xlfn.IFS(Calls[[#This Row],[Duration]]&lt;10,"Under 10 Mins",Calls[[#This Row],[Duration]]&lt;=30,"10 - 30 Mins",Calls[[#This Row],[Duration]]&lt;=60,"30 - 60 Mins",Calls[[#This Row],[Duration]]&lt;=120,"1 - 2 Hours",TRUE,"More than 2  Hours")</f>
        <v>30 - 60 Mins</v>
      </c>
      <c r="L317">
        <f>ROUND(Calls[[#This Row],[Satisfaction Rating]],0)</f>
        <v>4</v>
      </c>
    </row>
    <row r="318" spans="2:12" x14ac:dyDescent="0.3">
      <c r="B318" s="22" t="s">
        <v>340</v>
      </c>
      <c r="C318" s="4" t="s">
        <v>19</v>
      </c>
      <c r="D318" s="4">
        <v>130</v>
      </c>
      <c r="E318" s="5" t="s">
        <v>6</v>
      </c>
      <c r="F318" s="9">
        <v>45021</v>
      </c>
      <c r="G318" s="4">
        <v>54</v>
      </c>
      <c r="H318" s="23">
        <v>4.0999999999999996</v>
      </c>
      <c r="I318">
        <f>IF(MONTH(Calls[[#This Row],[Date of Call]])&lt;6,YEAR(Calls[[#This Row],[Date of Call]]),YEAR(Calls[[#This Row],[Date of Call]])+1)</f>
        <v>2023</v>
      </c>
      <c r="J318" t="str">
        <f>TEXT(Calls[[#This Row],[Date of Call]],"DDDD")</f>
        <v>Wednesday</v>
      </c>
      <c r="K318" t="str" cm="1">
        <f t="array" ref="K318">_xlfn.IFS(Calls[[#This Row],[Duration]]&lt;10,"Under 10 Mins",Calls[[#This Row],[Duration]]&lt;=30,"10 - 30 Mins",Calls[[#This Row],[Duration]]&lt;=60,"30 - 60 Mins",Calls[[#This Row],[Duration]]&lt;=120,"1 - 2 Hours",TRUE,"More than 2  Hours")</f>
        <v>More than 2  Hours</v>
      </c>
      <c r="L318">
        <f>ROUND(Calls[[#This Row],[Satisfaction Rating]],0)</f>
        <v>4</v>
      </c>
    </row>
    <row r="319" spans="2:12" x14ac:dyDescent="0.3">
      <c r="B319" s="22" t="s">
        <v>341</v>
      </c>
      <c r="C319" s="4" t="s">
        <v>14</v>
      </c>
      <c r="D319" s="4">
        <v>23</v>
      </c>
      <c r="E319" s="5" t="s">
        <v>11</v>
      </c>
      <c r="F319" s="9">
        <v>45021</v>
      </c>
      <c r="G319" s="4">
        <v>105</v>
      </c>
      <c r="H319" s="23">
        <v>4.8</v>
      </c>
      <c r="I319">
        <f>IF(MONTH(Calls[[#This Row],[Date of Call]])&lt;6,YEAR(Calls[[#This Row],[Date of Call]]),YEAR(Calls[[#This Row],[Date of Call]])+1)</f>
        <v>2023</v>
      </c>
      <c r="J319" t="str">
        <f>TEXT(Calls[[#This Row],[Date of Call]],"DDDD")</f>
        <v>Wednesday</v>
      </c>
      <c r="K319" t="str" cm="1">
        <f t="array" ref="K319">_xlfn.IFS(Calls[[#This Row],[Duration]]&lt;10,"Under 10 Mins",Calls[[#This Row],[Duration]]&lt;=30,"10 - 30 Mins",Calls[[#This Row],[Duration]]&lt;=60,"30 - 60 Mins",Calls[[#This Row],[Duration]]&lt;=120,"1 - 2 Hours",TRUE,"More than 2  Hours")</f>
        <v>10 - 30 Mins</v>
      </c>
      <c r="L319">
        <f>ROUND(Calls[[#This Row],[Satisfaction Rating]],0)</f>
        <v>5</v>
      </c>
    </row>
    <row r="320" spans="2:12" x14ac:dyDescent="0.3">
      <c r="B320" s="22" t="s">
        <v>342</v>
      </c>
      <c r="C320" s="4" t="s">
        <v>19</v>
      </c>
      <c r="D320" s="4">
        <v>124</v>
      </c>
      <c r="E320" s="5" t="s">
        <v>9</v>
      </c>
      <c r="F320" s="9">
        <v>45022</v>
      </c>
      <c r="G320" s="4">
        <v>176</v>
      </c>
      <c r="H320" s="23">
        <v>3.9</v>
      </c>
      <c r="I320">
        <f>IF(MONTH(Calls[[#This Row],[Date of Call]])&lt;6,YEAR(Calls[[#This Row],[Date of Call]]),YEAR(Calls[[#This Row],[Date of Call]])+1)</f>
        <v>2023</v>
      </c>
      <c r="J320" t="str">
        <f>TEXT(Calls[[#This Row],[Date of Call]],"DDDD")</f>
        <v>Thursday</v>
      </c>
      <c r="K320" t="str" cm="1">
        <f t="array" ref="K320">_xlfn.IFS(Calls[[#This Row],[Duration]]&lt;10,"Under 10 Mins",Calls[[#This Row],[Duration]]&lt;=30,"10 - 30 Mins",Calls[[#This Row],[Duration]]&lt;=60,"30 - 60 Mins",Calls[[#This Row],[Duration]]&lt;=120,"1 - 2 Hours",TRUE,"More than 2  Hours")</f>
        <v>More than 2  Hours</v>
      </c>
      <c r="L320">
        <f>ROUND(Calls[[#This Row],[Satisfaction Rating]],0)</f>
        <v>4</v>
      </c>
    </row>
    <row r="321" spans="2:12" x14ac:dyDescent="0.3">
      <c r="B321" s="22" t="s">
        <v>343</v>
      </c>
      <c r="C321" s="4" t="s">
        <v>23</v>
      </c>
      <c r="D321" s="4">
        <v>107</v>
      </c>
      <c r="E321" s="5" t="s">
        <v>9</v>
      </c>
      <c r="F321" s="9">
        <v>45022</v>
      </c>
      <c r="G321" s="4">
        <v>115</v>
      </c>
      <c r="H321" s="23">
        <v>3.8</v>
      </c>
      <c r="I321">
        <f>IF(MONTH(Calls[[#This Row],[Date of Call]])&lt;6,YEAR(Calls[[#This Row],[Date of Call]]),YEAR(Calls[[#This Row],[Date of Call]])+1)</f>
        <v>2023</v>
      </c>
      <c r="J321" t="str">
        <f>TEXT(Calls[[#This Row],[Date of Call]],"DDDD")</f>
        <v>Thursday</v>
      </c>
      <c r="K321" t="str" cm="1">
        <f t="array" ref="K321">_xlfn.IFS(Calls[[#This Row],[Duration]]&lt;10,"Under 10 Mins",Calls[[#This Row],[Duration]]&lt;=30,"10 - 30 Mins",Calls[[#This Row],[Duration]]&lt;=60,"30 - 60 Mins",Calls[[#This Row],[Duration]]&lt;=120,"1 - 2 Hours",TRUE,"More than 2  Hours")</f>
        <v>1 - 2 Hours</v>
      </c>
      <c r="L321">
        <f>ROUND(Calls[[#This Row],[Satisfaction Rating]],0)</f>
        <v>4</v>
      </c>
    </row>
    <row r="322" spans="2:12" x14ac:dyDescent="0.3">
      <c r="B322" s="22" t="s">
        <v>344</v>
      </c>
      <c r="C322" s="4" t="s">
        <v>7</v>
      </c>
      <c r="D322" s="4">
        <v>60</v>
      </c>
      <c r="E322" s="5" t="s">
        <v>10</v>
      </c>
      <c r="F322" s="9">
        <v>45022</v>
      </c>
      <c r="G322" s="4">
        <v>116</v>
      </c>
      <c r="H322" s="23">
        <v>3.9</v>
      </c>
      <c r="I322">
        <f>IF(MONTH(Calls[[#This Row],[Date of Call]])&lt;6,YEAR(Calls[[#This Row],[Date of Call]]),YEAR(Calls[[#This Row],[Date of Call]])+1)</f>
        <v>2023</v>
      </c>
      <c r="J322" t="str">
        <f>TEXT(Calls[[#This Row],[Date of Call]],"DDDD")</f>
        <v>Thursday</v>
      </c>
      <c r="K322" t="str" cm="1">
        <f t="array" ref="K322">_xlfn.IFS(Calls[[#This Row],[Duration]]&lt;10,"Under 10 Mins",Calls[[#This Row],[Duration]]&lt;=30,"10 - 30 Mins",Calls[[#This Row],[Duration]]&lt;=60,"30 - 60 Mins",Calls[[#This Row],[Duration]]&lt;=120,"1 - 2 Hours",TRUE,"More than 2  Hours")</f>
        <v>30 - 60 Mins</v>
      </c>
      <c r="L322">
        <f>ROUND(Calls[[#This Row],[Satisfaction Rating]],0)</f>
        <v>4</v>
      </c>
    </row>
    <row r="323" spans="2:12" x14ac:dyDescent="0.3">
      <c r="B323" s="22" t="s">
        <v>345</v>
      </c>
      <c r="C323" s="4" t="s">
        <v>7</v>
      </c>
      <c r="D323" s="4">
        <v>158</v>
      </c>
      <c r="E323" s="5" t="s">
        <v>6</v>
      </c>
      <c r="F323" s="9">
        <v>45022</v>
      </c>
      <c r="G323" s="4">
        <v>100</v>
      </c>
      <c r="H323" s="23">
        <v>4.0999999999999996</v>
      </c>
      <c r="I323">
        <f>IF(MONTH(Calls[[#This Row],[Date of Call]])&lt;6,YEAR(Calls[[#This Row],[Date of Call]]),YEAR(Calls[[#This Row],[Date of Call]])+1)</f>
        <v>2023</v>
      </c>
      <c r="J323" t="str">
        <f>TEXT(Calls[[#This Row],[Date of Call]],"DDDD")</f>
        <v>Thursday</v>
      </c>
      <c r="K323" t="str" cm="1">
        <f t="array" ref="K323">_xlfn.IFS(Calls[[#This Row],[Duration]]&lt;10,"Under 10 Mins",Calls[[#This Row],[Duration]]&lt;=30,"10 - 30 Mins",Calls[[#This Row],[Duration]]&lt;=60,"30 - 60 Mins",Calls[[#This Row],[Duration]]&lt;=120,"1 - 2 Hours",TRUE,"More than 2  Hours")</f>
        <v>More than 2  Hours</v>
      </c>
      <c r="L323">
        <f>ROUND(Calls[[#This Row],[Satisfaction Rating]],0)</f>
        <v>4</v>
      </c>
    </row>
    <row r="324" spans="2:12" x14ac:dyDescent="0.3">
      <c r="B324" s="22" t="s">
        <v>346</v>
      </c>
      <c r="C324" s="4" t="s">
        <v>22</v>
      </c>
      <c r="D324" s="4">
        <v>110</v>
      </c>
      <c r="E324" s="5" t="s">
        <v>6</v>
      </c>
      <c r="F324" s="9">
        <v>45023</v>
      </c>
      <c r="G324" s="4">
        <v>36</v>
      </c>
      <c r="H324" s="23">
        <v>2.2000000000000002</v>
      </c>
      <c r="I324">
        <f>IF(MONTH(Calls[[#This Row],[Date of Call]])&lt;6,YEAR(Calls[[#This Row],[Date of Call]]),YEAR(Calls[[#This Row],[Date of Call]])+1)</f>
        <v>2023</v>
      </c>
      <c r="J324" t="str">
        <f>TEXT(Calls[[#This Row],[Date of Call]],"DDDD")</f>
        <v>Friday</v>
      </c>
      <c r="K324" t="str" cm="1">
        <f t="array" ref="K324">_xlfn.IFS(Calls[[#This Row],[Duration]]&lt;10,"Under 10 Mins",Calls[[#This Row],[Duration]]&lt;=30,"10 - 30 Mins",Calls[[#This Row],[Duration]]&lt;=60,"30 - 60 Mins",Calls[[#This Row],[Duration]]&lt;=120,"1 - 2 Hours",TRUE,"More than 2  Hours")</f>
        <v>1 - 2 Hours</v>
      </c>
      <c r="L324">
        <f>ROUND(Calls[[#This Row],[Satisfaction Rating]],0)</f>
        <v>2</v>
      </c>
    </row>
    <row r="325" spans="2:12" x14ac:dyDescent="0.3">
      <c r="B325" s="22" t="s">
        <v>347</v>
      </c>
      <c r="C325" s="4" t="s">
        <v>17</v>
      </c>
      <c r="D325" s="4">
        <v>70</v>
      </c>
      <c r="E325" s="5" t="s">
        <v>6</v>
      </c>
      <c r="F325" s="9">
        <v>45023</v>
      </c>
      <c r="G325" s="4">
        <v>114</v>
      </c>
      <c r="H325" s="23">
        <v>5</v>
      </c>
      <c r="I325">
        <f>IF(MONTH(Calls[[#This Row],[Date of Call]])&lt;6,YEAR(Calls[[#This Row],[Date of Call]]),YEAR(Calls[[#This Row],[Date of Call]])+1)</f>
        <v>2023</v>
      </c>
      <c r="J325" t="str">
        <f>TEXT(Calls[[#This Row],[Date of Call]],"DDDD")</f>
        <v>Friday</v>
      </c>
      <c r="K325" t="str" cm="1">
        <f t="array" ref="K325">_xlfn.IFS(Calls[[#This Row],[Duration]]&lt;10,"Under 10 Mins",Calls[[#This Row],[Duration]]&lt;=30,"10 - 30 Mins",Calls[[#This Row],[Duration]]&lt;=60,"30 - 60 Mins",Calls[[#This Row],[Duration]]&lt;=120,"1 - 2 Hours",TRUE,"More than 2  Hours")</f>
        <v>1 - 2 Hours</v>
      </c>
      <c r="L325">
        <f>ROUND(Calls[[#This Row],[Satisfaction Rating]],0)</f>
        <v>5</v>
      </c>
    </row>
    <row r="326" spans="2:12" x14ac:dyDescent="0.3">
      <c r="B326" s="22" t="s">
        <v>348</v>
      </c>
      <c r="C326" s="4" t="s">
        <v>17</v>
      </c>
      <c r="D326" s="4">
        <v>150</v>
      </c>
      <c r="E326" s="5" t="s">
        <v>10</v>
      </c>
      <c r="F326" s="9">
        <v>45023</v>
      </c>
      <c r="G326" s="4">
        <v>24</v>
      </c>
      <c r="H326" s="23">
        <v>3.8</v>
      </c>
      <c r="I326">
        <f>IF(MONTH(Calls[[#This Row],[Date of Call]])&lt;6,YEAR(Calls[[#This Row],[Date of Call]]),YEAR(Calls[[#This Row],[Date of Call]])+1)</f>
        <v>2023</v>
      </c>
      <c r="J326" t="str">
        <f>TEXT(Calls[[#This Row],[Date of Call]],"DDDD")</f>
        <v>Friday</v>
      </c>
      <c r="K326" t="str" cm="1">
        <f t="array" ref="K326">_xlfn.IFS(Calls[[#This Row],[Duration]]&lt;10,"Under 10 Mins",Calls[[#This Row],[Duration]]&lt;=30,"10 - 30 Mins",Calls[[#This Row],[Duration]]&lt;=60,"30 - 60 Mins",Calls[[#This Row],[Duration]]&lt;=120,"1 - 2 Hours",TRUE,"More than 2  Hours")</f>
        <v>More than 2  Hours</v>
      </c>
      <c r="L326">
        <f>ROUND(Calls[[#This Row],[Satisfaction Rating]],0)</f>
        <v>4</v>
      </c>
    </row>
    <row r="327" spans="2:12" x14ac:dyDescent="0.3">
      <c r="B327" s="22" t="s">
        <v>349</v>
      </c>
      <c r="C327" s="4" t="s">
        <v>15</v>
      </c>
      <c r="D327" s="4">
        <v>36</v>
      </c>
      <c r="E327" s="5" t="s">
        <v>9</v>
      </c>
      <c r="F327" s="9">
        <v>45023</v>
      </c>
      <c r="G327" s="4">
        <v>135</v>
      </c>
      <c r="H327" s="23">
        <v>4.5999999999999996</v>
      </c>
      <c r="I327">
        <f>IF(MONTH(Calls[[#This Row],[Date of Call]])&lt;6,YEAR(Calls[[#This Row],[Date of Call]]),YEAR(Calls[[#This Row],[Date of Call]])+1)</f>
        <v>2023</v>
      </c>
      <c r="J327" t="str">
        <f>TEXT(Calls[[#This Row],[Date of Call]],"DDDD")</f>
        <v>Friday</v>
      </c>
      <c r="K327" t="str" cm="1">
        <f t="array" ref="K327">_xlfn.IFS(Calls[[#This Row],[Duration]]&lt;10,"Under 10 Mins",Calls[[#This Row],[Duration]]&lt;=30,"10 - 30 Mins",Calls[[#This Row],[Duration]]&lt;=60,"30 - 60 Mins",Calls[[#This Row],[Duration]]&lt;=120,"1 - 2 Hours",TRUE,"More than 2  Hours")</f>
        <v>30 - 60 Mins</v>
      </c>
      <c r="L327">
        <f>ROUND(Calls[[#This Row],[Satisfaction Rating]],0)</f>
        <v>5</v>
      </c>
    </row>
    <row r="328" spans="2:12" x14ac:dyDescent="0.3">
      <c r="B328" s="22" t="s">
        <v>350</v>
      </c>
      <c r="C328" s="4" t="s">
        <v>19</v>
      </c>
      <c r="D328" s="4">
        <v>74</v>
      </c>
      <c r="E328" s="5" t="s">
        <v>9</v>
      </c>
      <c r="F328" s="9">
        <v>45023</v>
      </c>
      <c r="G328" s="4">
        <v>30</v>
      </c>
      <c r="H328" s="23">
        <v>4</v>
      </c>
      <c r="I328">
        <f>IF(MONTH(Calls[[#This Row],[Date of Call]])&lt;6,YEAR(Calls[[#This Row],[Date of Call]]),YEAR(Calls[[#This Row],[Date of Call]])+1)</f>
        <v>2023</v>
      </c>
      <c r="J328" t="str">
        <f>TEXT(Calls[[#This Row],[Date of Call]],"DDDD")</f>
        <v>Friday</v>
      </c>
      <c r="K328" t="str" cm="1">
        <f t="array" ref="K328">_xlfn.IFS(Calls[[#This Row],[Duration]]&lt;10,"Under 10 Mins",Calls[[#This Row],[Duration]]&lt;=30,"10 - 30 Mins",Calls[[#This Row],[Duration]]&lt;=60,"30 - 60 Mins",Calls[[#This Row],[Duration]]&lt;=120,"1 - 2 Hours",TRUE,"More than 2  Hours")</f>
        <v>1 - 2 Hours</v>
      </c>
      <c r="L328">
        <f>ROUND(Calls[[#This Row],[Satisfaction Rating]],0)</f>
        <v>4</v>
      </c>
    </row>
    <row r="329" spans="2:12" x14ac:dyDescent="0.3">
      <c r="B329" s="22" t="s">
        <v>351</v>
      </c>
      <c r="C329" s="4" t="s">
        <v>12</v>
      </c>
      <c r="D329" s="4">
        <v>75</v>
      </c>
      <c r="E329" s="5" t="s">
        <v>9</v>
      </c>
      <c r="F329" s="9">
        <v>45023</v>
      </c>
      <c r="G329" s="4">
        <v>84</v>
      </c>
      <c r="H329" s="23">
        <v>2.8</v>
      </c>
      <c r="I329">
        <f>IF(MONTH(Calls[[#This Row],[Date of Call]])&lt;6,YEAR(Calls[[#This Row],[Date of Call]]),YEAR(Calls[[#This Row],[Date of Call]])+1)</f>
        <v>2023</v>
      </c>
      <c r="J329" t="str">
        <f>TEXT(Calls[[#This Row],[Date of Call]],"DDDD")</f>
        <v>Friday</v>
      </c>
      <c r="K329" t="str" cm="1">
        <f t="array" ref="K329">_xlfn.IFS(Calls[[#This Row],[Duration]]&lt;10,"Under 10 Mins",Calls[[#This Row],[Duration]]&lt;=30,"10 - 30 Mins",Calls[[#This Row],[Duration]]&lt;=60,"30 - 60 Mins",Calls[[#This Row],[Duration]]&lt;=120,"1 - 2 Hours",TRUE,"More than 2  Hours")</f>
        <v>1 - 2 Hours</v>
      </c>
      <c r="L329">
        <f>ROUND(Calls[[#This Row],[Satisfaction Rating]],0)</f>
        <v>3</v>
      </c>
    </row>
    <row r="330" spans="2:12" x14ac:dyDescent="0.3">
      <c r="B330" s="22" t="s">
        <v>352</v>
      </c>
      <c r="C330" s="4" t="s">
        <v>5</v>
      </c>
      <c r="D330" s="4">
        <v>70</v>
      </c>
      <c r="E330" s="5" t="s">
        <v>13</v>
      </c>
      <c r="F330" s="9">
        <v>45023</v>
      </c>
      <c r="G330" s="4">
        <v>42</v>
      </c>
      <c r="H330" s="23">
        <v>4.4000000000000004</v>
      </c>
      <c r="I330">
        <f>IF(MONTH(Calls[[#This Row],[Date of Call]])&lt;6,YEAR(Calls[[#This Row],[Date of Call]]),YEAR(Calls[[#This Row],[Date of Call]])+1)</f>
        <v>2023</v>
      </c>
      <c r="J330" t="str">
        <f>TEXT(Calls[[#This Row],[Date of Call]],"DDDD")</f>
        <v>Friday</v>
      </c>
      <c r="K330" t="str" cm="1">
        <f t="array" ref="K330">_xlfn.IFS(Calls[[#This Row],[Duration]]&lt;10,"Under 10 Mins",Calls[[#This Row],[Duration]]&lt;=30,"10 - 30 Mins",Calls[[#This Row],[Duration]]&lt;=60,"30 - 60 Mins",Calls[[#This Row],[Duration]]&lt;=120,"1 - 2 Hours",TRUE,"More than 2  Hours")</f>
        <v>1 - 2 Hours</v>
      </c>
      <c r="L330">
        <f>ROUND(Calls[[#This Row],[Satisfaction Rating]],0)</f>
        <v>4</v>
      </c>
    </row>
    <row r="331" spans="2:12" x14ac:dyDescent="0.3">
      <c r="B331" s="22" t="s">
        <v>353</v>
      </c>
      <c r="C331" s="4" t="s">
        <v>22</v>
      </c>
      <c r="D331" s="4">
        <v>23</v>
      </c>
      <c r="E331" s="5" t="s">
        <v>6</v>
      </c>
      <c r="F331" s="9">
        <v>45023</v>
      </c>
      <c r="G331" s="4">
        <v>117</v>
      </c>
      <c r="H331" s="23">
        <v>2.4</v>
      </c>
      <c r="I331">
        <f>IF(MONTH(Calls[[#This Row],[Date of Call]])&lt;6,YEAR(Calls[[#This Row],[Date of Call]]),YEAR(Calls[[#This Row],[Date of Call]])+1)</f>
        <v>2023</v>
      </c>
      <c r="J331" t="str">
        <f>TEXT(Calls[[#This Row],[Date of Call]],"DDDD")</f>
        <v>Friday</v>
      </c>
      <c r="K331" t="str" cm="1">
        <f t="array" ref="K331">_xlfn.IFS(Calls[[#This Row],[Duration]]&lt;10,"Under 10 Mins",Calls[[#This Row],[Duration]]&lt;=30,"10 - 30 Mins",Calls[[#This Row],[Duration]]&lt;=60,"30 - 60 Mins",Calls[[#This Row],[Duration]]&lt;=120,"1 - 2 Hours",TRUE,"More than 2  Hours")</f>
        <v>10 - 30 Mins</v>
      </c>
      <c r="L331">
        <f>ROUND(Calls[[#This Row],[Satisfaction Rating]],0)</f>
        <v>2</v>
      </c>
    </row>
    <row r="332" spans="2:12" x14ac:dyDescent="0.3">
      <c r="B332" s="22" t="s">
        <v>354</v>
      </c>
      <c r="C332" s="4" t="s">
        <v>18</v>
      </c>
      <c r="D332" s="4">
        <v>104</v>
      </c>
      <c r="E332" s="5" t="s">
        <v>11</v>
      </c>
      <c r="F332" s="9">
        <v>45023</v>
      </c>
      <c r="G332" s="4">
        <v>164</v>
      </c>
      <c r="H332" s="23">
        <v>4</v>
      </c>
      <c r="I332">
        <f>IF(MONTH(Calls[[#This Row],[Date of Call]])&lt;6,YEAR(Calls[[#This Row],[Date of Call]]),YEAR(Calls[[#This Row],[Date of Call]])+1)</f>
        <v>2023</v>
      </c>
      <c r="J332" t="str">
        <f>TEXT(Calls[[#This Row],[Date of Call]],"DDDD")</f>
        <v>Friday</v>
      </c>
      <c r="K332" t="str" cm="1">
        <f t="array" ref="K332">_xlfn.IFS(Calls[[#This Row],[Duration]]&lt;10,"Under 10 Mins",Calls[[#This Row],[Duration]]&lt;=30,"10 - 30 Mins",Calls[[#This Row],[Duration]]&lt;=60,"30 - 60 Mins",Calls[[#This Row],[Duration]]&lt;=120,"1 - 2 Hours",TRUE,"More than 2  Hours")</f>
        <v>1 - 2 Hours</v>
      </c>
      <c r="L332">
        <f>ROUND(Calls[[#This Row],[Satisfaction Rating]],0)</f>
        <v>4</v>
      </c>
    </row>
    <row r="333" spans="2:12" x14ac:dyDescent="0.3">
      <c r="B333" s="22" t="s">
        <v>355</v>
      </c>
      <c r="C333" s="4" t="s">
        <v>17</v>
      </c>
      <c r="D333" s="4">
        <v>95</v>
      </c>
      <c r="E333" s="5" t="s">
        <v>13</v>
      </c>
      <c r="F333" s="9">
        <v>45024</v>
      </c>
      <c r="G333" s="4">
        <v>123</v>
      </c>
      <c r="H333" s="23">
        <v>4.4000000000000004</v>
      </c>
      <c r="I333">
        <f>IF(MONTH(Calls[[#This Row],[Date of Call]])&lt;6,YEAR(Calls[[#This Row],[Date of Call]]),YEAR(Calls[[#This Row],[Date of Call]])+1)</f>
        <v>2023</v>
      </c>
      <c r="J333" t="str">
        <f>TEXT(Calls[[#This Row],[Date of Call]],"DDDD")</f>
        <v>Saturday</v>
      </c>
      <c r="K333" t="str" cm="1">
        <f t="array" ref="K333">_xlfn.IFS(Calls[[#This Row],[Duration]]&lt;10,"Under 10 Mins",Calls[[#This Row],[Duration]]&lt;=30,"10 - 30 Mins",Calls[[#This Row],[Duration]]&lt;=60,"30 - 60 Mins",Calls[[#This Row],[Duration]]&lt;=120,"1 - 2 Hours",TRUE,"More than 2  Hours")</f>
        <v>1 - 2 Hours</v>
      </c>
      <c r="L333">
        <f>ROUND(Calls[[#This Row],[Satisfaction Rating]],0)</f>
        <v>4</v>
      </c>
    </row>
    <row r="334" spans="2:12" x14ac:dyDescent="0.3">
      <c r="B334" s="22" t="s">
        <v>356</v>
      </c>
      <c r="C334" s="4" t="s">
        <v>8</v>
      </c>
      <c r="D334" s="4">
        <v>49</v>
      </c>
      <c r="E334" s="5" t="s">
        <v>10</v>
      </c>
      <c r="F334" s="9">
        <v>45024</v>
      </c>
      <c r="G334" s="4">
        <v>172</v>
      </c>
      <c r="H334" s="23">
        <v>2.9</v>
      </c>
      <c r="I334">
        <f>IF(MONTH(Calls[[#This Row],[Date of Call]])&lt;6,YEAR(Calls[[#This Row],[Date of Call]]),YEAR(Calls[[#This Row],[Date of Call]])+1)</f>
        <v>2023</v>
      </c>
      <c r="J334" t="str">
        <f>TEXT(Calls[[#This Row],[Date of Call]],"DDDD")</f>
        <v>Saturday</v>
      </c>
      <c r="K334" t="str" cm="1">
        <f t="array" ref="K334">_xlfn.IFS(Calls[[#This Row],[Duration]]&lt;10,"Under 10 Mins",Calls[[#This Row],[Duration]]&lt;=30,"10 - 30 Mins",Calls[[#This Row],[Duration]]&lt;=60,"30 - 60 Mins",Calls[[#This Row],[Duration]]&lt;=120,"1 - 2 Hours",TRUE,"More than 2  Hours")</f>
        <v>30 - 60 Mins</v>
      </c>
      <c r="L334">
        <f>ROUND(Calls[[#This Row],[Satisfaction Rating]],0)</f>
        <v>3</v>
      </c>
    </row>
    <row r="335" spans="2:12" x14ac:dyDescent="0.3">
      <c r="B335" s="22" t="s">
        <v>357</v>
      </c>
      <c r="C335" s="4" t="s">
        <v>16</v>
      </c>
      <c r="D335" s="4">
        <v>8</v>
      </c>
      <c r="E335" s="5" t="s">
        <v>6</v>
      </c>
      <c r="F335" s="9">
        <v>45024</v>
      </c>
      <c r="G335" s="4">
        <v>20</v>
      </c>
      <c r="H335" s="23">
        <v>4.8</v>
      </c>
      <c r="I335">
        <f>IF(MONTH(Calls[[#This Row],[Date of Call]])&lt;6,YEAR(Calls[[#This Row],[Date of Call]]),YEAR(Calls[[#This Row],[Date of Call]])+1)</f>
        <v>2023</v>
      </c>
      <c r="J335" t="str">
        <f>TEXT(Calls[[#This Row],[Date of Call]],"DDDD")</f>
        <v>Saturday</v>
      </c>
      <c r="K335" t="str" cm="1">
        <f t="array" ref="K335">_xlfn.IFS(Calls[[#This Row],[Duration]]&lt;10,"Under 10 Mins",Calls[[#This Row],[Duration]]&lt;=30,"10 - 30 Mins",Calls[[#This Row],[Duration]]&lt;=60,"30 - 60 Mins",Calls[[#This Row],[Duration]]&lt;=120,"1 - 2 Hours",TRUE,"More than 2  Hours")</f>
        <v>Under 10 Mins</v>
      </c>
      <c r="L335">
        <f>ROUND(Calls[[#This Row],[Satisfaction Rating]],0)</f>
        <v>5</v>
      </c>
    </row>
    <row r="336" spans="2:12" x14ac:dyDescent="0.3">
      <c r="B336" s="22" t="s">
        <v>358</v>
      </c>
      <c r="C336" s="4" t="s">
        <v>17</v>
      </c>
      <c r="D336" s="4">
        <v>157</v>
      </c>
      <c r="E336" s="5" t="s">
        <v>10</v>
      </c>
      <c r="F336" s="9">
        <v>45024</v>
      </c>
      <c r="G336" s="4">
        <v>72</v>
      </c>
      <c r="H336" s="23">
        <v>3.7</v>
      </c>
      <c r="I336">
        <f>IF(MONTH(Calls[[#This Row],[Date of Call]])&lt;6,YEAR(Calls[[#This Row],[Date of Call]]),YEAR(Calls[[#This Row],[Date of Call]])+1)</f>
        <v>2023</v>
      </c>
      <c r="J336" t="str">
        <f>TEXT(Calls[[#This Row],[Date of Call]],"DDDD")</f>
        <v>Saturday</v>
      </c>
      <c r="K336" t="str" cm="1">
        <f t="array" ref="K336">_xlfn.IFS(Calls[[#This Row],[Duration]]&lt;10,"Under 10 Mins",Calls[[#This Row],[Duration]]&lt;=30,"10 - 30 Mins",Calls[[#This Row],[Duration]]&lt;=60,"30 - 60 Mins",Calls[[#This Row],[Duration]]&lt;=120,"1 - 2 Hours",TRUE,"More than 2  Hours")</f>
        <v>More than 2  Hours</v>
      </c>
      <c r="L336">
        <f>ROUND(Calls[[#This Row],[Satisfaction Rating]],0)</f>
        <v>4</v>
      </c>
    </row>
    <row r="337" spans="2:12" x14ac:dyDescent="0.3">
      <c r="B337" s="22" t="s">
        <v>359</v>
      </c>
      <c r="C337" s="4" t="s">
        <v>23</v>
      </c>
      <c r="D337" s="4">
        <v>74</v>
      </c>
      <c r="E337" s="5" t="s">
        <v>9</v>
      </c>
      <c r="F337" s="9">
        <v>45024</v>
      </c>
      <c r="G337" s="4">
        <v>32</v>
      </c>
      <c r="H337" s="23">
        <v>4.8</v>
      </c>
      <c r="I337">
        <f>IF(MONTH(Calls[[#This Row],[Date of Call]])&lt;6,YEAR(Calls[[#This Row],[Date of Call]]),YEAR(Calls[[#This Row],[Date of Call]])+1)</f>
        <v>2023</v>
      </c>
      <c r="J337" t="str">
        <f>TEXT(Calls[[#This Row],[Date of Call]],"DDDD")</f>
        <v>Saturday</v>
      </c>
      <c r="K337" t="str" cm="1">
        <f t="array" ref="K337">_xlfn.IFS(Calls[[#This Row],[Duration]]&lt;10,"Under 10 Mins",Calls[[#This Row],[Duration]]&lt;=30,"10 - 30 Mins",Calls[[#This Row],[Duration]]&lt;=60,"30 - 60 Mins",Calls[[#This Row],[Duration]]&lt;=120,"1 - 2 Hours",TRUE,"More than 2  Hours")</f>
        <v>1 - 2 Hours</v>
      </c>
      <c r="L337">
        <f>ROUND(Calls[[#This Row],[Satisfaction Rating]],0)</f>
        <v>5</v>
      </c>
    </row>
    <row r="338" spans="2:12" x14ac:dyDescent="0.3">
      <c r="B338" s="22" t="s">
        <v>360</v>
      </c>
      <c r="C338" s="4" t="s">
        <v>22</v>
      </c>
      <c r="D338" s="4">
        <v>72</v>
      </c>
      <c r="E338" s="5" t="s">
        <v>13</v>
      </c>
      <c r="F338" s="9">
        <v>45024</v>
      </c>
      <c r="G338" s="4">
        <v>140</v>
      </c>
      <c r="H338" s="23">
        <v>3.2</v>
      </c>
      <c r="I338">
        <f>IF(MONTH(Calls[[#This Row],[Date of Call]])&lt;6,YEAR(Calls[[#This Row],[Date of Call]]),YEAR(Calls[[#This Row],[Date of Call]])+1)</f>
        <v>2023</v>
      </c>
      <c r="J338" t="str">
        <f>TEXT(Calls[[#This Row],[Date of Call]],"DDDD")</f>
        <v>Saturday</v>
      </c>
      <c r="K338" t="str" cm="1">
        <f t="array" ref="K338">_xlfn.IFS(Calls[[#This Row],[Duration]]&lt;10,"Under 10 Mins",Calls[[#This Row],[Duration]]&lt;=30,"10 - 30 Mins",Calls[[#This Row],[Duration]]&lt;=60,"30 - 60 Mins",Calls[[#This Row],[Duration]]&lt;=120,"1 - 2 Hours",TRUE,"More than 2  Hours")</f>
        <v>1 - 2 Hours</v>
      </c>
      <c r="L338">
        <f>ROUND(Calls[[#This Row],[Satisfaction Rating]],0)</f>
        <v>3</v>
      </c>
    </row>
    <row r="339" spans="2:12" x14ac:dyDescent="0.3">
      <c r="B339" s="22" t="s">
        <v>361</v>
      </c>
      <c r="C339" s="4" t="s">
        <v>23</v>
      </c>
      <c r="D339" s="4">
        <v>79</v>
      </c>
      <c r="E339" s="5" t="s">
        <v>9</v>
      </c>
      <c r="F339" s="9">
        <v>45025</v>
      </c>
      <c r="G339" s="4">
        <v>120</v>
      </c>
      <c r="H339" s="23">
        <v>4.9000000000000004</v>
      </c>
      <c r="I339">
        <f>IF(MONTH(Calls[[#This Row],[Date of Call]])&lt;6,YEAR(Calls[[#This Row],[Date of Call]]),YEAR(Calls[[#This Row],[Date of Call]])+1)</f>
        <v>2023</v>
      </c>
      <c r="J339" t="str">
        <f>TEXT(Calls[[#This Row],[Date of Call]],"DDDD")</f>
        <v>Sunday</v>
      </c>
      <c r="K339" t="str" cm="1">
        <f t="array" ref="K339">_xlfn.IFS(Calls[[#This Row],[Duration]]&lt;10,"Under 10 Mins",Calls[[#This Row],[Duration]]&lt;=30,"10 - 30 Mins",Calls[[#This Row],[Duration]]&lt;=60,"30 - 60 Mins",Calls[[#This Row],[Duration]]&lt;=120,"1 - 2 Hours",TRUE,"More than 2  Hours")</f>
        <v>1 - 2 Hours</v>
      </c>
      <c r="L339">
        <f>ROUND(Calls[[#This Row],[Satisfaction Rating]],0)</f>
        <v>5</v>
      </c>
    </row>
    <row r="340" spans="2:12" x14ac:dyDescent="0.3">
      <c r="B340" s="22" t="s">
        <v>362</v>
      </c>
      <c r="C340" s="4" t="s">
        <v>19</v>
      </c>
      <c r="D340" s="4">
        <v>23</v>
      </c>
      <c r="E340" s="5" t="s">
        <v>9</v>
      </c>
      <c r="F340" s="9">
        <v>45025</v>
      </c>
      <c r="G340" s="4">
        <v>86</v>
      </c>
      <c r="H340" s="23">
        <v>2.2000000000000002</v>
      </c>
      <c r="I340">
        <f>IF(MONTH(Calls[[#This Row],[Date of Call]])&lt;6,YEAR(Calls[[#This Row],[Date of Call]]),YEAR(Calls[[#This Row],[Date of Call]])+1)</f>
        <v>2023</v>
      </c>
      <c r="J340" t="str">
        <f>TEXT(Calls[[#This Row],[Date of Call]],"DDDD")</f>
        <v>Sunday</v>
      </c>
      <c r="K340" t="str" cm="1">
        <f t="array" ref="K340">_xlfn.IFS(Calls[[#This Row],[Duration]]&lt;10,"Under 10 Mins",Calls[[#This Row],[Duration]]&lt;=30,"10 - 30 Mins",Calls[[#This Row],[Duration]]&lt;=60,"30 - 60 Mins",Calls[[#This Row],[Duration]]&lt;=120,"1 - 2 Hours",TRUE,"More than 2  Hours")</f>
        <v>10 - 30 Mins</v>
      </c>
      <c r="L340">
        <f>ROUND(Calls[[#This Row],[Satisfaction Rating]],0)</f>
        <v>2</v>
      </c>
    </row>
    <row r="341" spans="2:12" x14ac:dyDescent="0.3">
      <c r="B341" s="22" t="s">
        <v>363</v>
      </c>
      <c r="C341" s="4" t="s">
        <v>12</v>
      </c>
      <c r="D341" s="4">
        <v>69</v>
      </c>
      <c r="E341" s="5" t="s">
        <v>9</v>
      </c>
      <c r="F341" s="9">
        <v>45025</v>
      </c>
      <c r="G341" s="4">
        <v>132</v>
      </c>
      <c r="H341" s="23">
        <v>5</v>
      </c>
      <c r="I341">
        <f>IF(MONTH(Calls[[#This Row],[Date of Call]])&lt;6,YEAR(Calls[[#This Row],[Date of Call]]),YEAR(Calls[[#This Row],[Date of Call]])+1)</f>
        <v>2023</v>
      </c>
      <c r="J341" t="str">
        <f>TEXT(Calls[[#This Row],[Date of Call]],"DDDD")</f>
        <v>Sunday</v>
      </c>
      <c r="K341" t="str" cm="1">
        <f t="array" ref="K341">_xlfn.IFS(Calls[[#This Row],[Duration]]&lt;10,"Under 10 Mins",Calls[[#This Row],[Duration]]&lt;=30,"10 - 30 Mins",Calls[[#This Row],[Duration]]&lt;=60,"30 - 60 Mins",Calls[[#This Row],[Duration]]&lt;=120,"1 - 2 Hours",TRUE,"More than 2  Hours")</f>
        <v>1 - 2 Hours</v>
      </c>
      <c r="L341">
        <f>ROUND(Calls[[#This Row],[Satisfaction Rating]],0)</f>
        <v>5</v>
      </c>
    </row>
    <row r="342" spans="2:12" x14ac:dyDescent="0.3">
      <c r="B342" s="22" t="s">
        <v>364</v>
      </c>
      <c r="C342" s="4" t="s">
        <v>7</v>
      </c>
      <c r="D342" s="4">
        <v>64</v>
      </c>
      <c r="E342" s="5" t="s">
        <v>9</v>
      </c>
      <c r="F342" s="9">
        <v>45025</v>
      </c>
      <c r="G342" s="4">
        <v>80</v>
      </c>
      <c r="H342" s="23">
        <v>3.3</v>
      </c>
      <c r="I342">
        <f>IF(MONTH(Calls[[#This Row],[Date of Call]])&lt;6,YEAR(Calls[[#This Row],[Date of Call]]),YEAR(Calls[[#This Row],[Date of Call]])+1)</f>
        <v>2023</v>
      </c>
      <c r="J342" t="str">
        <f>TEXT(Calls[[#This Row],[Date of Call]],"DDDD")</f>
        <v>Sunday</v>
      </c>
      <c r="K342" t="str" cm="1">
        <f t="array" ref="K342">_xlfn.IFS(Calls[[#This Row],[Duration]]&lt;10,"Under 10 Mins",Calls[[#This Row],[Duration]]&lt;=30,"10 - 30 Mins",Calls[[#This Row],[Duration]]&lt;=60,"30 - 60 Mins",Calls[[#This Row],[Duration]]&lt;=120,"1 - 2 Hours",TRUE,"More than 2  Hours")</f>
        <v>1 - 2 Hours</v>
      </c>
      <c r="L342">
        <f>ROUND(Calls[[#This Row],[Satisfaction Rating]],0)</f>
        <v>3</v>
      </c>
    </row>
    <row r="343" spans="2:12" x14ac:dyDescent="0.3">
      <c r="B343" s="22" t="s">
        <v>365</v>
      </c>
      <c r="C343" s="4" t="s">
        <v>24</v>
      </c>
      <c r="D343" s="4">
        <v>47</v>
      </c>
      <c r="E343" s="5" t="s">
        <v>10</v>
      </c>
      <c r="F343" s="9">
        <v>45025</v>
      </c>
      <c r="G343" s="4">
        <v>132</v>
      </c>
      <c r="H343" s="23">
        <v>3.7</v>
      </c>
      <c r="I343">
        <f>IF(MONTH(Calls[[#This Row],[Date of Call]])&lt;6,YEAR(Calls[[#This Row],[Date of Call]]),YEAR(Calls[[#This Row],[Date of Call]])+1)</f>
        <v>2023</v>
      </c>
      <c r="J343" t="str">
        <f>TEXT(Calls[[#This Row],[Date of Call]],"DDDD")</f>
        <v>Sunday</v>
      </c>
      <c r="K343" t="str" cm="1">
        <f t="array" ref="K343">_xlfn.IFS(Calls[[#This Row],[Duration]]&lt;10,"Under 10 Mins",Calls[[#This Row],[Duration]]&lt;=30,"10 - 30 Mins",Calls[[#This Row],[Duration]]&lt;=60,"30 - 60 Mins",Calls[[#This Row],[Duration]]&lt;=120,"1 - 2 Hours",TRUE,"More than 2  Hours")</f>
        <v>30 - 60 Mins</v>
      </c>
      <c r="L343">
        <f>ROUND(Calls[[#This Row],[Satisfaction Rating]],0)</f>
        <v>4</v>
      </c>
    </row>
    <row r="344" spans="2:12" x14ac:dyDescent="0.3">
      <c r="B344" s="22" t="s">
        <v>366</v>
      </c>
      <c r="C344" s="4" t="s">
        <v>23</v>
      </c>
      <c r="D344" s="4">
        <v>55</v>
      </c>
      <c r="E344" s="5" t="s">
        <v>13</v>
      </c>
      <c r="F344" s="9">
        <v>45025</v>
      </c>
      <c r="G344" s="4">
        <v>27</v>
      </c>
      <c r="H344" s="23">
        <v>3.7</v>
      </c>
      <c r="I344">
        <f>IF(MONTH(Calls[[#This Row],[Date of Call]])&lt;6,YEAR(Calls[[#This Row],[Date of Call]]),YEAR(Calls[[#This Row],[Date of Call]])+1)</f>
        <v>2023</v>
      </c>
      <c r="J344" t="str">
        <f>TEXT(Calls[[#This Row],[Date of Call]],"DDDD")</f>
        <v>Sunday</v>
      </c>
      <c r="K344" t="str" cm="1">
        <f t="array" ref="K344">_xlfn.IFS(Calls[[#This Row],[Duration]]&lt;10,"Under 10 Mins",Calls[[#This Row],[Duration]]&lt;=30,"10 - 30 Mins",Calls[[#This Row],[Duration]]&lt;=60,"30 - 60 Mins",Calls[[#This Row],[Duration]]&lt;=120,"1 - 2 Hours",TRUE,"More than 2  Hours")</f>
        <v>30 - 60 Mins</v>
      </c>
      <c r="L344">
        <f>ROUND(Calls[[#This Row],[Satisfaction Rating]],0)</f>
        <v>4</v>
      </c>
    </row>
    <row r="345" spans="2:12" x14ac:dyDescent="0.3">
      <c r="B345" s="22" t="s">
        <v>367</v>
      </c>
      <c r="C345" s="4" t="s">
        <v>18</v>
      </c>
      <c r="D345" s="4">
        <v>104</v>
      </c>
      <c r="E345" s="5" t="s">
        <v>13</v>
      </c>
      <c r="F345" s="9">
        <v>45026</v>
      </c>
      <c r="G345" s="4">
        <v>68</v>
      </c>
      <c r="H345" s="23">
        <v>3.6</v>
      </c>
      <c r="I345">
        <f>IF(MONTH(Calls[[#This Row],[Date of Call]])&lt;6,YEAR(Calls[[#This Row],[Date of Call]]),YEAR(Calls[[#This Row],[Date of Call]])+1)</f>
        <v>2023</v>
      </c>
      <c r="J345" t="str">
        <f>TEXT(Calls[[#This Row],[Date of Call]],"DDDD")</f>
        <v>Monday</v>
      </c>
      <c r="K345" t="str" cm="1">
        <f t="array" ref="K345">_xlfn.IFS(Calls[[#This Row],[Duration]]&lt;10,"Under 10 Mins",Calls[[#This Row],[Duration]]&lt;=30,"10 - 30 Mins",Calls[[#This Row],[Duration]]&lt;=60,"30 - 60 Mins",Calls[[#This Row],[Duration]]&lt;=120,"1 - 2 Hours",TRUE,"More than 2  Hours")</f>
        <v>1 - 2 Hours</v>
      </c>
      <c r="L345">
        <f>ROUND(Calls[[#This Row],[Satisfaction Rating]],0)</f>
        <v>4</v>
      </c>
    </row>
    <row r="346" spans="2:12" x14ac:dyDescent="0.3">
      <c r="B346" s="22" t="s">
        <v>368</v>
      </c>
      <c r="C346" s="4" t="s">
        <v>24</v>
      </c>
      <c r="D346" s="4">
        <v>116</v>
      </c>
      <c r="E346" s="5" t="s">
        <v>9</v>
      </c>
      <c r="F346" s="9">
        <v>45026</v>
      </c>
      <c r="G346" s="4">
        <v>22</v>
      </c>
      <c r="H346" s="23">
        <v>4.7</v>
      </c>
      <c r="I346">
        <f>IF(MONTH(Calls[[#This Row],[Date of Call]])&lt;6,YEAR(Calls[[#This Row],[Date of Call]]),YEAR(Calls[[#This Row],[Date of Call]])+1)</f>
        <v>2023</v>
      </c>
      <c r="J346" t="str">
        <f>TEXT(Calls[[#This Row],[Date of Call]],"DDDD")</f>
        <v>Monday</v>
      </c>
      <c r="K346" t="str" cm="1">
        <f t="array" ref="K346">_xlfn.IFS(Calls[[#This Row],[Duration]]&lt;10,"Under 10 Mins",Calls[[#This Row],[Duration]]&lt;=30,"10 - 30 Mins",Calls[[#This Row],[Duration]]&lt;=60,"30 - 60 Mins",Calls[[#This Row],[Duration]]&lt;=120,"1 - 2 Hours",TRUE,"More than 2  Hours")</f>
        <v>1 - 2 Hours</v>
      </c>
      <c r="L346">
        <f>ROUND(Calls[[#This Row],[Satisfaction Rating]],0)</f>
        <v>5</v>
      </c>
    </row>
    <row r="347" spans="2:12" x14ac:dyDescent="0.3">
      <c r="B347" s="22" t="s">
        <v>369</v>
      </c>
      <c r="C347" s="4" t="s">
        <v>19</v>
      </c>
      <c r="D347" s="4">
        <v>99</v>
      </c>
      <c r="E347" s="5" t="s">
        <v>13</v>
      </c>
      <c r="F347" s="9">
        <v>45026</v>
      </c>
      <c r="G347" s="4">
        <v>42</v>
      </c>
      <c r="H347" s="23">
        <v>3.1</v>
      </c>
      <c r="I347">
        <f>IF(MONTH(Calls[[#This Row],[Date of Call]])&lt;6,YEAR(Calls[[#This Row],[Date of Call]]),YEAR(Calls[[#This Row],[Date of Call]])+1)</f>
        <v>2023</v>
      </c>
      <c r="J347" t="str">
        <f>TEXT(Calls[[#This Row],[Date of Call]],"DDDD")</f>
        <v>Monday</v>
      </c>
      <c r="K347" t="str" cm="1">
        <f t="array" ref="K347">_xlfn.IFS(Calls[[#This Row],[Duration]]&lt;10,"Under 10 Mins",Calls[[#This Row],[Duration]]&lt;=30,"10 - 30 Mins",Calls[[#This Row],[Duration]]&lt;=60,"30 - 60 Mins",Calls[[#This Row],[Duration]]&lt;=120,"1 - 2 Hours",TRUE,"More than 2  Hours")</f>
        <v>1 - 2 Hours</v>
      </c>
      <c r="L347">
        <f>ROUND(Calls[[#This Row],[Satisfaction Rating]],0)</f>
        <v>3</v>
      </c>
    </row>
    <row r="348" spans="2:12" x14ac:dyDescent="0.3">
      <c r="B348" s="22" t="s">
        <v>370</v>
      </c>
      <c r="C348" s="4" t="s">
        <v>18</v>
      </c>
      <c r="D348" s="4">
        <v>84</v>
      </c>
      <c r="E348" s="5" t="s">
        <v>13</v>
      </c>
      <c r="F348" s="9">
        <v>45027</v>
      </c>
      <c r="G348" s="4">
        <v>38</v>
      </c>
      <c r="H348" s="23">
        <v>3.3</v>
      </c>
      <c r="I348">
        <f>IF(MONTH(Calls[[#This Row],[Date of Call]])&lt;6,YEAR(Calls[[#This Row],[Date of Call]]),YEAR(Calls[[#This Row],[Date of Call]])+1)</f>
        <v>2023</v>
      </c>
      <c r="J348" t="str">
        <f>TEXT(Calls[[#This Row],[Date of Call]],"DDDD")</f>
        <v>Tuesday</v>
      </c>
      <c r="K348" t="str" cm="1">
        <f t="array" ref="K348">_xlfn.IFS(Calls[[#This Row],[Duration]]&lt;10,"Under 10 Mins",Calls[[#This Row],[Duration]]&lt;=30,"10 - 30 Mins",Calls[[#This Row],[Duration]]&lt;=60,"30 - 60 Mins",Calls[[#This Row],[Duration]]&lt;=120,"1 - 2 Hours",TRUE,"More than 2  Hours")</f>
        <v>1 - 2 Hours</v>
      </c>
      <c r="L348">
        <f>ROUND(Calls[[#This Row],[Satisfaction Rating]],0)</f>
        <v>3</v>
      </c>
    </row>
    <row r="349" spans="2:12" x14ac:dyDescent="0.3">
      <c r="B349" s="22" t="s">
        <v>371</v>
      </c>
      <c r="C349" s="4" t="s">
        <v>16</v>
      </c>
      <c r="D349" s="4">
        <v>159</v>
      </c>
      <c r="E349" s="5" t="s">
        <v>13</v>
      </c>
      <c r="F349" s="9">
        <v>45027</v>
      </c>
      <c r="G349" s="4">
        <v>42</v>
      </c>
      <c r="H349" s="23">
        <v>4.5</v>
      </c>
      <c r="I349">
        <f>IF(MONTH(Calls[[#This Row],[Date of Call]])&lt;6,YEAR(Calls[[#This Row],[Date of Call]]),YEAR(Calls[[#This Row],[Date of Call]])+1)</f>
        <v>2023</v>
      </c>
      <c r="J349" t="str">
        <f>TEXT(Calls[[#This Row],[Date of Call]],"DDDD")</f>
        <v>Tuesday</v>
      </c>
      <c r="K349" t="str" cm="1">
        <f t="array" ref="K349">_xlfn.IFS(Calls[[#This Row],[Duration]]&lt;10,"Under 10 Mins",Calls[[#This Row],[Duration]]&lt;=30,"10 - 30 Mins",Calls[[#This Row],[Duration]]&lt;=60,"30 - 60 Mins",Calls[[#This Row],[Duration]]&lt;=120,"1 - 2 Hours",TRUE,"More than 2  Hours")</f>
        <v>More than 2  Hours</v>
      </c>
      <c r="L349">
        <f>ROUND(Calls[[#This Row],[Satisfaction Rating]],0)</f>
        <v>5</v>
      </c>
    </row>
    <row r="350" spans="2:12" x14ac:dyDescent="0.3">
      <c r="B350" s="22" t="s">
        <v>372</v>
      </c>
      <c r="C350" s="4" t="s">
        <v>15</v>
      </c>
      <c r="D350" s="4">
        <v>25</v>
      </c>
      <c r="E350" s="5" t="s">
        <v>10</v>
      </c>
      <c r="F350" s="9">
        <v>45027</v>
      </c>
      <c r="G350" s="4">
        <v>75</v>
      </c>
      <c r="H350" s="23">
        <v>3.9</v>
      </c>
      <c r="I350">
        <f>IF(MONTH(Calls[[#This Row],[Date of Call]])&lt;6,YEAR(Calls[[#This Row],[Date of Call]]),YEAR(Calls[[#This Row],[Date of Call]])+1)</f>
        <v>2023</v>
      </c>
      <c r="J350" t="str">
        <f>TEXT(Calls[[#This Row],[Date of Call]],"DDDD")</f>
        <v>Tuesday</v>
      </c>
      <c r="K350" t="str" cm="1">
        <f t="array" ref="K350">_xlfn.IFS(Calls[[#This Row],[Duration]]&lt;10,"Under 10 Mins",Calls[[#This Row],[Duration]]&lt;=30,"10 - 30 Mins",Calls[[#This Row],[Duration]]&lt;=60,"30 - 60 Mins",Calls[[#This Row],[Duration]]&lt;=120,"1 - 2 Hours",TRUE,"More than 2  Hours")</f>
        <v>10 - 30 Mins</v>
      </c>
      <c r="L350">
        <f>ROUND(Calls[[#This Row],[Satisfaction Rating]],0)</f>
        <v>4</v>
      </c>
    </row>
    <row r="351" spans="2:12" x14ac:dyDescent="0.3">
      <c r="B351" s="22" t="s">
        <v>373</v>
      </c>
      <c r="C351" s="4" t="s">
        <v>16</v>
      </c>
      <c r="D351" s="4">
        <v>53</v>
      </c>
      <c r="E351" s="5" t="s">
        <v>6</v>
      </c>
      <c r="F351" s="9">
        <v>45028</v>
      </c>
      <c r="G351" s="4">
        <v>23</v>
      </c>
      <c r="H351" s="23">
        <v>4.9000000000000004</v>
      </c>
      <c r="I351">
        <f>IF(MONTH(Calls[[#This Row],[Date of Call]])&lt;6,YEAR(Calls[[#This Row],[Date of Call]]),YEAR(Calls[[#This Row],[Date of Call]])+1)</f>
        <v>2023</v>
      </c>
      <c r="J351" t="str">
        <f>TEXT(Calls[[#This Row],[Date of Call]],"DDDD")</f>
        <v>Wednesday</v>
      </c>
      <c r="K351" t="str" cm="1">
        <f t="array" ref="K351">_xlfn.IFS(Calls[[#This Row],[Duration]]&lt;10,"Under 10 Mins",Calls[[#This Row],[Duration]]&lt;=30,"10 - 30 Mins",Calls[[#This Row],[Duration]]&lt;=60,"30 - 60 Mins",Calls[[#This Row],[Duration]]&lt;=120,"1 - 2 Hours",TRUE,"More than 2  Hours")</f>
        <v>30 - 60 Mins</v>
      </c>
      <c r="L351">
        <f>ROUND(Calls[[#This Row],[Satisfaction Rating]],0)</f>
        <v>5</v>
      </c>
    </row>
    <row r="352" spans="2:12" x14ac:dyDescent="0.3">
      <c r="B352" s="22" t="s">
        <v>374</v>
      </c>
      <c r="C352" s="4" t="s">
        <v>16</v>
      </c>
      <c r="D352" s="4">
        <v>89</v>
      </c>
      <c r="E352" s="5" t="s">
        <v>10</v>
      </c>
      <c r="F352" s="9">
        <v>45028</v>
      </c>
      <c r="G352" s="4">
        <v>200</v>
      </c>
      <c r="H352" s="23">
        <v>4.8</v>
      </c>
      <c r="I352">
        <f>IF(MONTH(Calls[[#This Row],[Date of Call]])&lt;6,YEAR(Calls[[#This Row],[Date of Call]]),YEAR(Calls[[#This Row],[Date of Call]])+1)</f>
        <v>2023</v>
      </c>
      <c r="J352" t="str">
        <f>TEXT(Calls[[#This Row],[Date of Call]],"DDDD")</f>
        <v>Wednesday</v>
      </c>
      <c r="K352" t="str" cm="1">
        <f t="array" ref="K352">_xlfn.IFS(Calls[[#This Row],[Duration]]&lt;10,"Under 10 Mins",Calls[[#This Row],[Duration]]&lt;=30,"10 - 30 Mins",Calls[[#This Row],[Duration]]&lt;=60,"30 - 60 Mins",Calls[[#This Row],[Duration]]&lt;=120,"1 - 2 Hours",TRUE,"More than 2  Hours")</f>
        <v>1 - 2 Hours</v>
      </c>
      <c r="L352">
        <f>ROUND(Calls[[#This Row],[Satisfaction Rating]],0)</f>
        <v>5</v>
      </c>
    </row>
    <row r="353" spans="2:12" x14ac:dyDescent="0.3">
      <c r="B353" s="22" t="s">
        <v>375</v>
      </c>
      <c r="C353" s="4" t="s">
        <v>21</v>
      </c>
      <c r="D353" s="4">
        <v>73</v>
      </c>
      <c r="E353" s="5" t="s">
        <v>9</v>
      </c>
      <c r="F353" s="9">
        <v>45029</v>
      </c>
      <c r="G353" s="4">
        <v>45</v>
      </c>
      <c r="H353" s="23">
        <v>3.6</v>
      </c>
      <c r="I353">
        <f>IF(MONTH(Calls[[#This Row],[Date of Call]])&lt;6,YEAR(Calls[[#This Row],[Date of Call]]),YEAR(Calls[[#This Row],[Date of Call]])+1)</f>
        <v>2023</v>
      </c>
      <c r="J353" t="str">
        <f>TEXT(Calls[[#This Row],[Date of Call]],"DDDD")</f>
        <v>Thursday</v>
      </c>
      <c r="K353" t="str" cm="1">
        <f t="array" ref="K353">_xlfn.IFS(Calls[[#This Row],[Duration]]&lt;10,"Under 10 Mins",Calls[[#This Row],[Duration]]&lt;=30,"10 - 30 Mins",Calls[[#This Row],[Duration]]&lt;=60,"30 - 60 Mins",Calls[[#This Row],[Duration]]&lt;=120,"1 - 2 Hours",TRUE,"More than 2  Hours")</f>
        <v>1 - 2 Hours</v>
      </c>
      <c r="L353">
        <f>ROUND(Calls[[#This Row],[Satisfaction Rating]],0)</f>
        <v>4</v>
      </c>
    </row>
    <row r="354" spans="2:12" x14ac:dyDescent="0.3">
      <c r="B354" s="22" t="s">
        <v>376</v>
      </c>
      <c r="C354" s="4" t="s">
        <v>19</v>
      </c>
      <c r="D354" s="4">
        <v>50</v>
      </c>
      <c r="E354" s="5" t="s">
        <v>9</v>
      </c>
      <c r="F354" s="9">
        <v>45029</v>
      </c>
      <c r="G354" s="4">
        <v>105</v>
      </c>
      <c r="H354" s="23">
        <v>3.5</v>
      </c>
      <c r="I354">
        <f>IF(MONTH(Calls[[#This Row],[Date of Call]])&lt;6,YEAR(Calls[[#This Row],[Date of Call]]),YEAR(Calls[[#This Row],[Date of Call]])+1)</f>
        <v>2023</v>
      </c>
      <c r="J354" t="str">
        <f>TEXT(Calls[[#This Row],[Date of Call]],"DDDD")</f>
        <v>Thursday</v>
      </c>
      <c r="K354" t="str" cm="1">
        <f t="array" ref="K354">_xlfn.IFS(Calls[[#This Row],[Duration]]&lt;10,"Under 10 Mins",Calls[[#This Row],[Duration]]&lt;=30,"10 - 30 Mins",Calls[[#This Row],[Duration]]&lt;=60,"30 - 60 Mins",Calls[[#This Row],[Duration]]&lt;=120,"1 - 2 Hours",TRUE,"More than 2  Hours")</f>
        <v>30 - 60 Mins</v>
      </c>
      <c r="L354">
        <f>ROUND(Calls[[#This Row],[Satisfaction Rating]],0)</f>
        <v>4</v>
      </c>
    </row>
    <row r="355" spans="2:12" x14ac:dyDescent="0.3">
      <c r="B355" s="22" t="s">
        <v>377</v>
      </c>
      <c r="C355" s="4" t="s">
        <v>8</v>
      </c>
      <c r="D355" s="4">
        <v>98</v>
      </c>
      <c r="E355" s="5" t="s">
        <v>9</v>
      </c>
      <c r="F355" s="9">
        <v>45029</v>
      </c>
      <c r="G355" s="4">
        <v>22</v>
      </c>
      <c r="H355" s="23">
        <v>3.8</v>
      </c>
      <c r="I355">
        <f>IF(MONTH(Calls[[#This Row],[Date of Call]])&lt;6,YEAR(Calls[[#This Row],[Date of Call]]),YEAR(Calls[[#This Row],[Date of Call]])+1)</f>
        <v>2023</v>
      </c>
      <c r="J355" t="str">
        <f>TEXT(Calls[[#This Row],[Date of Call]],"DDDD")</f>
        <v>Thursday</v>
      </c>
      <c r="K355" t="str" cm="1">
        <f t="array" ref="K355">_xlfn.IFS(Calls[[#This Row],[Duration]]&lt;10,"Under 10 Mins",Calls[[#This Row],[Duration]]&lt;=30,"10 - 30 Mins",Calls[[#This Row],[Duration]]&lt;=60,"30 - 60 Mins",Calls[[#This Row],[Duration]]&lt;=120,"1 - 2 Hours",TRUE,"More than 2  Hours")</f>
        <v>1 - 2 Hours</v>
      </c>
      <c r="L355">
        <f>ROUND(Calls[[#This Row],[Satisfaction Rating]],0)</f>
        <v>4</v>
      </c>
    </row>
    <row r="356" spans="2:12" x14ac:dyDescent="0.3">
      <c r="B356" s="22" t="s">
        <v>378</v>
      </c>
      <c r="C356" s="4" t="s">
        <v>14</v>
      </c>
      <c r="D356" s="4">
        <v>114</v>
      </c>
      <c r="E356" s="5" t="s">
        <v>13</v>
      </c>
      <c r="F356" s="9">
        <v>45030</v>
      </c>
      <c r="G356" s="4">
        <v>126</v>
      </c>
      <c r="H356" s="23">
        <v>4.4000000000000004</v>
      </c>
      <c r="I356">
        <f>IF(MONTH(Calls[[#This Row],[Date of Call]])&lt;6,YEAR(Calls[[#This Row],[Date of Call]]),YEAR(Calls[[#This Row],[Date of Call]])+1)</f>
        <v>2023</v>
      </c>
      <c r="J356" t="str">
        <f>TEXT(Calls[[#This Row],[Date of Call]],"DDDD")</f>
        <v>Friday</v>
      </c>
      <c r="K356" t="str" cm="1">
        <f t="array" ref="K356">_xlfn.IFS(Calls[[#This Row],[Duration]]&lt;10,"Under 10 Mins",Calls[[#This Row],[Duration]]&lt;=30,"10 - 30 Mins",Calls[[#This Row],[Duration]]&lt;=60,"30 - 60 Mins",Calls[[#This Row],[Duration]]&lt;=120,"1 - 2 Hours",TRUE,"More than 2  Hours")</f>
        <v>1 - 2 Hours</v>
      </c>
      <c r="L356">
        <f>ROUND(Calls[[#This Row],[Satisfaction Rating]],0)</f>
        <v>4</v>
      </c>
    </row>
    <row r="357" spans="2:12" x14ac:dyDescent="0.3">
      <c r="B357" s="22" t="s">
        <v>379</v>
      </c>
      <c r="C357" s="4" t="s">
        <v>7</v>
      </c>
      <c r="D357" s="4">
        <v>67</v>
      </c>
      <c r="E357" s="5" t="s">
        <v>13</v>
      </c>
      <c r="F357" s="9">
        <v>45030</v>
      </c>
      <c r="G357" s="4">
        <v>35</v>
      </c>
      <c r="H357" s="23">
        <v>3</v>
      </c>
      <c r="I357">
        <f>IF(MONTH(Calls[[#This Row],[Date of Call]])&lt;6,YEAR(Calls[[#This Row],[Date of Call]]),YEAR(Calls[[#This Row],[Date of Call]])+1)</f>
        <v>2023</v>
      </c>
      <c r="J357" t="str">
        <f>TEXT(Calls[[#This Row],[Date of Call]],"DDDD")</f>
        <v>Friday</v>
      </c>
      <c r="K357" t="str" cm="1">
        <f t="array" ref="K357">_xlfn.IFS(Calls[[#This Row],[Duration]]&lt;10,"Under 10 Mins",Calls[[#This Row],[Duration]]&lt;=30,"10 - 30 Mins",Calls[[#This Row],[Duration]]&lt;=60,"30 - 60 Mins",Calls[[#This Row],[Duration]]&lt;=120,"1 - 2 Hours",TRUE,"More than 2  Hours")</f>
        <v>1 - 2 Hours</v>
      </c>
      <c r="L357">
        <f>ROUND(Calls[[#This Row],[Satisfaction Rating]],0)</f>
        <v>3</v>
      </c>
    </row>
    <row r="358" spans="2:12" x14ac:dyDescent="0.3">
      <c r="B358" s="22" t="s">
        <v>380</v>
      </c>
      <c r="C358" s="4" t="s">
        <v>23</v>
      </c>
      <c r="D358" s="4">
        <v>91</v>
      </c>
      <c r="E358" s="5" t="s">
        <v>9</v>
      </c>
      <c r="F358" s="9">
        <v>45030</v>
      </c>
      <c r="G358" s="4">
        <v>84</v>
      </c>
      <c r="H358" s="23">
        <v>4.5</v>
      </c>
      <c r="I358">
        <f>IF(MONTH(Calls[[#This Row],[Date of Call]])&lt;6,YEAR(Calls[[#This Row],[Date of Call]]),YEAR(Calls[[#This Row],[Date of Call]])+1)</f>
        <v>2023</v>
      </c>
      <c r="J358" t="str">
        <f>TEXT(Calls[[#This Row],[Date of Call]],"DDDD")</f>
        <v>Friday</v>
      </c>
      <c r="K358" t="str" cm="1">
        <f t="array" ref="K358">_xlfn.IFS(Calls[[#This Row],[Duration]]&lt;10,"Under 10 Mins",Calls[[#This Row],[Duration]]&lt;=30,"10 - 30 Mins",Calls[[#This Row],[Duration]]&lt;=60,"30 - 60 Mins",Calls[[#This Row],[Duration]]&lt;=120,"1 - 2 Hours",TRUE,"More than 2  Hours")</f>
        <v>1 - 2 Hours</v>
      </c>
      <c r="L358">
        <f>ROUND(Calls[[#This Row],[Satisfaction Rating]],0)</f>
        <v>5</v>
      </c>
    </row>
    <row r="359" spans="2:12" x14ac:dyDescent="0.3">
      <c r="B359" s="22" t="s">
        <v>381</v>
      </c>
      <c r="C359" s="4" t="s">
        <v>5</v>
      </c>
      <c r="D359" s="4">
        <v>67</v>
      </c>
      <c r="E359" s="5" t="s">
        <v>9</v>
      </c>
      <c r="F359" s="9">
        <v>45031</v>
      </c>
      <c r="G359" s="4">
        <v>172</v>
      </c>
      <c r="H359" s="23">
        <v>4.5</v>
      </c>
      <c r="I359">
        <f>IF(MONTH(Calls[[#This Row],[Date of Call]])&lt;6,YEAR(Calls[[#This Row],[Date of Call]]),YEAR(Calls[[#This Row],[Date of Call]])+1)</f>
        <v>2023</v>
      </c>
      <c r="J359" t="str">
        <f>TEXT(Calls[[#This Row],[Date of Call]],"DDDD")</f>
        <v>Saturday</v>
      </c>
      <c r="K359" t="str" cm="1">
        <f t="array" ref="K359">_xlfn.IFS(Calls[[#This Row],[Duration]]&lt;10,"Under 10 Mins",Calls[[#This Row],[Duration]]&lt;=30,"10 - 30 Mins",Calls[[#This Row],[Duration]]&lt;=60,"30 - 60 Mins",Calls[[#This Row],[Duration]]&lt;=120,"1 - 2 Hours",TRUE,"More than 2  Hours")</f>
        <v>1 - 2 Hours</v>
      </c>
      <c r="L359">
        <f>ROUND(Calls[[#This Row],[Satisfaction Rating]],0)</f>
        <v>5</v>
      </c>
    </row>
    <row r="360" spans="2:12" x14ac:dyDescent="0.3">
      <c r="B360" s="22" t="s">
        <v>382</v>
      </c>
      <c r="C360" s="4" t="s">
        <v>14</v>
      </c>
      <c r="D360" s="4">
        <v>139</v>
      </c>
      <c r="E360" s="5" t="s">
        <v>10</v>
      </c>
      <c r="F360" s="9">
        <v>45031</v>
      </c>
      <c r="G360" s="4">
        <v>114</v>
      </c>
      <c r="H360" s="23">
        <v>4</v>
      </c>
      <c r="I360">
        <f>IF(MONTH(Calls[[#This Row],[Date of Call]])&lt;6,YEAR(Calls[[#This Row],[Date of Call]]),YEAR(Calls[[#This Row],[Date of Call]])+1)</f>
        <v>2023</v>
      </c>
      <c r="J360" t="str">
        <f>TEXT(Calls[[#This Row],[Date of Call]],"DDDD")</f>
        <v>Saturday</v>
      </c>
      <c r="K360" t="str" cm="1">
        <f t="array" ref="K360">_xlfn.IFS(Calls[[#This Row],[Duration]]&lt;10,"Under 10 Mins",Calls[[#This Row],[Duration]]&lt;=30,"10 - 30 Mins",Calls[[#This Row],[Duration]]&lt;=60,"30 - 60 Mins",Calls[[#This Row],[Duration]]&lt;=120,"1 - 2 Hours",TRUE,"More than 2  Hours")</f>
        <v>More than 2  Hours</v>
      </c>
      <c r="L360">
        <f>ROUND(Calls[[#This Row],[Satisfaction Rating]],0)</f>
        <v>4</v>
      </c>
    </row>
    <row r="361" spans="2:12" x14ac:dyDescent="0.3">
      <c r="B361" s="22" t="s">
        <v>383</v>
      </c>
      <c r="C361" s="4" t="s">
        <v>5</v>
      </c>
      <c r="D361" s="4">
        <v>102</v>
      </c>
      <c r="E361" s="5" t="s">
        <v>10</v>
      </c>
      <c r="F361" s="9">
        <v>45031</v>
      </c>
      <c r="G361" s="4">
        <v>60</v>
      </c>
      <c r="H361" s="23">
        <v>3.8</v>
      </c>
      <c r="I361">
        <f>IF(MONTH(Calls[[#This Row],[Date of Call]])&lt;6,YEAR(Calls[[#This Row],[Date of Call]]),YEAR(Calls[[#This Row],[Date of Call]])+1)</f>
        <v>2023</v>
      </c>
      <c r="J361" t="str">
        <f>TEXT(Calls[[#This Row],[Date of Call]],"DDDD")</f>
        <v>Saturday</v>
      </c>
      <c r="K361" t="str" cm="1">
        <f t="array" ref="K361">_xlfn.IFS(Calls[[#This Row],[Duration]]&lt;10,"Under 10 Mins",Calls[[#This Row],[Duration]]&lt;=30,"10 - 30 Mins",Calls[[#This Row],[Duration]]&lt;=60,"30 - 60 Mins",Calls[[#This Row],[Duration]]&lt;=120,"1 - 2 Hours",TRUE,"More than 2  Hours")</f>
        <v>1 - 2 Hours</v>
      </c>
      <c r="L361">
        <f>ROUND(Calls[[#This Row],[Satisfaction Rating]],0)</f>
        <v>4</v>
      </c>
    </row>
    <row r="362" spans="2:12" x14ac:dyDescent="0.3">
      <c r="B362" s="22" t="s">
        <v>384</v>
      </c>
      <c r="C362" s="4" t="s">
        <v>17</v>
      </c>
      <c r="D362" s="4">
        <v>108</v>
      </c>
      <c r="E362" s="5" t="s">
        <v>11</v>
      </c>
      <c r="F362" s="9">
        <v>45031</v>
      </c>
      <c r="G362" s="4">
        <v>26</v>
      </c>
      <c r="H362" s="23">
        <v>3.3</v>
      </c>
      <c r="I362">
        <f>IF(MONTH(Calls[[#This Row],[Date of Call]])&lt;6,YEAR(Calls[[#This Row],[Date of Call]]),YEAR(Calls[[#This Row],[Date of Call]])+1)</f>
        <v>2023</v>
      </c>
      <c r="J362" t="str">
        <f>TEXT(Calls[[#This Row],[Date of Call]],"DDDD")</f>
        <v>Saturday</v>
      </c>
      <c r="K362" t="str" cm="1">
        <f t="array" ref="K362">_xlfn.IFS(Calls[[#This Row],[Duration]]&lt;10,"Under 10 Mins",Calls[[#This Row],[Duration]]&lt;=30,"10 - 30 Mins",Calls[[#This Row],[Duration]]&lt;=60,"30 - 60 Mins",Calls[[#This Row],[Duration]]&lt;=120,"1 - 2 Hours",TRUE,"More than 2  Hours")</f>
        <v>1 - 2 Hours</v>
      </c>
      <c r="L362">
        <f>ROUND(Calls[[#This Row],[Satisfaction Rating]],0)</f>
        <v>3</v>
      </c>
    </row>
    <row r="363" spans="2:12" x14ac:dyDescent="0.3">
      <c r="B363" s="22" t="s">
        <v>385</v>
      </c>
      <c r="C363" s="4" t="s">
        <v>15</v>
      </c>
      <c r="D363" s="4">
        <v>66</v>
      </c>
      <c r="E363" s="5" t="s">
        <v>9</v>
      </c>
      <c r="F363" s="9">
        <v>45031</v>
      </c>
      <c r="G363" s="4">
        <v>210</v>
      </c>
      <c r="H363" s="23">
        <v>4.3</v>
      </c>
      <c r="I363">
        <f>IF(MONTH(Calls[[#This Row],[Date of Call]])&lt;6,YEAR(Calls[[#This Row],[Date of Call]]),YEAR(Calls[[#This Row],[Date of Call]])+1)</f>
        <v>2023</v>
      </c>
      <c r="J363" t="str">
        <f>TEXT(Calls[[#This Row],[Date of Call]],"DDDD")</f>
        <v>Saturday</v>
      </c>
      <c r="K363" t="str" cm="1">
        <f t="array" ref="K363">_xlfn.IFS(Calls[[#This Row],[Duration]]&lt;10,"Under 10 Mins",Calls[[#This Row],[Duration]]&lt;=30,"10 - 30 Mins",Calls[[#This Row],[Duration]]&lt;=60,"30 - 60 Mins",Calls[[#This Row],[Duration]]&lt;=120,"1 - 2 Hours",TRUE,"More than 2  Hours")</f>
        <v>1 - 2 Hours</v>
      </c>
      <c r="L363">
        <f>ROUND(Calls[[#This Row],[Satisfaction Rating]],0)</f>
        <v>4</v>
      </c>
    </row>
    <row r="364" spans="2:12" x14ac:dyDescent="0.3">
      <c r="B364" s="22" t="s">
        <v>386</v>
      </c>
      <c r="C364" s="4" t="s">
        <v>22</v>
      </c>
      <c r="D364" s="4">
        <v>85</v>
      </c>
      <c r="E364" s="5" t="s">
        <v>10</v>
      </c>
      <c r="F364" s="9">
        <v>45031</v>
      </c>
      <c r="G364" s="4">
        <v>129</v>
      </c>
      <c r="H364" s="23">
        <v>4.2</v>
      </c>
      <c r="I364">
        <f>IF(MONTH(Calls[[#This Row],[Date of Call]])&lt;6,YEAR(Calls[[#This Row],[Date of Call]]),YEAR(Calls[[#This Row],[Date of Call]])+1)</f>
        <v>2023</v>
      </c>
      <c r="J364" t="str">
        <f>TEXT(Calls[[#This Row],[Date of Call]],"DDDD")</f>
        <v>Saturday</v>
      </c>
      <c r="K364" t="str" cm="1">
        <f t="array" ref="K364">_xlfn.IFS(Calls[[#This Row],[Duration]]&lt;10,"Under 10 Mins",Calls[[#This Row],[Duration]]&lt;=30,"10 - 30 Mins",Calls[[#This Row],[Duration]]&lt;=60,"30 - 60 Mins",Calls[[#This Row],[Duration]]&lt;=120,"1 - 2 Hours",TRUE,"More than 2  Hours")</f>
        <v>1 - 2 Hours</v>
      </c>
      <c r="L364">
        <f>ROUND(Calls[[#This Row],[Satisfaction Rating]],0)</f>
        <v>4</v>
      </c>
    </row>
    <row r="365" spans="2:12" x14ac:dyDescent="0.3">
      <c r="B365" s="22" t="s">
        <v>387</v>
      </c>
      <c r="C365" s="4" t="s">
        <v>7</v>
      </c>
      <c r="D365" s="4">
        <v>55</v>
      </c>
      <c r="E365" s="5" t="s">
        <v>11</v>
      </c>
      <c r="F365" s="9">
        <v>45031</v>
      </c>
      <c r="G365" s="4">
        <v>215</v>
      </c>
      <c r="H365" s="23">
        <v>4.3</v>
      </c>
      <c r="I365">
        <f>IF(MONTH(Calls[[#This Row],[Date of Call]])&lt;6,YEAR(Calls[[#This Row],[Date of Call]]),YEAR(Calls[[#This Row],[Date of Call]])+1)</f>
        <v>2023</v>
      </c>
      <c r="J365" t="str">
        <f>TEXT(Calls[[#This Row],[Date of Call]],"DDDD")</f>
        <v>Saturday</v>
      </c>
      <c r="K365" t="str" cm="1">
        <f t="array" ref="K365">_xlfn.IFS(Calls[[#This Row],[Duration]]&lt;10,"Under 10 Mins",Calls[[#This Row],[Duration]]&lt;=30,"10 - 30 Mins",Calls[[#This Row],[Duration]]&lt;=60,"30 - 60 Mins",Calls[[#This Row],[Duration]]&lt;=120,"1 - 2 Hours",TRUE,"More than 2  Hours")</f>
        <v>30 - 60 Mins</v>
      </c>
      <c r="L365">
        <f>ROUND(Calls[[#This Row],[Satisfaction Rating]],0)</f>
        <v>4</v>
      </c>
    </row>
    <row r="366" spans="2:12" x14ac:dyDescent="0.3">
      <c r="B366" s="22" t="s">
        <v>388</v>
      </c>
      <c r="C366" s="4" t="s">
        <v>17</v>
      </c>
      <c r="D366" s="4">
        <v>17</v>
      </c>
      <c r="E366" s="5" t="s">
        <v>6</v>
      </c>
      <c r="F366" s="9">
        <v>45031</v>
      </c>
      <c r="G366" s="4">
        <v>69</v>
      </c>
      <c r="H366" s="23">
        <v>4.5999999999999996</v>
      </c>
      <c r="I366">
        <f>IF(MONTH(Calls[[#This Row],[Date of Call]])&lt;6,YEAR(Calls[[#This Row],[Date of Call]]),YEAR(Calls[[#This Row],[Date of Call]])+1)</f>
        <v>2023</v>
      </c>
      <c r="J366" t="str">
        <f>TEXT(Calls[[#This Row],[Date of Call]],"DDDD")</f>
        <v>Saturday</v>
      </c>
      <c r="K366" t="str" cm="1">
        <f t="array" ref="K366">_xlfn.IFS(Calls[[#This Row],[Duration]]&lt;10,"Under 10 Mins",Calls[[#This Row],[Duration]]&lt;=30,"10 - 30 Mins",Calls[[#This Row],[Duration]]&lt;=60,"30 - 60 Mins",Calls[[#This Row],[Duration]]&lt;=120,"1 - 2 Hours",TRUE,"More than 2  Hours")</f>
        <v>10 - 30 Mins</v>
      </c>
      <c r="L366">
        <f>ROUND(Calls[[#This Row],[Satisfaction Rating]],0)</f>
        <v>5</v>
      </c>
    </row>
    <row r="367" spans="2:12" x14ac:dyDescent="0.3">
      <c r="B367" s="22" t="s">
        <v>389</v>
      </c>
      <c r="C367" s="4" t="s">
        <v>7</v>
      </c>
      <c r="D367" s="4">
        <v>128</v>
      </c>
      <c r="E367" s="5" t="s">
        <v>6</v>
      </c>
      <c r="F367" s="9">
        <v>45031</v>
      </c>
      <c r="G367" s="4">
        <v>140</v>
      </c>
      <c r="H367" s="23">
        <v>3</v>
      </c>
      <c r="I367">
        <f>IF(MONTH(Calls[[#This Row],[Date of Call]])&lt;6,YEAR(Calls[[#This Row],[Date of Call]]),YEAR(Calls[[#This Row],[Date of Call]])+1)</f>
        <v>2023</v>
      </c>
      <c r="J367" t="str">
        <f>TEXT(Calls[[#This Row],[Date of Call]],"DDDD")</f>
        <v>Saturday</v>
      </c>
      <c r="K367" t="str" cm="1">
        <f t="array" ref="K367">_xlfn.IFS(Calls[[#This Row],[Duration]]&lt;10,"Under 10 Mins",Calls[[#This Row],[Duration]]&lt;=30,"10 - 30 Mins",Calls[[#This Row],[Duration]]&lt;=60,"30 - 60 Mins",Calls[[#This Row],[Duration]]&lt;=120,"1 - 2 Hours",TRUE,"More than 2  Hours")</f>
        <v>More than 2  Hours</v>
      </c>
      <c r="L367">
        <f>ROUND(Calls[[#This Row],[Satisfaction Rating]],0)</f>
        <v>3</v>
      </c>
    </row>
    <row r="368" spans="2:12" x14ac:dyDescent="0.3">
      <c r="B368" s="22" t="s">
        <v>390</v>
      </c>
      <c r="C368" s="4" t="s">
        <v>19</v>
      </c>
      <c r="D368" s="4">
        <v>45</v>
      </c>
      <c r="E368" s="5" t="s">
        <v>11</v>
      </c>
      <c r="F368" s="9">
        <v>45032</v>
      </c>
      <c r="G368" s="4">
        <v>156</v>
      </c>
      <c r="H368" s="23">
        <v>2.7</v>
      </c>
      <c r="I368">
        <f>IF(MONTH(Calls[[#This Row],[Date of Call]])&lt;6,YEAR(Calls[[#This Row],[Date of Call]]),YEAR(Calls[[#This Row],[Date of Call]])+1)</f>
        <v>2023</v>
      </c>
      <c r="J368" t="str">
        <f>TEXT(Calls[[#This Row],[Date of Call]],"DDDD")</f>
        <v>Sunday</v>
      </c>
      <c r="K368" t="str" cm="1">
        <f t="array" ref="K368">_xlfn.IFS(Calls[[#This Row],[Duration]]&lt;10,"Under 10 Mins",Calls[[#This Row],[Duration]]&lt;=30,"10 - 30 Mins",Calls[[#This Row],[Duration]]&lt;=60,"30 - 60 Mins",Calls[[#This Row],[Duration]]&lt;=120,"1 - 2 Hours",TRUE,"More than 2  Hours")</f>
        <v>30 - 60 Mins</v>
      </c>
      <c r="L368">
        <f>ROUND(Calls[[#This Row],[Satisfaction Rating]],0)</f>
        <v>3</v>
      </c>
    </row>
    <row r="369" spans="2:12" x14ac:dyDescent="0.3">
      <c r="B369" s="22" t="s">
        <v>391</v>
      </c>
      <c r="C369" s="4" t="s">
        <v>17</v>
      </c>
      <c r="D369" s="4">
        <v>41</v>
      </c>
      <c r="E369" s="5" t="s">
        <v>6</v>
      </c>
      <c r="F369" s="9">
        <v>45032</v>
      </c>
      <c r="G369" s="4">
        <v>164</v>
      </c>
      <c r="H369" s="23">
        <v>3.1</v>
      </c>
      <c r="I369">
        <f>IF(MONTH(Calls[[#This Row],[Date of Call]])&lt;6,YEAR(Calls[[#This Row],[Date of Call]]),YEAR(Calls[[#This Row],[Date of Call]])+1)</f>
        <v>2023</v>
      </c>
      <c r="J369" t="str">
        <f>TEXT(Calls[[#This Row],[Date of Call]],"DDDD")</f>
        <v>Sunday</v>
      </c>
      <c r="K369" t="str" cm="1">
        <f t="array" ref="K369">_xlfn.IFS(Calls[[#This Row],[Duration]]&lt;10,"Under 10 Mins",Calls[[#This Row],[Duration]]&lt;=30,"10 - 30 Mins",Calls[[#This Row],[Duration]]&lt;=60,"30 - 60 Mins",Calls[[#This Row],[Duration]]&lt;=120,"1 - 2 Hours",TRUE,"More than 2  Hours")</f>
        <v>30 - 60 Mins</v>
      </c>
      <c r="L369">
        <f>ROUND(Calls[[#This Row],[Satisfaction Rating]],0)</f>
        <v>3</v>
      </c>
    </row>
    <row r="370" spans="2:12" x14ac:dyDescent="0.3">
      <c r="B370" s="22" t="s">
        <v>392</v>
      </c>
      <c r="C370" s="4" t="s">
        <v>24</v>
      </c>
      <c r="D370" s="4">
        <v>49</v>
      </c>
      <c r="E370" s="5" t="s">
        <v>6</v>
      </c>
      <c r="F370" s="9">
        <v>45032</v>
      </c>
      <c r="G370" s="4">
        <v>195</v>
      </c>
      <c r="H370" s="23">
        <v>2.6</v>
      </c>
      <c r="I370">
        <f>IF(MONTH(Calls[[#This Row],[Date of Call]])&lt;6,YEAR(Calls[[#This Row],[Date of Call]]),YEAR(Calls[[#This Row],[Date of Call]])+1)</f>
        <v>2023</v>
      </c>
      <c r="J370" t="str">
        <f>TEXT(Calls[[#This Row],[Date of Call]],"DDDD")</f>
        <v>Sunday</v>
      </c>
      <c r="K370" t="str" cm="1">
        <f t="array" ref="K370">_xlfn.IFS(Calls[[#This Row],[Duration]]&lt;10,"Under 10 Mins",Calls[[#This Row],[Duration]]&lt;=30,"10 - 30 Mins",Calls[[#This Row],[Duration]]&lt;=60,"30 - 60 Mins",Calls[[#This Row],[Duration]]&lt;=120,"1 - 2 Hours",TRUE,"More than 2  Hours")</f>
        <v>30 - 60 Mins</v>
      </c>
      <c r="L370">
        <f>ROUND(Calls[[#This Row],[Satisfaction Rating]],0)</f>
        <v>3</v>
      </c>
    </row>
    <row r="371" spans="2:12" x14ac:dyDescent="0.3">
      <c r="B371" s="22" t="s">
        <v>393</v>
      </c>
      <c r="C371" s="4" t="s">
        <v>12</v>
      </c>
      <c r="D371" s="4">
        <v>21</v>
      </c>
      <c r="E371" s="5" t="s">
        <v>13</v>
      </c>
      <c r="F371" s="9">
        <v>45032</v>
      </c>
      <c r="G371" s="4">
        <v>74</v>
      </c>
      <c r="H371" s="23">
        <v>4.5999999999999996</v>
      </c>
      <c r="I371">
        <f>IF(MONTH(Calls[[#This Row],[Date of Call]])&lt;6,YEAR(Calls[[#This Row],[Date of Call]]),YEAR(Calls[[#This Row],[Date of Call]])+1)</f>
        <v>2023</v>
      </c>
      <c r="J371" t="str">
        <f>TEXT(Calls[[#This Row],[Date of Call]],"DDDD")</f>
        <v>Sunday</v>
      </c>
      <c r="K371" t="str" cm="1">
        <f t="array" ref="K371">_xlfn.IFS(Calls[[#This Row],[Duration]]&lt;10,"Under 10 Mins",Calls[[#This Row],[Duration]]&lt;=30,"10 - 30 Mins",Calls[[#This Row],[Duration]]&lt;=60,"30 - 60 Mins",Calls[[#This Row],[Duration]]&lt;=120,"1 - 2 Hours",TRUE,"More than 2  Hours")</f>
        <v>10 - 30 Mins</v>
      </c>
      <c r="L371">
        <f>ROUND(Calls[[#This Row],[Satisfaction Rating]],0)</f>
        <v>5</v>
      </c>
    </row>
    <row r="372" spans="2:12" x14ac:dyDescent="0.3">
      <c r="B372" s="22" t="s">
        <v>394</v>
      </c>
      <c r="C372" s="4" t="s">
        <v>16</v>
      </c>
      <c r="D372" s="4">
        <v>133</v>
      </c>
      <c r="E372" s="5" t="s">
        <v>11</v>
      </c>
      <c r="F372" s="9">
        <v>45032</v>
      </c>
      <c r="G372" s="4">
        <v>100</v>
      </c>
      <c r="H372" s="23">
        <v>4</v>
      </c>
      <c r="I372">
        <f>IF(MONTH(Calls[[#This Row],[Date of Call]])&lt;6,YEAR(Calls[[#This Row],[Date of Call]]),YEAR(Calls[[#This Row],[Date of Call]])+1)</f>
        <v>2023</v>
      </c>
      <c r="J372" t="str">
        <f>TEXT(Calls[[#This Row],[Date of Call]],"DDDD")</f>
        <v>Sunday</v>
      </c>
      <c r="K372" t="str" cm="1">
        <f t="array" ref="K372">_xlfn.IFS(Calls[[#This Row],[Duration]]&lt;10,"Under 10 Mins",Calls[[#This Row],[Duration]]&lt;=30,"10 - 30 Mins",Calls[[#This Row],[Duration]]&lt;=60,"30 - 60 Mins",Calls[[#This Row],[Duration]]&lt;=120,"1 - 2 Hours",TRUE,"More than 2  Hours")</f>
        <v>More than 2  Hours</v>
      </c>
      <c r="L372">
        <f>ROUND(Calls[[#This Row],[Satisfaction Rating]],0)</f>
        <v>4</v>
      </c>
    </row>
    <row r="373" spans="2:12" x14ac:dyDescent="0.3">
      <c r="B373" s="22" t="s">
        <v>395</v>
      </c>
      <c r="C373" s="4" t="s">
        <v>20</v>
      </c>
      <c r="D373" s="4">
        <v>135</v>
      </c>
      <c r="E373" s="5" t="s">
        <v>9</v>
      </c>
      <c r="F373" s="9">
        <v>45032</v>
      </c>
      <c r="G373" s="4">
        <v>185</v>
      </c>
      <c r="H373" s="23">
        <v>4.5</v>
      </c>
      <c r="I373">
        <f>IF(MONTH(Calls[[#This Row],[Date of Call]])&lt;6,YEAR(Calls[[#This Row],[Date of Call]]),YEAR(Calls[[#This Row],[Date of Call]])+1)</f>
        <v>2023</v>
      </c>
      <c r="J373" t="str">
        <f>TEXT(Calls[[#This Row],[Date of Call]],"DDDD")</f>
        <v>Sunday</v>
      </c>
      <c r="K373" t="str" cm="1">
        <f t="array" ref="K373">_xlfn.IFS(Calls[[#This Row],[Duration]]&lt;10,"Under 10 Mins",Calls[[#This Row],[Duration]]&lt;=30,"10 - 30 Mins",Calls[[#This Row],[Duration]]&lt;=60,"30 - 60 Mins",Calls[[#This Row],[Duration]]&lt;=120,"1 - 2 Hours",TRUE,"More than 2  Hours")</f>
        <v>More than 2  Hours</v>
      </c>
      <c r="L373">
        <f>ROUND(Calls[[#This Row],[Satisfaction Rating]],0)</f>
        <v>5</v>
      </c>
    </row>
    <row r="374" spans="2:12" x14ac:dyDescent="0.3">
      <c r="B374" s="22" t="s">
        <v>396</v>
      </c>
      <c r="C374" s="4" t="s">
        <v>14</v>
      </c>
      <c r="D374" s="4">
        <v>69</v>
      </c>
      <c r="E374" s="5" t="s">
        <v>11</v>
      </c>
      <c r="F374" s="9">
        <v>45032</v>
      </c>
      <c r="G374" s="4">
        <v>130</v>
      </c>
      <c r="H374" s="23">
        <v>1.9</v>
      </c>
      <c r="I374">
        <f>IF(MONTH(Calls[[#This Row],[Date of Call]])&lt;6,YEAR(Calls[[#This Row],[Date of Call]]),YEAR(Calls[[#This Row],[Date of Call]])+1)</f>
        <v>2023</v>
      </c>
      <c r="J374" t="str">
        <f>TEXT(Calls[[#This Row],[Date of Call]],"DDDD")</f>
        <v>Sunday</v>
      </c>
      <c r="K374" t="str" cm="1">
        <f t="array" ref="K374">_xlfn.IFS(Calls[[#This Row],[Duration]]&lt;10,"Under 10 Mins",Calls[[#This Row],[Duration]]&lt;=30,"10 - 30 Mins",Calls[[#This Row],[Duration]]&lt;=60,"30 - 60 Mins",Calls[[#This Row],[Duration]]&lt;=120,"1 - 2 Hours",TRUE,"More than 2  Hours")</f>
        <v>1 - 2 Hours</v>
      </c>
      <c r="L374">
        <f>ROUND(Calls[[#This Row],[Satisfaction Rating]],0)</f>
        <v>2</v>
      </c>
    </row>
    <row r="375" spans="2:12" x14ac:dyDescent="0.3">
      <c r="B375" s="22" t="s">
        <v>397</v>
      </c>
      <c r="C375" s="4" t="s">
        <v>18</v>
      </c>
      <c r="D375" s="4">
        <v>110</v>
      </c>
      <c r="E375" s="5" t="s">
        <v>13</v>
      </c>
      <c r="F375" s="9">
        <v>45033</v>
      </c>
      <c r="G375" s="4">
        <v>21</v>
      </c>
      <c r="H375" s="23">
        <v>2.6</v>
      </c>
      <c r="I375">
        <f>IF(MONTH(Calls[[#This Row],[Date of Call]])&lt;6,YEAR(Calls[[#This Row],[Date of Call]]),YEAR(Calls[[#This Row],[Date of Call]])+1)</f>
        <v>2023</v>
      </c>
      <c r="J375" t="str">
        <f>TEXT(Calls[[#This Row],[Date of Call]],"DDDD")</f>
        <v>Monday</v>
      </c>
      <c r="K375" t="str" cm="1">
        <f t="array" ref="K375">_xlfn.IFS(Calls[[#This Row],[Duration]]&lt;10,"Under 10 Mins",Calls[[#This Row],[Duration]]&lt;=30,"10 - 30 Mins",Calls[[#This Row],[Duration]]&lt;=60,"30 - 60 Mins",Calls[[#This Row],[Duration]]&lt;=120,"1 - 2 Hours",TRUE,"More than 2  Hours")</f>
        <v>1 - 2 Hours</v>
      </c>
      <c r="L375">
        <f>ROUND(Calls[[#This Row],[Satisfaction Rating]],0)</f>
        <v>3</v>
      </c>
    </row>
    <row r="376" spans="2:12" x14ac:dyDescent="0.3">
      <c r="B376" s="22" t="s">
        <v>398</v>
      </c>
      <c r="C376" s="4" t="s">
        <v>5</v>
      </c>
      <c r="D376" s="4">
        <v>64</v>
      </c>
      <c r="E376" s="5" t="s">
        <v>10</v>
      </c>
      <c r="F376" s="9">
        <v>45033</v>
      </c>
      <c r="G376" s="4">
        <v>88</v>
      </c>
      <c r="H376" s="23">
        <v>4.3</v>
      </c>
      <c r="I376">
        <f>IF(MONTH(Calls[[#This Row],[Date of Call]])&lt;6,YEAR(Calls[[#This Row],[Date of Call]]),YEAR(Calls[[#This Row],[Date of Call]])+1)</f>
        <v>2023</v>
      </c>
      <c r="J376" t="str">
        <f>TEXT(Calls[[#This Row],[Date of Call]],"DDDD")</f>
        <v>Monday</v>
      </c>
      <c r="K376" t="str" cm="1">
        <f t="array" ref="K376">_xlfn.IFS(Calls[[#This Row],[Duration]]&lt;10,"Under 10 Mins",Calls[[#This Row],[Duration]]&lt;=30,"10 - 30 Mins",Calls[[#This Row],[Duration]]&lt;=60,"30 - 60 Mins",Calls[[#This Row],[Duration]]&lt;=120,"1 - 2 Hours",TRUE,"More than 2  Hours")</f>
        <v>1 - 2 Hours</v>
      </c>
      <c r="L376">
        <f>ROUND(Calls[[#This Row],[Satisfaction Rating]],0)</f>
        <v>4</v>
      </c>
    </row>
    <row r="377" spans="2:12" x14ac:dyDescent="0.3">
      <c r="B377" s="22" t="s">
        <v>399</v>
      </c>
      <c r="C377" s="4" t="s">
        <v>23</v>
      </c>
      <c r="D377" s="4">
        <v>105</v>
      </c>
      <c r="E377" s="5" t="s">
        <v>6</v>
      </c>
      <c r="F377" s="9">
        <v>45033</v>
      </c>
      <c r="G377" s="4">
        <v>35</v>
      </c>
      <c r="H377" s="23">
        <v>4.4000000000000004</v>
      </c>
      <c r="I377">
        <f>IF(MONTH(Calls[[#This Row],[Date of Call]])&lt;6,YEAR(Calls[[#This Row],[Date of Call]]),YEAR(Calls[[#This Row],[Date of Call]])+1)</f>
        <v>2023</v>
      </c>
      <c r="J377" t="str">
        <f>TEXT(Calls[[#This Row],[Date of Call]],"DDDD")</f>
        <v>Monday</v>
      </c>
      <c r="K377" t="str" cm="1">
        <f t="array" ref="K377">_xlfn.IFS(Calls[[#This Row],[Duration]]&lt;10,"Under 10 Mins",Calls[[#This Row],[Duration]]&lt;=30,"10 - 30 Mins",Calls[[#This Row],[Duration]]&lt;=60,"30 - 60 Mins",Calls[[#This Row],[Duration]]&lt;=120,"1 - 2 Hours",TRUE,"More than 2  Hours")</f>
        <v>1 - 2 Hours</v>
      </c>
      <c r="L377">
        <f>ROUND(Calls[[#This Row],[Satisfaction Rating]],0)</f>
        <v>4</v>
      </c>
    </row>
    <row r="378" spans="2:12" x14ac:dyDescent="0.3">
      <c r="B378" s="22" t="s">
        <v>400</v>
      </c>
      <c r="C378" s="4" t="s">
        <v>5</v>
      </c>
      <c r="D378" s="4">
        <v>165</v>
      </c>
      <c r="E378" s="5" t="s">
        <v>9</v>
      </c>
      <c r="F378" s="9">
        <v>45033</v>
      </c>
      <c r="G378" s="4">
        <v>68</v>
      </c>
      <c r="H378" s="23">
        <v>4.3</v>
      </c>
      <c r="I378">
        <f>IF(MONTH(Calls[[#This Row],[Date of Call]])&lt;6,YEAR(Calls[[#This Row],[Date of Call]]),YEAR(Calls[[#This Row],[Date of Call]])+1)</f>
        <v>2023</v>
      </c>
      <c r="J378" t="str">
        <f>TEXT(Calls[[#This Row],[Date of Call]],"DDDD")</f>
        <v>Monday</v>
      </c>
      <c r="K378" t="str" cm="1">
        <f t="array" ref="K378">_xlfn.IFS(Calls[[#This Row],[Duration]]&lt;10,"Under 10 Mins",Calls[[#This Row],[Duration]]&lt;=30,"10 - 30 Mins",Calls[[#This Row],[Duration]]&lt;=60,"30 - 60 Mins",Calls[[#This Row],[Duration]]&lt;=120,"1 - 2 Hours",TRUE,"More than 2  Hours")</f>
        <v>More than 2  Hours</v>
      </c>
      <c r="L378">
        <f>ROUND(Calls[[#This Row],[Satisfaction Rating]],0)</f>
        <v>4</v>
      </c>
    </row>
    <row r="379" spans="2:12" x14ac:dyDescent="0.3">
      <c r="B379" s="22" t="s">
        <v>401</v>
      </c>
      <c r="C379" s="4" t="s">
        <v>19</v>
      </c>
      <c r="D379" s="4">
        <v>125</v>
      </c>
      <c r="E379" s="5" t="s">
        <v>9</v>
      </c>
      <c r="F379" s="9">
        <v>45033</v>
      </c>
      <c r="G379" s="4">
        <v>148</v>
      </c>
      <c r="H379" s="23">
        <v>4.5</v>
      </c>
      <c r="I379">
        <f>IF(MONTH(Calls[[#This Row],[Date of Call]])&lt;6,YEAR(Calls[[#This Row],[Date of Call]]),YEAR(Calls[[#This Row],[Date of Call]])+1)</f>
        <v>2023</v>
      </c>
      <c r="J379" t="str">
        <f>TEXT(Calls[[#This Row],[Date of Call]],"DDDD")</f>
        <v>Monday</v>
      </c>
      <c r="K379" t="str" cm="1">
        <f t="array" ref="K379">_xlfn.IFS(Calls[[#This Row],[Duration]]&lt;10,"Under 10 Mins",Calls[[#This Row],[Duration]]&lt;=30,"10 - 30 Mins",Calls[[#This Row],[Duration]]&lt;=60,"30 - 60 Mins",Calls[[#This Row],[Duration]]&lt;=120,"1 - 2 Hours",TRUE,"More than 2  Hours")</f>
        <v>More than 2  Hours</v>
      </c>
      <c r="L379">
        <f>ROUND(Calls[[#This Row],[Satisfaction Rating]],0)</f>
        <v>5</v>
      </c>
    </row>
    <row r="380" spans="2:12" x14ac:dyDescent="0.3">
      <c r="B380" s="22" t="s">
        <v>402</v>
      </c>
      <c r="C380" s="4" t="s">
        <v>23</v>
      </c>
      <c r="D380" s="4">
        <v>88</v>
      </c>
      <c r="E380" s="5" t="s">
        <v>10</v>
      </c>
      <c r="F380" s="9">
        <v>45034</v>
      </c>
      <c r="G380" s="4">
        <v>81</v>
      </c>
      <c r="H380" s="23">
        <v>4.2</v>
      </c>
      <c r="I380">
        <f>IF(MONTH(Calls[[#This Row],[Date of Call]])&lt;6,YEAR(Calls[[#This Row],[Date of Call]]),YEAR(Calls[[#This Row],[Date of Call]])+1)</f>
        <v>2023</v>
      </c>
      <c r="J380" t="str">
        <f>TEXT(Calls[[#This Row],[Date of Call]],"DDDD")</f>
        <v>Tuesday</v>
      </c>
      <c r="K380" t="str" cm="1">
        <f t="array" ref="K380">_xlfn.IFS(Calls[[#This Row],[Duration]]&lt;10,"Under 10 Mins",Calls[[#This Row],[Duration]]&lt;=30,"10 - 30 Mins",Calls[[#This Row],[Duration]]&lt;=60,"30 - 60 Mins",Calls[[#This Row],[Duration]]&lt;=120,"1 - 2 Hours",TRUE,"More than 2  Hours")</f>
        <v>1 - 2 Hours</v>
      </c>
      <c r="L380">
        <f>ROUND(Calls[[#This Row],[Satisfaction Rating]],0)</f>
        <v>4</v>
      </c>
    </row>
    <row r="381" spans="2:12" x14ac:dyDescent="0.3">
      <c r="B381" s="22" t="s">
        <v>403</v>
      </c>
      <c r="C381" s="4" t="s">
        <v>14</v>
      </c>
      <c r="D381" s="4">
        <v>6</v>
      </c>
      <c r="E381" s="5" t="s">
        <v>10</v>
      </c>
      <c r="F381" s="9">
        <v>45034</v>
      </c>
      <c r="G381" s="4">
        <v>75</v>
      </c>
      <c r="H381" s="23">
        <v>3.9</v>
      </c>
      <c r="I381">
        <f>IF(MONTH(Calls[[#This Row],[Date of Call]])&lt;6,YEAR(Calls[[#This Row],[Date of Call]]),YEAR(Calls[[#This Row],[Date of Call]])+1)</f>
        <v>2023</v>
      </c>
      <c r="J381" t="str">
        <f>TEXT(Calls[[#This Row],[Date of Call]],"DDDD")</f>
        <v>Tuesday</v>
      </c>
      <c r="K381" t="str" cm="1">
        <f t="array" ref="K381">_xlfn.IFS(Calls[[#This Row],[Duration]]&lt;10,"Under 10 Mins",Calls[[#This Row],[Duration]]&lt;=30,"10 - 30 Mins",Calls[[#This Row],[Duration]]&lt;=60,"30 - 60 Mins",Calls[[#This Row],[Duration]]&lt;=120,"1 - 2 Hours",TRUE,"More than 2  Hours")</f>
        <v>Under 10 Mins</v>
      </c>
      <c r="L381">
        <f>ROUND(Calls[[#This Row],[Satisfaction Rating]],0)</f>
        <v>4</v>
      </c>
    </row>
    <row r="382" spans="2:12" x14ac:dyDescent="0.3">
      <c r="B382" s="22" t="s">
        <v>404</v>
      </c>
      <c r="C382" s="4" t="s">
        <v>22</v>
      </c>
      <c r="D382" s="4">
        <v>69</v>
      </c>
      <c r="E382" s="5" t="s">
        <v>11</v>
      </c>
      <c r="F382" s="9">
        <v>45035</v>
      </c>
      <c r="G382" s="4">
        <v>32</v>
      </c>
      <c r="H382" s="23">
        <v>3.6</v>
      </c>
      <c r="I382">
        <f>IF(MONTH(Calls[[#This Row],[Date of Call]])&lt;6,YEAR(Calls[[#This Row],[Date of Call]]),YEAR(Calls[[#This Row],[Date of Call]])+1)</f>
        <v>2023</v>
      </c>
      <c r="J382" t="str">
        <f>TEXT(Calls[[#This Row],[Date of Call]],"DDDD")</f>
        <v>Wednesday</v>
      </c>
      <c r="K382" t="str" cm="1">
        <f t="array" ref="K382">_xlfn.IFS(Calls[[#This Row],[Duration]]&lt;10,"Under 10 Mins",Calls[[#This Row],[Duration]]&lt;=30,"10 - 30 Mins",Calls[[#This Row],[Duration]]&lt;=60,"30 - 60 Mins",Calls[[#This Row],[Duration]]&lt;=120,"1 - 2 Hours",TRUE,"More than 2  Hours")</f>
        <v>1 - 2 Hours</v>
      </c>
      <c r="L382">
        <f>ROUND(Calls[[#This Row],[Satisfaction Rating]],0)</f>
        <v>4</v>
      </c>
    </row>
    <row r="383" spans="2:12" x14ac:dyDescent="0.3">
      <c r="B383" s="22" t="s">
        <v>405</v>
      </c>
      <c r="C383" s="4" t="s">
        <v>17</v>
      </c>
      <c r="D383" s="4">
        <v>107</v>
      </c>
      <c r="E383" s="5" t="s">
        <v>11</v>
      </c>
      <c r="F383" s="9">
        <v>45035</v>
      </c>
      <c r="G383" s="4">
        <v>156</v>
      </c>
      <c r="H383" s="23">
        <v>3.8</v>
      </c>
      <c r="I383">
        <f>IF(MONTH(Calls[[#This Row],[Date of Call]])&lt;6,YEAR(Calls[[#This Row],[Date of Call]]),YEAR(Calls[[#This Row],[Date of Call]])+1)</f>
        <v>2023</v>
      </c>
      <c r="J383" t="str">
        <f>TEXT(Calls[[#This Row],[Date of Call]],"DDDD")</f>
        <v>Wednesday</v>
      </c>
      <c r="K383" t="str" cm="1">
        <f t="array" ref="K383">_xlfn.IFS(Calls[[#This Row],[Duration]]&lt;10,"Under 10 Mins",Calls[[#This Row],[Duration]]&lt;=30,"10 - 30 Mins",Calls[[#This Row],[Duration]]&lt;=60,"30 - 60 Mins",Calls[[#This Row],[Duration]]&lt;=120,"1 - 2 Hours",TRUE,"More than 2  Hours")</f>
        <v>1 - 2 Hours</v>
      </c>
      <c r="L383">
        <f>ROUND(Calls[[#This Row],[Satisfaction Rating]],0)</f>
        <v>4</v>
      </c>
    </row>
    <row r="384" spans="2:12" x14ac:dyDescent="0.3">
      <c r="B384" s="22" t="s">
        <v>406</v>
      </c>
      <c r="C384" s="4" t="s">
        <v>12</v>
      </c>
      <c r="D384" s="4">
        <v>90</v>
      </c>
      <c r="E384" s="5" t="s">
        <v>9</v>
      </c>
      <c r="F384" s="9">
        <v>45035</v>
      </c>
      <c r="G384" s="4">
        <v>99</v>
      </c>
      <c r="H384" s="23">
        <v>4.9000000000000004</v>
      </c>
      <c r="I384">
        <f>IF(MONTH(Calls[[#This Row],[Date of Call]])&lt;6,YEAR(Calls[[#This Row],[Date of Call]]),YEAR(Calls[[#This Row],[Date of Call]])+1)</f>
        <v>2023</v>
      </c>
      <c r="J384" t="str">
        <f>TEXT(Calls[[#This Row],[Date of Call]],"DDDD")</f>
        <v>Wednesday</v>
      </c>
      <c r="K384" t="str" cm="1">
        <f t="array" ref="K384">_xlfn.IFS(Calls[[#This Row],[Duration]]&lt;10,"Under 10 Mins",Calls[[#This Row],[Duration]]&lt;=30,"10 - 30 Mins",Calls[[#This Row],[Duration]]&lt;=60,"30 - 60 Mins",Calls[[#This Row],[Duration]]&lt;=120,"1 - 2 Hours",TRUE,"More than 2  Hours")</f>
        <v>1 - 2 Hours</v>
      </c>
      <c r="L384">
        <f>ROUND(Calls[[#This Row],[Satisfaction Rating]],0)</f>
        <v>5</v>
      </c>
    </row>
    <row r="385" spans="2:12" x14ac:dyDescent="0.3">
      <c r="B385" s="22" t="s">
        <v>407</v>
      </c>
      <c r="C385" s="4" t="s">
        <v>20</v>
      </c>
      <c r="D385" s="4">
        <v>120</v>
      </c>
      <c r="E385" s="5" t="s">
        <v>6</v>
      </c>
      <c r="F385" s="9">
        <v>45035</v>
      </c>
      <c r="G385" s="4">
        <v>26</v>
      </c>
      <c r="H385" s="23">
        <v>4</v>
      </c>
      <c r="I385">
        <f>IF(MONTH(Calls[[#This Row],[Date of Call]])&lt;6,YEAR(Calls[[#This Row],[Date of Call]]),YEAR(Calls[[#This Row],[Date of Call]])+1)</f>
        <v>2023</v>
      </c>
      <c r="J385" t="str">
        <f>TEXT(Calls[[#This Row],[Date of Call]],"DDDD")</f>
        <v>Wednesday</v>
      </c>
      <c r="K385" t="str" cm="1">
        <f t="array" ref="K385">_xlfn.IFS(Calls[[#This Row],[Duration]]&lt;10,"Under 10 Mins",Calls[[#This Row],[Duration]]&lt;=30,"10 - 30 Mins",Calls[[#This Row],[Duration]]&lt;=60,"30 - 60 Mins",Calls[[#This Row],[Duration]]&lt;=120,"1 - 2 Hours",TRUE,"More than 2  Hours")</f>
        <v>1 - 2 Hours</v>
      </c>
      <c r="L385">
        <f>ROUND(Calls[[#This Row],[Satisfaction Rating]],0)</f>
        <v>4</v>
      </c>
    </row>
    <row r="386" spans="2:12" x14ac:dyDescent="0.3">
      <c r="B386" s="22" t="s">
        <v>408</v>
      </c>
      <c r="C386" s="4" t="s">
        <v>8</v>
      </c>
      <c r="D386" s="4">
        <v>47</v>
      </c>
      <c r="E386" s="5" t="s">
        <v>11</v>
      </c>
      <c r="F386" s="9">
        <v>45035</v>
      </c>
      <c r="G386" s="4">
        <v>84</v>
      </c>
      <c r="H386" s="23">
        <v>4.0999999999999996</v>
      </c>
      <c r="I386">
        <f>IF(MONTH(Calls[[#This Row],[Date of Call]])&lt;6,YEAR(Calls[[#This Row],[Date of Call]]),YEAR(Calls[[#This Row],[Date of Call]])+1)</f>
        <v>2023</v>
      </c>
      <c r="J386" t="str">
        <f>TEXT(Calls[[#This Row],[Date of Call]],"DDDD")</f>
        <v>Wednesday</v>
      </c>
      <c r="K386" t="str" cm="1">
        <f t="array" ref="K386">_xlfn.IFS(Calls[[#This Row],[Duration]]&lt;10,"Under 10 Mins",Calls[[#This Row],[Duration]]&lt;=30,"10 - 30 Mins",Calls[[#This Row],[Duration]]&lt;=60,"30 - 60 Mins",Calls[[#This Row],[Duration]]&lt;=120,"1 - 2 Hours",TRUE,"More than 2  Hours")</f>
        <v>30 - 60 Mins</v>
      </c>
      <c r="L386">
        <f>ROUND(Calls[[#This Row],[Satisfaction Rating]],0)</f>
        <v>4</v>
      </c>
    </row>
    <row r="387" spans="2:12" x14ac:dyDescent="0.3">
      <c r="B387" s="22" t="s">
        <v>409</v>
      </c>
      <c r="C387" s="4" t="s">
        <v>21</v>
      </c>
      <c r="D387" s="4">
        <v>60</v>
      </c>
      <c r="E387" s="5" t="s">
        <v>6</v>
      </c>
      <c r="F387" s="9">
        <v>45035</v>
      </c>
      <c r="G387" s="4">
        <v>84</v>
      </c>
      <c r="H387" s="23">
        <v>4.8</v>
      </c>
      <c r="I387">
        <f>IF(MONTH(Calls[[#This Row],[Date of Call]])&lt;6,YEAR(Calls[[#This Row],[Date of Call]]),YEAR(Calls[[#This Row],[Date of Call]])+1)</f>
        <v>2023</v>
      </c>
      <c r="J387" t="str">
        <f>TEXT(Calls[[#This Row],[Date of Call]],"DDDD")</f>
        <v>Wednesday</v>
      </c>
      <c r="K387" t="str" cm="1">
        <f t="array" ref="K387">_xlfn.IFS(Calls[[#This Row],[Duration]]&lt;10,"Under 10 Mins",Calls[[#This Row],[Duration]]&lt;=30,"10 - 30 Mins",Calls[[#This Row],[Duration]]&lt;=60,"30 - 60 Mins",Calls[[#This Row],[Duration]]&lt;=120,"1 - 2 Hours",TRUE,"More than 2  Hours")</f>
        <v>30 - 60 Mins</v>
      </c>
      <c r="L387">
        <f>ROUND(Calls[[#This Row],[Satisfaction Rating]],0)</f>
        <v>5</v>
      </c>
    </row>
    <row r="388" spans="2:12" x14ac:dyDescent="0.3">
      <c r="B388" s="22" t="s">
        <v>410</v>
      </c>
      <c r="C388" s="4" t="s">
        <v>7</v>
      </c>
      <c r="D388" s="4">
        <v>64</v>
      </c>
      <c r="E388" s="5" t="s">
        <v>9</v>
      </c>
      <c r="F388" s="9">
        <v>45035</v>
      </c>
      <c r="G388" s="4">
        <v>170</v>
      </c>
      <c r="H388" s="23">
        <v>2.2999999999999998</v>
      </c>
      <c r="I388">
        <f>IF(MONTH(Calls[[#This Row],[Date of Call]])&lt;6,YEAR(Calls[[#This Row],[Date of Call]]),YEAR(Calls[[#This Row],[Date of Call]])+1)</f>
        <v>2023</v>
      </c>
      <c r="J388" t="str">
        <f>TEXT(Calls[[#This Row],[Date of Call]],"DDDD")</f>
        <v>Wednesday</v>
      </c>
      <c r="K388" t="str" cm="1">
        <f t="array" ref="K388">_xlfn.IFS(Calls[[#This Row],[Duration]]&lt;10,"Under 10 Mins",Calls[[#This Row],[Duration]]&lt;=30,"10 - 30 Mins",Calls[[#This Row],[Duration]]&lt;=60,"30 - 60 Mins",Calls[[#This Row],[Duration]]&lt;=120,"1 - 2 Hours",TRUE,"More than 2  Hours")</f>
        <v>1 - 2 Hours</v>
      </c>
      <c r="L388">
        <f>ROUND(Calls[[#This Row],[Satisfaction Rating]],0)</f>
        <v>2</v>
      </c>
    </row>
    <row r="389" spans="2:12" x14ac:dyDescent="0.3">
      <c r="B389" s="22" t="s">
        <v>411</v>
      </c>
      <c r="C389" s="4" t="s">
        <v>5</v>
      </c>
      <c r="D389" s="4">
        <v>62</v>
      </c>
      <c r="E389" s="5" t="s">
        <v>11</v>
      </c>
      <c r="F389" s="9">
        <v>45035</v>
      </c>
      <c r="G389" s="4">
        <v>35</v>
      </c>
      <c r="H389" s="23">
        <v>4.4000000000000004</v>
      </c>
      <c r="I389">
        <f>IF(MONTH(Calls[[#This Row],[Date of Call]])&lt;6,YEAR(Calls[[#This Row],[Date of Call]]),YEAR(Calls[[#This Row],[Date of Call]])+1)</f>
        <v>2023</v>
      </c>
      <c r="J389" t="str">
        <f>TEXT(Calls[[#This Row],[Date of Call]],"DDDD")</f>
        <v>Wednesday</v>
      </c>
      <c r="K389" t="str" cm="1">
        <f t="array" ref="K389">_xlfn.IFS(Calls[[#This Row],[Duration]]&lt;10,"Under 10 Mins",Calls[[#This Row],[Duration]]&lt;=30,"10 - 30 Mins",Calls[[#This Row],[Duration]]&lt;=60,"30 - 60 Mins",Calls[[#This Row],[Duration]]&lt;=120,"1 - 2 Hours",TRUE,"More than 2  Hours")</f>
        <v>1 - 2 Hours</v>
      </c>
      <c r="L389">
        <f>ROUND(Calls[[#This Row],[Satisfaction Rating]],0)</f>
        <v>4</v>
      </c>
    </row>
    <row r="390" spans="2:12" x14ac:dyDescent="0.3">
      <c r="B390" s="22" t="s">
        <v>412</v>
      </c>
      <c r="C390" s="4" t="s">
        <v>18</v>
      </c>
      <c r="D390" s="4">
        <v>88</v>
      </c>
      <c r="E390" s="5" t="s">
        <v>11</v>
      </c>
      <c r="F390" s="9">
        <v>45036</v>
      </c>
      <c r="G390" s="4">
        <v>35</v>
      </c>
      <c r="H390" s="23">
        <v>3.8</v>
      </c>
      <c r="I390">
        <f>IF(MONTH(Calls[[#This Row],[Date of Call]])&lt;6,YEAR(Calls[[#This Row],[Date of Call]]),YEAR(Calls[[#This Row],[Date of Call]])+1)</f>
        <v>2023</v>
      </c>
      <c r="J390" t="str">
        <f>TEXT(Calls[[#This Row],[Date of Call]],"DDDD")</f>
        <v>Thursday</v>
      </c>
      <c r="K390" t="str" cm="1">
        <f t="array" ref="K390">_xlfn.IFS(Calls[[#This Row],[Duration]]&lt;10,"Under 10 Mins",Calls[[#This Row],[Duration]]&lt;=30,"10 - 30 Mins",Calls[[#This Row],[Duration]]&lt;=60,"30 - 60 Mins",Calls[[#This Row],[Duration]]&lt;=120,"1 - 2 Hours",TRUE,"More than 2  Hours")</f>
        <v>1 - 2 Hours</v>
      </c>
      <c r="L390">
        <f>ROUND(Calls[[#This Row],[Satisfaction Rating]],0)</f>
        <v>4</v>
      </c>
    </row>
    <row r="391" spans="2:12" x14ac:dyDescent="0.3">
      <c r="B391" s="22" t="s">
        <v>413</v>
      </c>
      <c r="C391" s="4" t="s">
        <v>19</v>
      </c>
      <c r="D391" s="4">
        <v>116</v>
      </c>
      <c r="E391" s="5" t="s">
        <v>11</v>
      </c>
      <c r="F391" s="9">
        <v>45036</v>
      </c>
      <c r="G391" s="4">
        <v>132</v>
      </c>
      <c r="H391" s="23">
        <v>5</v>
      </c>
      <c r="I391">
        <f>IF(MONTH(Calls[[#This Row],[Date of Call]])&lt;6,YEAR(Calls[[#This Row],[Date of Call]]),YEAR(Calls[[#This Row],[Date of Call]])+1)</f>
        <v>2023</v>
      </c>
      <c r="J391" t="str">
        <f>TEXT(Calls[[#This Row],[Date of Call]],"DDDD")</f>
        <v>Thursday</v>
      </c>
      <c r="K391" t="str" cm="1">
        <f t="array" ref="K391">_xlfn.IFS(Calls[[#This Row],[Duration]]&lt;10,"Under 10 Mins",Calls[[#This Row],[Duration]]&lt;=30,"10 - 30 Mins",Calls[[#This Row],[Duration]]&lt;=60,"30 - 60 Mins",Calls[[#This Row],[Duration]]&lt;=120,"1 - 2 Hours",TRUE,"More than 2  Hours")</f>
        <v>1 - 2 Hours</v>
      </c>
      <c r="L391">
        <f>ROUND(Calls[[#This Row],[Satisfaction Rating]],0)</f>
        <v>5</v>
      </c>
    </row>
    <row r="392" spans="2:12" x14ac:dyDescent="0.3">
      <c r="B392" s="22" t="s">
        <v>414</v>
      </c>
      <c r="C392" s="4" t="s">
        <v>12</v>
      </c>
      <c r="D392" s="4">
        <v>82</v>
      </c>
      <c r="E392" s="5" t="s">
        <v>10</v>
      </c>
      <c r="F392" s="9">
        <v>45037</v>
      </c>
      <c r="G392" s="4">
        <v>144</v>
      </c>
      <c r="H392" s="23">
        <v>3.3</v>
      </c>
      <c r="I392">
        <f>IF(MONTH(Calls[[#This Row],[Date of Call]])&lt;6,YEAR(Calls[[#This Row],[Date of Call]]),YEAR(Calls[[#This Row],[Date of Call]])+1)</f>
        <v>2023</v>
      </c>
      <c r="J392" t="str">
        <f>TEXT(Calls[[#This Row],[Date of Call]],"DDDD")</f>
        <v>Friday</v>
      </c>
      <c r="K392" t="str" cm="1">
        <f t="array" ref="K392">_xlfn.IFS(Calls[[#This Row],[Duration]]&lt;10,"Under 10 Mins",Calls[[#This Row],[Duration]]&lt;=30,"10 - 30 Mins",Calls[[#This Row],[Duration]]&lt;=60,"30 - 60 Mins",Calls[[#This Row],[Duration]]&lt;=120,"1 - 2 Hours",TRUE,"More than 2  Hours")</f>
        <v>1 - 2 Hours</v>
      </c>
      <c r="L392">
        <f>ROUND(Calls[[#This Row],[Satisfaction Rating]],0)</f>
        <v>3</v>
      </c>
    </row>
    <row r="393" spans="2:12" x14ac:dyDescent="0.3">
      <c r="B393" s="22" t="s">
        <v>415</v>
      </c>
      <c r="C393" s="4" t="s">
        <v>5</v>
      </c>
      <c r="D393" s="4">
        <v>99</v>
      </c>
      <c r="E393" s="5" t="s">
        <v>9</v>
      </c>
      <c r="F393" s="9">
        <v>45037</v>
      </c>
      <c r="G393" s="4">
        <v>48</v>
      </c>
      <c r="H393" s="23">
        <v>5</v>
      </c>
      <c r="I393">
        <f>IF(MONTH(Calls[[#This Row],[Date of Call]])&lt;6,YEAR(Calls[[#This Row],[Date of Call]]),YEAR(Calls[[#This Row],[Date of Call]])+1)</f>
        <v>2023</v>
      </c>
      <c r="J393" t="str">
        <f>TEXT(Calls[[#This Row],[Date of Call]],"DDDD")</f>
        <v>Friday</v>
      </c>
      <c r="K393" t="str" cm="1">
        <f t="array" ref="K393">_xlfn.IFS(Calls[[#This Row],[Duration]]&lt;10,"Under 10 Mins",Calls[[#This Row],[Duration]]&lt;=30,"10 - 30 Mins",Calls[[#This Row],[Duration]]&lt;=60,"30 - 60 Mins",Calls[[#This Row],[Duration]]&lt;=120,"1 - 2 Hours",TRUE,"More than 2  Hours")</f>
        <v>1 - 2 Hours</v>
      </c>
      <c r="L393">
        <f>ROUND(Calls[[#This Row],[Satisfaction Rating]],0)</f>
        <v>5</v>
      </c>
    </row>
    <row r="394" spans="2:12" x14ac:dyDescent="0.3">
      <c r="B394" s="22" t="s">
        <v>416</v>
      </c>
      <c r="C394" s="4" t="s">
        <v>5</v>
      </c>
      <c r="D394" s="4">
        <v>55</v>
      </c>
      <c r="E394" s="5" t="s">
        <v>10</v>
      </c>
      <c r="F394" s="9">
        <v>45037</v>
      </c>
      <c r="G394" s="4">
        <v>200</v>
      </c>
      <c r="H394" s="23">
        <v>2.2999999999999998</v>
      </c>
      <c r="I394">
        <f>IF(MONTH(Calls[[#This Row],[Date of Call]])&lt;6,YEAR(Calls[[#This Row],[Date of Call]]),YEAR(Calls[[#This Row],[Date of Call]])+1)</f>
        <v>2023</v>
      </c>
      <c r="J394" t="str">
        <f>TEXT(Calls[[#This Row],[Date of Call]],"DDDD")</f>
        <v>Friday</v>
      </c>
      <c r="K394" t="str" cm="1">
        <f t="array" ref="K394">_xlfn.IFS(Calls[[#This Row],[Duration]]&lt;10,"Under 10 Mins",Calls[[#This Row],[Duration]]&lt;=30,"10 - 30 Mins",Calls[[#This Row],[Duration]]&lt;=60,"30 - 60 Mins",Calls[[#This Row],[Duration]]&lt;=120,"1 - 2 Hours",TRUE,"More than 2  Hours")</f>
        <v>30 - 60 Mins</v>
      </c>
      <c r="L394">
        <f>ROUND(Calls[[#This Row],[Satisfaction Rating]],0)</f>
        <v>2</v>
      </c>
    </row>
    <row r="395" spans="2:12" x14ac:dyDescent="0.3">
      <c r="B395" s="22" t="s">
        <v>417</v>
      </c>
      <c r="C395" s="4" t="s">
        <v>7</v>
      </c>
      <c r="D395" s="4">
        <v>61</v>
      </c>
      <c r="E395" s="5" t="s">
        <v>6</v>
      </c>
      <c r="F395" s="9">
        <v>45037</v>
      </c>
      <c r="G395" s="4">
        <v>38</v>
      </c>
      <c r="H395" s="23">
        <v>4.8</v>
      </c>
      <c r="I395">
        <f>IF(MONTH(Calls[[#This Row],[Date of Call]])&lt;6,YEAR(Calls[[#This Row],[Date of Call]]),YEAR(Calls[[#This Row],[Date of Call]])+1)</f>
        <v>2023</v>
      </c>
      <c r="J395" t="str">
        <f>TEXT(Calls[[#This Row],[Date of Call]],"DDDD")</f>
        <v>Friday</v>
      </c>
      <c r="K395" t="str" cm="1">
        <f t="array" ref="K395">_xlfn.IFS(Calls[[#This Row],[Duration]]&lt;10,"Under 10 Mins",Calls[[#This Row],[Duration]]&lt;=30,"10 - 30 Mins",Calls[[#This Row],[Duration]]&lt;=60,"30 - 60 Mins",Calls[[#This Row],[Duration]]&lt;=120,"1 - 2 Hours",TRUE,"More than 2  Hours")</f>
        <v>1 - 2 Hours</v>
      </c>
      <c r="L395">
        <f>ROUND(Calls[[#This Row],[Satisfaction Rating]],0)</f>
        <v>5</v>
      </c>
    </row>
    <row r="396" spans="2:12" x14ac:dyDescent="0.3">
      <c r="B396" s="22" t="s">
        <v>418</v>
      </c>
      <c r="C396" s="4" t="s">
        <v>19</v>
      </c>
      <c r="D396" s="4">
        <v>36</v>
      </c>
      <c r="E396" s="5" t="s">
        <v>13</v>
      </c>
      <c r="F396" s="9">
        <v>45037</v>
      </c>
      <c r="G396" s="4">
        <v>81</v>
      </c>
      <c r="H396" s="23">
        <v>3.7</v>
      </c>
      <c r="I396">
        <f>IF(MONTH(Calls[[#This Row],[Date of Call]])&lt;6,YEAR(Calls[[#This Row],[Date of Call]]),YEAR(Calls[[#This Row],[Date of Call]])+1)</f>
        <v>2023</v>
      </c>
      <c r="J396" t="str">
        <f>TEXT(Calls[[#This Row],[Date of Call]],"DDDD")</f>
        <v>Friday</v>
      </c>
      <c r="K396" t="str" cm="1">
        <f t="array" ref="K396">_xlfn.IFS(Calls[[#This Row],[Duration]]&lt;10,"Under 10 Mins",Calls[[#This Row],[Duration]]&lt;=30,"10 - 30 Mins",Calls[[#This Row],[Duration]]&lt;=60,"30 - 60 Mins",Calls[[#This Row],[Duration]]&lt;=120,"1 - 2 Hours",TRUE,"More than 2  Hours")</f>
        <v>30 - 60 Mins</v>
      </c>
      <c r="L396">
        <f>ROUND(Calls[[#This Row],[Satisfaction Rating]],0)</f>
        <v>4</v>
      </c>
    </row>
    <row r="397" spans="2:12" x14ac:dyDescent="0.3">
      <c r="B397" s="22" t="s">
        <v>419</v>
      </c>
      <c r="C397" s="4" t="s">
        <v>12</v>
      </c>
      <c r="D397" s="4">
        <v>123</v>
      </c>
      <c r="E397" s="5" t="s">
        <v>11</v>
      </c>
      <c r="F397" s="9">
        <v>45037</v>
      </c>
      <c r="G397" s="4">
        <v>120</v>
      </c>
      <c r="H397" s="23">
        <v>4.2</v>
      </c>
      <c r="I397">
        <f>IF(MONTH(Calls[[#This Row],[Date of Call]])&lt;6,YEAR(Calls[[#This Row],[Date of Call]]),YEAR(Calls[[#This Row],[Date of Call]])+1)</f>
        <v>2023</v>
      </c>
      <c r="J397" t="str">
        <f>TEXT(Calls[[#This Row],[Date of Call]],"DDDD")</f>
        <v>Friday</v>
      </c>
      <c r="K397" t="str" cm="1">
        <f t="array" ref="K397">_xlfn.IFS(Calls[[#This Row],[Duration]]&lt;10,"Under 10 Mins",Calls[[#This Row],[Duration]]&lt;=30,"10 - 30 Mins",Calls[[#This Row],[Duration]]&lt;=60,"30 - 60 Mins",Calls[[#This Row],[Duration]]&lt;=120,"1 - 2 Hours",TRUE,"More than 2  Hours")</f>
        <v>More than 2  Hours</v>
      </c>
      <c r="L397">
        <f>ROUND(Calls[[#This Row],[Satisfaction Rating]],0)</f>
        <v>4</v>
      </c>
    </row>
    <row r="398" spans="2:12" x14ac:dyDescent="0.3">
      <c r="B398" s="22" t="s">
        <v>420</v>
      </c>
      <c r="C398" s="4" t="s">
        <v>24</v>
      </c>
      <c r="D398" s="4">
        <v>24</v>
      </c>
      <c r="E398" s="5" t="s">
        <v>6</v>
      </c>
      <c r="F398" s="9">
        <v>45037</v>
      </c>
      <c r="G398" s="4">
        <v>74</v>
      </c>
      <c r="H398" s="23">
        <v>4.8</v>
      </c>
      <c r="I398">
        <f>IF(MONTH(Calls[[#This Row],[Date of Call]])&lt;6,YEAR(Calls[[#This Row],[Date of Call]]),YEAR(Calls[[#This Row],[Date of Call]])+1)</f>
        <v>2023</v>
      </c>
      <c r="J398" t="str">
        <f>TEXT(Calls[[#This Row],[Date of Call]],"DDDD")</f>
        <v>Friday</v>
      </c>
      <c r="K398" t="str" cm="1">
        <f t="array" ref="K398">_xlfn.IFS(Calls[[#This Row],[Duration]]&lt;10,"Under 10 Mins",Calls[[#This Row],[Duration]]&lt;=30,"10 - 30 Mins",Calls[[#This Row],[Duration]]&lt;=60,"30 - 60 Mins",Calls[[#This Row],[Duration]]&lt;=120,"1 - 2 Hours",TRUE,"More than 2  Hours")</f>
        <v>10 - 30 Mins</v>
      </c>
      <c r="L398">
        <f>ROUND(Calls[[#This Row],[Satisfaction Rating]],0)</f>
        <v>5</v>
      </c>
    </row>
    <row r="399" spans="2:12" x14ac:dyDescent="0.3">
      <c r="B399" s="22" t="s">
        <v>421</v>
      </c>
      <c r="C399" s="4" t="s">
        <v>12</v>
      </c>
      <c r="D399" s="4">
        <v>43</v>
      </c>
      <c r="E399" s="5" t="s">
        <v>11</v>
      </c>
      <c r="F399" s="9">
        <v>45038</v>
      </c>
      <c r="G399" s="4">
        <v>128</v>
      </c>
      <c r="H399" s="23">
        <v>4.7</v>
      </c>
      <c r="I399">
        <f>IF(MONTH(Calls[[#This Row],[Date of Call]])&lt;6,YEAR(Calls[[#This Row],[Date of Call]]),YEAR(Calls[[#This Row],[Date of Call]])+1)</f>
        <v>2023</v>
      </c>
      <c r="J399" t="str">
        <f>TEXT(Calls[[#This Row],[Date of Call]],"DDDD")</f>
        <v>Saturday</v>
      </c>
      <c r="K399" t="str" cm="1">
        <f t="array" ref="K399">_xlfn.IFS(Calls[[#This Row],[Duration]]&lt;10,"Under 10 Mins",Calls[[#This Row],[Duration]]&lt;=30,"10 - 30 Mins",Calls[[#This Row],[Duration]]&lt;=60,"30 - 60 Mins",Calls[[#This Row],[Duration]]&lt;=120,"1 - 2 Hours",TRUE,"More than 2  Hours")</f>
        <v>30 - 60 Mins</v>
      </c>
      <c r="L399">
        <f>ROUND(Calls[[#This Row],[Satisfaction Rating]],0)</f>
        <v>5</v>
      </c>
    </row>
    <row r="400" spans="2:12" x14ac:dyDescent="0.3">
      <c r="B400" s="22" t="s">
        <v>422</v>
      </c>
      <c r="C400" s="4" t="s">
        <v>21</v>
      </c>
      <c r="D400" s="4">
        <v>95</v>
      </c>
      <c r="E400" s="5" t="s">
        <v>9</v>
      </c>
      <c r="F400" s="9">
        <v>45038</v>
      </c>
      <c r="G400" s="4">
        <v>21</v>
      </c>
      <c r="H400" s="23">
        <v>3.9</v>
      </c>
      <c r="I400">
        <f>IF(MONTH(Calls[[#This Row],[Date of Call]])&lt;6,YEAR(Calls[[#This Row],[Date of Call]]),YEAR(Calls[[#This Row],[Date of Call]])+1)</f>
        <v>2023</v>
      </c>
      <c r="J400" t="str">
        <f>TEXT(Calls[[#This Row],[Date of Call]],"DDDD")</f>
        <v>Saturday</v>
      </c>
      <c r="K400" t="str" cm="1">
        <f t="array" ref="K400">_xlfn.IFS(Calls[[#This Row],[Duration]]&lt;10,"Under 10 Mins",Calls[[#This Row],[Duration]]&lt;=30,"10 - 30 Mins",Calls[[#This Row],[Duration]]&lt;=60,"30 - 60 Mins",Calls[[#This Row],[Duration]]&lt;=120,"1 - 2 Hours",TRUE,"More than 2  Hours")</f>
        <v>1 - 2 Hours</v>
      </c>
      <c r="L400">
        <f>ROUND(Calls[[#This Row],[Satisfaction Rating]],0)</f>
        <v>4</v>
      </c>
    </row>
    <row r="401" spans="2:12" x14ac:dyDescent="0.3">
      <c r="B401" s="22" t="s">
        <v>423</v>
      </c>
      <c r="C401" s="4" t="s">
        <v>5</v>
      </c>
      <c r="D401" s="4">
        <v>53</v>
      </c>
      <c r="E401" s="5" t="s">
        <v>11</v>
      </c>
      <c r="F401" s="9">
        <v>45038</v>
      </c>
      <c r="G401" s="4">
        <v>110</v>
      </c>
      <c r="H401" s="23">
        <v>4.3</v>
      </c>
      <c r="I401">
        <f>IF(MONTH(Calls[[#This Row],[Date of Call]])&lt;6,YEAR(Calls[[#This Row],[Date of Call]]),YEAR(Calls[[#This Row],[Date of Call]])+1)</f>
        <v>2023</v>
      </c>
      <c r="J401" t="str">
        <f>TEXT(Calls[[#This Row],[Date of Call]],"DDDD")</f>
        <v>Saturday</v>
      </c>
      <c r="K401" t="str" cm="1">
        <f t="array" ref="K401">_xlfn.IFS(Calls[[#This Row],[Duration]]&lt;10,"Under 10 Mins",Calls[[#This Row],[Duration]]&lt;=30,"10 - 30 Mins",Calls[[#This Row],[Duration]]&lt;=60,"30 - 60 Mins",Calls[[#This Row],[Duration]]&lt;=120,"1 - 2 Hours",TRUE,"More than 2  Hours")</f>
        <v>30 - 60 Mins</v>
      </c>
      <c r="L401">
        <f>ROUND(Calls[[#This Row],[Satisfaction Rating]],0)</f>
        <v>4</v>
      </c>
    </row>
    <row r="402" spans="2:12" x14ac:dyDescent="0.3">
      <c r="B402" s="22" t="s">
        <v>424</v>
      </c>
      <c r="C402" s="4" t="s">
        <v>12</v>
      </c>
      <c r="D402" s="4">
        <v>113</v>
      </c>
      <c r="E402" s="5" t="s">
        <v>11</v>
      </c>
      <c r="F402" s="9">
        <v>45038</v>
      </c>
      <c r="G402" s="4">
        <v>145</v>
      </c>
      <c r="H402" s="23">
        <v>4</v>
      </c>
      <c r="I402">
        <f>IF(MONTH(Calls[[#This Row],[Date of Call]])&lt;6,YEAR(Calls[[#This Row],[Date of Call]]),YEAR(Calls[[#This Row],[Date of Call]])+1)</f>
        <v>2023</v>
      </c>
      <c r="J402" t="str">
        <f>TEXT(Calls[[#This Row],[Date of Call]],"DDDD")</f>
        <v>Saturday</v>
      </c>
      <c r="K402" t="str" cm="1">
        <f t="array" ref="K402">_xlfn.IFS(Calls[[#This Row],[Duration]]&lt;10,"Under 10 Mins",Calls[[#This Row],[Duration]]&lt;=30,"10 - 30 Mins",Calls[[#This Row],[Duration]]&lt;=60,"30 - 60 Mins",Calls[[#This Row],[Duration]]&lt;=120,"1 - 2 Hours",TRUE,"More than 2  Hours")</f>
        <v>1 - 2 Hours</v>
      </c>
      <c r="L402">
        <f>ROUND(Calls[[#This Row],[Satisfaction Rating]],0)</f>
        <v>4</v>
      </c>
    </row>
    <row r="403" spans="2:12" x14ac:dyDescent="0.3">
      <c r="B403" s="22" t="s">
        <v>425</v>
      </c>
      <c r="C403" s="4" t="s">
        <v>5</v>
      </c>
      <c r="D403" s="4">
        <v>89</v>
      </c>
      <c r="E403" s="5" t="s">
        <v>13</v>
      </c>
      <c r="F403" s="9">
        <v>45038</v>
      </c>
      <c r="G403" s="4">
        <v>129</v>
      </c>
      <c r="H403" s="23">
        <v>4</v>
      </c>
      <c r="I403">
        <f>IF(MONTH(Calls[[#This Row],[Date of Call]])&lt;6,YEAR(Calls[[#This Row],[Date of Call]]),YEAR(Calls[[#This Row],[Date of Call]])+1)</f>
        <v>2023</v>
      </c>
      <c r="J403" t="str">
        <f>TEXT(Calls[[#This Row],[Date of Call]],"DDDD")</f>
        <v>Saturday</v>
      </c>
      <c r="K403" t="str" cm="1">
        <f t="array" ref="K403">_xlfn.IFS(Calls[[#This Row],[Duration]]&lt;10,"Under 10 Mins",Calls[[#This Row],[Duration]]&lt;=30,"10 - 30 Mins",Calls[[#This Row],[Duration]]&lt;=60,"30 - 60 Mins",Calls[[#This Row],[Duration]]&lt;=120,"1 - 2 Hours",TRUE,"More than 2  Hours")</f>
        <v>1 - 2 Hours</v>
      </c>
      <c r="L403">
        <f>ROUND(Calls[[#This Row],[Satisfaction Rating]],0)</f>
        <v>4</v>
      </c>
    </row>
    <row r="404" spans="2:12" x14ac:dyDescent="0.3">
      <c r="B404" s="22" t="s">
        <v>426</v>
      </c>
      <c r="C404" s="4" t="s">
        <v>18</v>
      </c>
      <c r="D404" s="4">
        <v>84</v>
      </c>
      <c r="E404" s="5" t="s">
        <v>10</v>
      </c>
      <c r="F404" s="9">
        <v>45038</v>
      </c>
      <c r="G404" s="4">
        <v>156</v>
      </c>
      <c r="H404" s="23">
        <v>3.2</v>
      </c>
      <c r="I404">
        <f>IF(MONTH(Calls[[#This Row],[Date of Call]])&lt;6,YEAR(Calls[[#This Row],[Date of Call]]),YEAR(Calls[[#This Row],[Date of Call]])+1)</f>
        <v>2023</v>
      </c>
      <c r="J404" t="str">
        <f>TEXT(Calls[[#This Row],[Date of Call]],"DDDD")</f>
        <v>Saturday</v>
      </c>
      <c r="K404" t="str" cm="1">
        <f t="array" ref="K404">_xlfn.IFS(Calls[[#This Row],[Duration]]&lt;10,"Under 10 Mins",Calls[[#This Row],[Duration]]&lt;=30,"10 - 30 Mins",Calls[[#This Row],[Duration]]&lt;=60,"30 - 60 Mins",Calls[[#This Row],[Duration]]&lt;=120,"1 - 2 Hours",TRUE,"More than 2  Hours")</f>
        <v>1 - 2 Hours</v>
      </c>
      <c r="L404">
        <f>ROUND(Calls[[#This Row],[Satisfaction Rating]],0)</f>
        <v>3</v>
      </c>
    </row>
    <row r="405" spans="2:12" x14ac:dyDescent="0.3">
      <c r="B405" s="22" t="s">
        <v>427</v>
      </c>
      <c r="C405" s="4" t="s">
        <v>24</v>
      </c>
      <c r="D405" s="4">
        <v>130</v>
      </c>
      <c r="E405" s="5" t="s">
        <v>11</v>
      </c>
      <c r="F405" s="9">
        <v>45039</v>
      </c>
      <c r="G405" s="4">
        <v>120</v>
      </c>
      <c r="H405" s="23">
        <v>3.8</v>
      </c>
      <c r="I405">
        <f>IF(MONTH(Calls[[#This Row],[Date of Call]])&lt;6,YEAR(Calls[[#This Row],[Date of Call]]),YEAR(Calls[[#This Row],[Date of Call]])+1)</f>
        <v>2023</v>
      </c>
      <c r="J405" t="str">
        <f>TEXT(Calls[[#This Row],[Date of Call]],"DDDD")</f>
        <v>Sunday</v>
      </c>
      <c r="K405" t="str" cm="1">
        <f t="array" ref="K405">_xlfn.IFS(Calls[[#This Row],[Duration]]&lt;10,"Under 10 Mins",Calls[[#This Row],[Duration]]&lt;=30,"10 - 30 Mins",Calls[[#This Row],[Duration]]&lt;=60,"30 - 60 Mins",Calls[[#This Row],[Duration]]&lt;=120,"1 - 2 Hours",TRUE,"More than 2  Hours")</f>
        <v>More than 2  Hours</v>
      </c>
      <c r="L405">
        <f>ROUND(Calls[[#This Row],[Satisfaction Rating]],0)</f>
        <v>4</v>
      </c>
    </row>
    <row r="406" spans="2:12" x14ac:dyDescent="0.3">
      <c r="B406" s="22" t="s">
        <v>428</v>
      </c>
      <c r="C406" s="4" t="s">
        <v>21</v>
      </c>
      <c r="D406" s="4">
        <v>163</v>
      </c>
      <c r="E406" s="5" t="s">
        <v>13</v>
      </c>
      <c r="F406" s="9">
        <v>45039</v>
      </c>
      <c r="G406" s="4">
        <v>62</v>
      </c>
      <c r="H406" s="23">
        <v>3.4</v>
      </c>
      <c r="I406">
        <f>IF(MONTH(Calls[[#This Row],[Date of Call]])&lt;6,YEAR(Calls[[#This Row],[Date of Call]]),YEAR(Calls[[#This Row],[Date of Call]])+1)</f>
        <v>2023</v>
      </c>
      <c r="J406" t="str">
        <f>TEXT(Calls[[#This Row],[Date of Call]],"DDDD")</f>
        <v>Sunday</v>
      </c>
      <c r="K406" t="str" cm="1">
        <f t="array" ref="K406">_xlfn.IFS(Calls[[#This Row],[Duration]]&lt;10,"Under 10 Mins",Calls[[#This Row],[Duration]]&lt;=30,"10 - 30 Mins",Calls[[#This Row],[Duration]]&lt;=60,"30 - 60 Mins",Calls[[#This Row],[Duration]]&lt;=120,"1 - 2 Hours",TRUE,"More than 2  Hours")</f>
        <v>More than 2  Hours</v>
      </c>
      <c r="L406">
        <f>ROUND(Calls[[#This Row],[Satisfaction Rating]],0)</f>
        <v>3</v>
      </c>
    </row>
    <row r="407" spans="2:12" x14ac:dyDescent="0.3">
      <c r="B407" s="22" t="s">
        <v>429</v>
      </c>
      <c r="C407" s="4" t="s">
        <v>22</v>
      </c>
      <c r="D407" s="4">
        <v>127</v>
      </c>
      <c r="E407" s="5" t="s">
        <v>11</v>
      </c>
      <c r="F407" s="9">
        <v>45039</v>
      </c>
      <c r="G407" s="4">
        <v>160</v>
      </c>
      <c r="H407" s="23">
        <v>3.2</v>
      </c>
      <c r="I407">
        <f>IF(MONTH(Calls[[#This Row],[Date of Call]])&lt;6,YEAR(Calls[[#This Row],[Date of Call]]),YEAR(Calls[[#This Row],[Date of Call]])+1)</f>
        <v>2023</v>
      </c>
      <c r="J407" t="str">
        <f>TEXT(Calls[[#This Row],[Date of Call]],"DDDD")</f>
        <v>Sunday</v>
      </c>
      <c r="K407" t="str" cm="1">
        <f t="array" ref="K407">_xlfn.IFS(Calls[[#This Row],[Duration]]&lt;10,"Under 10 Mins",Calls[[#This Row],[Duration]]&lt;=30,"10 - 30 Mins",Calls[[#This Row],[Duration]]&lt;=60,"30 - 60 Mins",Calls[[#This Row],[Duration]]&lt;=120,"1 - 2 Hours",TRUE,"More than 2  Hours")</f>
        <v>More than 2  Hours</v>
      </c>
      <c r="L407">
        <f>ROUND(Calls[[#This Row],[Satisfaction Rating]],0)</f>
        <v>3</v>
      </c>
    </row>
    <row r="408" spans="2:12" x14ac:dyDescent="0.3">
      <c r="B408" s="22" t="s">
        <v>430</v>
      </c>
      <c r="C408" s="4" t="s">
        <v>12</v>
      </c>
      <c r="D408" s="4">
        <v>50</v>
      </c>
      <c r="E408" s="5" t="s">
        <v>11</v>
      </c>
      <c r="F408" s="9">
        <v>45039</v>
      </c>
      <c r="G408" s="4">
        <v>56</v>
      </c>
      <c r="H408" s="23">
        <v>4.7</v>
      </c>
      <c r="I408">
        <f>IF(MONTH(Calls[[#This Row],[Date of Call]])&lt;6,YEAR(Calls[[#This Row],[Date of Call]]),YEAR(Calls[[#This Row],[Date of Call]])+1)</f>
        <v>2023</v>
      </c>
      <c r="J408" t="str">
        <f>TEXT(Calls[[#This Row],[Date of Call]],"DDDD")</f>
        <v>Sunday</v>
      </c>
      <c r="K408" t="str" cm="1">
        <f t="array" ref="K408">_xlfn.IFS(Calls[[#This Row],[Duration]]&lt;10,"Under 10 Mins",Calls[[#This Row],[Duration]]&lt;=30,"10 - 30 Mins",Calls[[#This Row],[Duration]]&lt;=60,"30 - 60 Mins",Calls[[#This Row],[Duration]]&lt;=120,"1 - 2 Hours",TRUE,"More than 2  Hours")</f>
        <v>30 - 60 Mins</v>
      </c>
      <c r="L408">
        <f>ROUND(Calls[[#This Row],[Satisfaction Rating]],0)</f>
        <v>5</v>
      </c>
    </row>
    <row r="409" spans="2:12" x14ac:dyDescent="0.3">
      <c r="B409" s="22" t="s">
        <v>431</v>
      </c>
      <c r="C409" s="4" t="s">
        <v>15</v>
      </c>
      <c r="D409" s="4">
        <v>88</v>
      </c>
      <c r="E409" s="5" t="s">
        <v>6</v>
      </c>
      <c r="F409" s="9">
        <v>45039</v>
      </c>
      <c r="G409" s="4">
        <v>72</v>
      </c>
      <c r="H409" s="23">
        <v>4</v>
      </c>
      <c r="I409">
        <f>IF(MONTH(Calls[[#This Row],[Date of Call]])&lt;6,YEAR(Calls[[#This Row],[Date of Call]]),YEAR(Calls[[#This Row],[Date of Call]])+1)</f>
        <v>2023</v>
      </c>
      <c r="J409" t="str">
        <f>TEXT(Calls[[#This Row],[Date of Call]],"DDDD")</f>
        <v>Sunday</v>
      </c>
      <c r="K409" t="str" cm="1">
        <f t="array" ref="K409">_xlfn.IFS(Calls[[#This Row],[Duration]]&lt;10,"Under 10 Mins",Calls[[#This Row],[Duration]]&lt;=30,"10 - 30 Mins",Calls[[#This Row],[Duration]]&lt;=60,"30 - 60 Mins",Calls[[#This Row],[Duration]]&lt;=120,"1 - 2 Hours",TRUE,"More than 2  Hours")</f>
        <v>1 - 2 Hours</v>
      </c>
      <c r="L409">
        <f>ROUND(Calls[[#This Row],[Satisfaction Rating]],0)</f>
        <v>4</v>
      </c>
    </row>
    <row r="410" spans="2:12" x14ac:dyDescent="0.3">
      <c r="B410" s="22" t="s">
        <v>432</v>
      </c>
      <c r="C410" s="4" t="s">
        <v>12</v>
      </c>
      <c r="D410" s="4">
        <v>139</v>
      </c>
      <c r="E410" s="5" t="s">
        <v>9</v>
      </c>
      <c r="F410" s="9">
        <v>45040</v>
      </c>
      <c r="G410" s="4">
        <v>81</v>
      </c>
      <c r="H410" s="23">
        <v>4.8</v>
      </c>
      <c r="I410">
        <f>IF(MONTH(Calls[[#This Row],[Date of Call]])&lt;6,YEAR(Calls[[#This Row],[Date of Call]]),YEAR(Calls[[#This Row],[Date of Call]])+1)</f>
        <v>2023</v>
      </c>
      <c r="J410" t="str">
        <f>TEXT(Calls[[#This Row],[Date of Call]],"DDDD")</f>
        <v>Monday</v>
      </c>
      <c r="K410" t="str" cm="1">
        <f t="array" ref="K410">_xlfn.IFS(Calls[[#This Row],[Duration]]&lt;10,"Under 10 Mins",Calls[[#This Row],[Duration]]&lt;=30,"10 - 30 Mins",Calls[[#This Row],[Duration]]&lt;=60,"30 - 60 Mins",Calls[[#This Row],[Duration]]&lt;=120,"1 - 2 Hours",TRUE,"More than 2  Hours")</f>
        <v>More than 2  Hours</v>
      </c>
      <c r="L410">
        <f>ROUND(Calls[[#This Row],[Satisfaction Rating]],0)</f>
        <v>5</v>
      </c>
    </row>
    <row r="411" spans="2:12" x14ac:dyDescent="0.3">
      <c r="B411" s="22" t="s">
        <v>433</v>
      </c>
      <c r="C411" s="4" t="s">
        <v>21</v>
      </c>
      <c r="D411" s="4">
        <v>111</v>
      </c>
      <c r="E411" s="5" t="s">
        <v>11</v>
      </c>
      <c r="F411" s="9">
        <v>45040</v>
      </c>
      <c r="G411" s="4">
        <v>144</v>
      </c>
      <c r="H411" s="23">
        <v>3.9</v>
      </c>
      <c r="I411">
        <f>IF(MONTH(Calls[[#This Row],[Date of Call]])&lt;6,YEAR(Calls[[#This Row],[Date of Call]]),YEAR(Calls[[#This Row],[Date of Call]])+1)</f>
        <v>2023</v>
      </c>
      <c r="J411" t="str">
        <f>TEXT(Calls[[#This Row],[Date of Call]],"DDDD")</f>
        <v>Monday</v>
      </c>
      <c r="K411" t="str" cm="1">
        <f t="array" ref="K411">_xlfn.IFS(Calls[[#This Row],[Duration]]&lt;10,"Under 10 Mins",Calls[[#This Row],[Duration]]&lt;=30,"10 - 30 Mins",Calls[[#This Row],[Duration]]&lt;=60,"30 - 60 Mins",Calls[[#This Row],[Duration]]&lt;=120,"1 - 2 Hours",TRUE,"More than 2  Hours")</f>
        <v>1 - 2 Hours</v>
      </c>
      <c r="L411">
        <f>ROUND(Calls[[#This Row],[Satisfaction Rating]],0)</f>
        <v>4</v>
      </c>
    </row>
    <row r="412" spans="2:12" x14ac:dyDescent="0.3">
      <c r="B412" s="22" t="s">
        <v>434</v>
      </c>
      <c r="C412" s="4" t="s">
        <v>23</v>
      </c>
      <c r="D412" s="4">
        <v>115</v>
      </c>
      <c r="E412" s="5" t="s">
        <v>9</v>
      </c>
      <c r="F412" s="9">
        <v>45040</v>
      </c>
      <c r="G412" s="4">
        <v>111</v>
      </c>
      <c r="H412" s="23">
        <v>4.3</v>
      </c>
      <c r="I412">
        <f>IF(MONTH(Calls[[#This Row],[Date of Call]])&lt;6,YEAR(Calls[[#This Row],[Date of Call]]),YEAR(Calls[[#This Row],[Date of Call]])+1)</f>
        <v>2023</v>
      </c>
      <c r="J412" t="str">
        <f>TEXT(Calls[[#This Row],[Date of Call]],"DDDD")</f>
        <v>Monday</v>
      </c>
      <c r="K412" t="str" cm="1">
        <f t="array" ref="K412">_xlfn.IFS(Calls[[#This Row],[Duration]]&lt;10,"Under 10 Mins",Calls[[#This Row],[Duration]]&lt;=30,"10 - 30 Mins",Calls[[#This Row],[Duration]]&lt;=60,"30 - 60 Mins",Calls[[#This Row],[Duration]]&lt;=120,"1 - 2 Hours",TRUE,"More than 2  Hours")</f>
        <v>1 - 2 Hours</v>
      </c>
      <c r="L412">
        <f>ROUND(Calls[[#This Row],[Satisfaction Rating]],0)</f>
        <v>4</v>
      </c>
    </row>
    <row r="413" spans="2:12" x14ac:dyDescent="0.3">
      <c r="B413" s="22" t="s">
        <v>435</v>
      </c>
      <c r="C413" s="4" t="s">
        <v>5</v>
      </c>
      <c r="D413" s="4">
        <v>26</v>
      </c>
      <c r="E413" s="5" t="s">
        <v>13</v>
      </c>
      <c r="F413" s="9">
        <v>45040</v>
      </c>
      <c r="G413" s="4">
        <v>43</v>
      </c>
      <c r="H413" s="23">
        <v>4.2</v>
      </c>
      <c r="I413">
        <f>IF(MONTH(Calls[[#This Row],[Date of Call]])&lt;6,YEAR(Calls[[#This Row],[Date of Call]]),YEAR(Calls[[#This Row],[Date of Call]])+1)</f>
        <v>2023</v>
      </c>
      <c r="J413" t="str">
        <f>TEXT(Calls[[#This Row],[Date of Call]],"DDDD")</f>
        <v>Monday</v>
      </c>
      <c r="K413" t="str" cm="1">
        <f t="array" ref="K413">_xlfn.IFS(Calls[[#This Row],[Duration]]&lt;10,"Under 10 Mins",Calls[[#This Row],[Duration]]&lt;=30,"10 - 30 Mins",Calls[[#This Row],[Duration]]&lt;=60,"30 - 60 Mins",Calls[[#This Row],[Duration]]&lt;=120,"1 - 2 Hours",TRUE,"More than 2  Hours")</f>
        <v>10 - 30 Mins</v>
      </c>
      <c r="L413">
        <f>ROUND(Calls[[#This Row],[Satisfaction Rating]],0)</f>
        <v>4</v>
      </c>
    </row>
    <row r="414" spans="2:12" x14ac:dyDescent="0.3">
      <c r="B414" s="22" t="s">
        <v>436</v>
      </c>
      <c r="C414" s="4" t="s">
        <v>18</v>
      </c>
      <c r="D414" s="4">
        <v>131</v>
      </c>
      <c r="E414" s="5" t="s">
        <v>6</v>
      </c>
      <c r="F414" s="9">
        <v>45040</v>
      </c>
      <c r="G414" s="4">
        <v>41</v>
      </c>
      <c r="H414" s="23">
        <v>4.9000000000000004</v>
      </c>
      <c r="I414">
        <f>IF(MONTH(Calls[[#This Row],[Date of Call]])&lt;6,YEAR(Calls[[#This Row],[Date of Call]]),YEAR(Calls[[#This Row],[Date of Call]])+1)</f>
        <v>2023</v>
      </c>
      <c r="J414" t="str">
        <f>TEXT(Calls[[#This Row],[Date of Call]],"DDDD")</f>
        <v>Monday</v>
      </c>
      <c r="K414" t="str" cm="1">
        <f t="array" ref="K414">_xlfn.IFS(Calls[[#This Row],[Duration]]&lt;10,"Under 10 Mins",Calls[[#This Row],[Duration]]&lt;=30,"10 - 30 Mins",Calls[[#This Row],[Duration]]&lt;=60,"30 - 60 Mins",Calls[[#This Row],[Duration]]&lt;=120,"1 - 2 Hours",TRUE,"More than 2  Hours")</f>
        <v>More than 2  Hours</v>
      </c>
      <c r="L414">
        <f>ROUND(Calls[[#This Row],[Satisfaction Rating]],0)</f>
        <v>5</v>
      </c>
    </row>
    <row r="415" spans="2:12" x14ac:dyDescent="0.3">
      <c r="B415" s="22" t="s">
        <v>437</v>
      </c>
      <c r="C415" s="4" t="s">
        <v>23</v>
      </c>
      <c r="D415" s="4">
        <v>27</v>
      </c>
      <c r="E415" s="5" t="s">
        <v>6</v>
      </c>
      <c r="F415" s="9">
        <v>45040</v>
      </c>
      <c r="G415" s="4">
        <v>74</v>
      </c>
      <c r="H415" s="23">
        <v>4</v>
      </c>
      <c r="I415">
        <f>IF(MONTH(Calls[[#This Row],[Date of Call]])&lt;6,YEAR(Calls[[#This Row],[Date of Call]]),YEAR(Calls[[#This Row],[Date of Call]])+1)</f>
        <v>2023</v>
      </c>
      <c r="J415" t="str">
        <f>TEXT(Calls[[#This Row],[Date of Call]],"DDDD")</f>
        <v>Monday</v>
      </c>
      <c r="K415" t="str" cm="1">
        <f t="array" ref="K415">_xlfn.IFS(Calls[[#This Row],[Duration]]&lt;10,"Under 10 Mins",Calls[[#This Row],[Duration]]&lt;=30,"10 - 30 Mins",Calls[[#This Row],[Duration]]&lt;=60,"30 - 60 Mins",Calls[[#This Row],[Duration]]&lt;=120,"1 - 2 Hours",TRUE,"More than 2  Hours")</f>
        <v>10 - 30 Mins</v>
      </c>
      <c r="L415">
        <f>ROUND(Calls[[#This Row],[Satisfaction Rating]],0)</f>
        <v>4</v>
      </c>
    </row>
    <row r="416" spans="2:12" x14ac:dyDescent="0.3">
      <c r="B416" s="22" t="s">
        <v>438</v>
      </c>
      <c r="C416" s="4" t="s">
        <v>16</v>
      </c>
      <c r="D416" s="4">
        <v>75</v>
      </c>
      <c r="E416" s="5" t="s">
        <v>11</v>
      </c>
      <c r="F416" s="9">
        <v>45040</v>
      </c>
      <c r="G416" s="4">
        <v>43</v>
      </c>
      <c r="H416" s="23">
        <v>4.9000000000000004</v>
      </c>
      <c r="I416">
        <f>IF(MONTH(Calls[[#This Row],[Date of Call]])&lt;6,YEAR(Calls[[#This Row],[Date of Call]]),YEAR(Calls[[#This Row],[Date of Call]])+1)</f>
        <v>2023</v>
      </c>
      <c r="J416" t="str">
        <f>TEXT(Calls[[#This Row],[Date of Call]],"DDDD")</f>
        <v>Monday</v>
      </c>
      <c r="K416" t="str" cm="1">
        <f t="array" ref="K416">_xlfn.IFS(Calls[[#This Row],[Duration]]&lt;10,"Under 10 Mins",Calls[[#This Row],[Duration]]&lt;=30,"10 - 30 Mins",Calls[[#This Row],[Duration]]&lt;=60,"30 - 60 Mins",Calls[[#This Row],[Duration]]&lt;=120,"1 - 2 Hours",TRUE,"More than 2  Hours")</f>
        <v>1 - 2 Hours</v>
      </c>
      <c r="L416">
        <f>ROUND(Calls[[#This Row],[Satisfaction Rating]],0)</f>
        <v>5</v>
      </c>
    </row>
    <row r="417" spans="2:12" x14ac:dyDescent="0.3">
      <c r="B417" s="22" t="s">
        <v>439</v>
      </c>
      <c r="C417" s="4" t="s">
        <v>7</v>
      </c>
      <c r="D417" s="4">
        <v>123</v>
      </c>
      <c r="E417" s="5" t="s">
        <v>6</v>
      </c>
      <c r="F417" s="9">
        <v>45040</v>
      </c>
      <c r="G417" s="4">
        <v>128</v>
      </c>
      <c r="H417" s="23">
        <v>3.6</v>
      </c>
      <c r="I417">
        <f>IF(MONTH(Calls[[#This Row],[Date of Call]])&lt;6,YEAR(Calls[[#This Row],[Date of Call]]),YEAR(Calls[[#This Row],[Date of Call]])+1)</f>
        <v>2023</v>
      </c>
      <c r="J417" t="str">
        <f>TEXT(Calls[[#This Row],[Date of Call]],"DDDD")</f>
        <v>Monday</v>
      </c>
      <c r="K417" t="str" cm="1">
        <f t="array" ref="K417">_xlfn.IFS(Calls[[#This Row],[Duration]]&lt;10,"Under 10 Mins",Calls[[#This Row],[Duration]]&lt;=30,"10 - 30 Mins",Calls[[#This Row],[Duration]]&lt;=60,"30 - 60 Mins",Calls[[#This Row],[Duration]]&lt;=120,"1 - 2 Hours",TRUE,"More than 2  Hours")</f>
        <v>More than 2  Hours</v>
      </c>
      <c r="L417">
        <f>ROUND(Calls[[#This Row],[Satisfaction Rating]],0)</f>
        <v>4</v>
      </c>
    </row>
    <row r="418" spans="2:12" x14ac:dyDescent="0.3">
      <c r="B418" s="22" t="s">
        <v>440</v>
      </c>
      <c r="C418" s="4" t="s">
        <v>20</v>
      </c>
      <c r="D418" s="4">
        <v>129</v>
      </c>
      <c r="E418" s="5" t="s">
        <v>6</v>
      </c>
      <c r="F418" s="9">
        <v>45041</v>
      </c>
      <c r="G418" s="4">
        <v>144</v>
      </c>
      <c r="H418" s="23">
        <v>4.0999999999999996</v>
      </c>
      <c r="I418">
        <f>IF(MONTH(Calls[[#This Row],[Date of Call]])&lt;6,YEAR(Calls[[#This Row],[Date of Call]]),YEAR(Calls[[#This Row],[Date of Call]])+1)</f>
        <v>2023</v>
      </c>
      <c r="J418" t="str">
        <f>TEXT(Calls[[#This Row],[Date of Call]],"DDDD")</f>
        <v>Tuesday</v>
      </c>
      <c r="K418" t="str" cm="1">
        <f t="array" ref="K418">_xlfn.IFS(Calls[[#This Row],[Duration]]&lt;10,"Under 10 Mins",Calls[[#This Row],[Duration]]&lt;=30,"10 - 30 Mins",Calls[[#This Row],[Duration]]&lt;=60,"30 - 60 Mins",Calls[[#This Row],[Duration]]&lt;=120,"1 - 2 Hours",TRUE,"More than 2  Hours")</f>
        <v>More than 2  Hours</v>
      </c>
      <c r="L418">
        <f>ROUND(Calls[[#This Row],[Satisfaction Rating]],0)</f>
        <v>4</v>
      </c>
    </row>
    <row r="419" spans="2:12" x14ac:dyDescent="0.3">
      <c r="B419" s="22" t="s">
        <v>441</v>
      </c>
      <c r="C419" s="4" t="s">
        <v>16</v>
      </c>
      <c r="D419" s="4">
        <v>124</v>
      </c>
      <c r="E419" s="5" t="s">
        <v>9</v>
      </c>
      <c r="F419" s="9">
        <v>45041</v>
      </c>
      <c r="G419" s="4">
        <v>132</v>
      </c>
      <c r="H419" s="23">
        <v>4.9000000000000004</v>
      </c>
      <c r="I419">
        <f>IF(MONTH(Calls[[#This Row],[Date of Call]])&lt;6,YEAR(Calls[[#This Row],[Date of Call]]),YEAR(Calls[[#This Row],[Date of Call]])+1)</f>
        <v>2023</v>
      </c>
      <c r="J419" t="str">
        <f>TEXT(Calls[[#This Row],[Date of Call]],"DDDD")</f>
        <v>Tuesday</v>
      </c>
      <c r="K419" t="str" cm="1">
        <f t="array" ref="K419">_xlfn.IFS(Calls[[#This Row],[Duration]]&lt;10,"Under 10 Mins",Calls[[#This Row],[Duration]]&lt;=30,"10 - 30 Mins",Calls[[#This Row],[Duration]]&lt;=60,"30 - 60 Mins",Calls[[#This Row],[Duration]]&lt;=120,"1 - 2 Hours",TRUE,"More than 2  Hours")</f>
        <v>More than 2  Hours</v>
      </c>
      <c r="L419">
        <f>ROUND(Calls[[#This Row],[Satisfaction Rating]],0)</f>
        <v>5</v>
      </c>
    </row>
    <row r="420" spans="2:12" x14ac:dyDescent="0.3">
      <c r="B420" s="22" t="s">
        <v>442</v>
      </c>
      <c r="C420" s="4" t="s">
        <v>23</v>
      </c>
      <c r="D420" s="4">
        <v>108</v>
      </c>
      <c r="E420" s="5" t="s">
        <v>9</v>
      </c>
      <c r="F420" s="9">
        <v>45041</v>
      </c>
      <c r="G420" s="4">
        <v>180</v>
      </c>
      <c r="H420" s="23">
        <v>3.9</v>
      </c>
      <c r="I420">
        <f>IF(MONTH(Calls[[#This Row],[Date of Call]])&lt;6,YEAR(Calls[[#This Row],[Date of Call]]),YEAR(Calls[[#This Row],[Date of Call]])+1)</f>
        <v>2023</v>
      </c>
      <c r="J420" t="str">
        <f>TEXT(Calls[[#This Row],[Date of Call]],"DDDD")</f>
        <v>Tuesday</v>
      </c>
      <c r="K420" t="str" cm="1">
        <f t="array" ref="K420">_xlfn.IFS(Calls[[#This Row],[Duration]]&lt;10,"Under 10 Mins",Calls[[#This Row],[Duration]]&lt;=30,"10 - 30 Mins",Calls[[#This Row],[Duration]]&lt;=60,"30 - 60 Mins",Calls[[#This Row],[Duration]]&lt;=120,"1 - 2 Hours",TRUE,"More than 2  Hours")</f>
        <v>1 - 2 Hours</v>
      </c>
      <c r="L420">
        <f>ROUND(Calls[[#This Row],[Satisfaction Rating]],0)</f>
        <v>4</v>
      </c>
    </row>
    <row r="421" spans="2:12" x14ac:dyDescent="0.3">
      <c r="B421" s="22" t="s">
        <v>443</v>
      </c>
      <c r="C421" s="4" t="s">
        <v>8</v>
      </c>
      <c r="D421" s="4">
        <v>15</v>
      </c>
      <c r="E421" s="5" t="s">
        <v>9</v>
      </c>
      <c r="F421" s="9">
        <v>45041</v>
      </c>
      <c r="G421" s="4">
        <v>31</v>
      </c>
      <c r="H421" s="23">
        <v>4.0999999999999996</v>
      </c>
      <c r="I421">
        <f>IF(MONTH(Calls[[#This Row],[Date of Call]])&lt;6,YEAR(Calls[[#This Row],[Date of Call]]),YEAR(Calls[[#This Row],[Date of Call]])+1)</f>
        <v>2023</v>
      </c>
      <c r="J421" t="str">
        <f>TEXT(Calls[[#This Row],[Date of Call]],"DDDD")</f>
        <v>Tuesday</v>
      </c>
      <c r="K421" t="str" cm="1">
        <f t="array" ref="K421">_xlfn.IFS(Calls[[#This Row],[Duration]]&lt;10,"Under 10 Mins",Calls[[#This Row],[Duration]]&lt;=30,"10 - 30 Mins",Calls[[#This Row],[Duration]]&lt;=60,"30 - 60 Mins",Calls[[#This Row],[Duration]]&lt;=120,"1 - 2 Hours",TRUE,"More than 2  Hours")</f>
        <v>10 - 30 Mins</v>
      </c>
      <c r="L421">
        <f>ROUND(Calls[[#This Row],[Satisfaction Rating]],0)</f>
        <v>4</v>
      </c>
    </row>
    <row r="422" spans="2:12" x14ac:dyDescent="0.3">
      <c r="B422" s="22" t="s">
        <v>444</v>
      </c>
      <c r="C422" s="4" t="s">
        <v>23</v>
      </c>
      <c r="D422" s="4">
        <v>66</v>
      </c>
      <c r="E422" s="5" t="s">
        <v>9</v>
      </c>
      <c r="F422" s="9">
        <v>45041</v>
      </c>
      <c r="G422" s="4">
        <v>102</v>
      </c>
      <c r="H422" s="23">
        <v>3.8</v>
      </c>
      <c r="I422">
        <f>IF(MONTH(Calls[[#This Row],[Date of Call]])&lt;6,YEAR(Calls[[#This Row],[Date of Call]]),YEAR(Calls[[#This Row],[Date of Call]])+1)</f>
        <v>2023</v>
      </c>
      <c r="J422" t="str">
        <f>TEXT(Calls[[#This Row],[Date of Call]],"DDDD")</f>
        <v>Tuesday</v>
      </c>
      <c r="K422" t="str" cm="1">
        <f t="array" ref="K422">_xlfn.IFS(Calls[[#This Row],[Duration]]&lt;10,"Under 10 Mins",Calls[[#This Row],[Duration]]&lt;=30,"10 - 30 Mins",Calls[[#This Row],[Duration]]&lt;=60,"30 - 60 Mins",Calls[[#This Row],[Duration]]&lt;=120,"1 - 2 Hours",TRUE,"More than 2  Hours")</f>
        <v>1 - 2 Hours</v>
      </c>
      <c r="L422">
        <f>ROUND(Calls[[#This Row],[Satisfaction Rating]],0)</f>
        <v>4</v>
      </c>
    </row>
    <row r="423" spans="2:12" x14ac:dyDescent="0.3">
      <c r="B423" s="22" t="s">
        <v>445</v>
      </c>
      <c r="C423" s="4" t="s">
        <v>15</v>
      </c>
      <c r="D423" s="4">
        <v>126</v>
      </c>
      <c r="E423" s="5" t="s">
        <v>11</v>
      </c>
      <c r="F423" s="9">
        <v>45042</v>
      </c>
      <c r="G423" s="4">
        <v>175</v>
      </c>
      <c r="H423" s="23">
        <v>4.8</v>
      </c>
      <c r="I423">
        <f>IF(MONTH(Calls[[#This Row],[Date of Call]])&lt;6,YEAR(Calls[[#This Row],[Date of Call]]),YEAR(Calls[[#This Row],[Date of Call]])+1)</f>
        <v>2023</v>
      </c>
      <c r="J423" t="str">
        <f>TEXT(Calls[[#This Row],[Date of Call]],"DDDD")</f>
        <v>Wednesday</v>
      </c>
      <c r="K423" t="str" cm="1">
        <f t="array" ref="K423">_xlfn.IFS(Calls[[#This Row],[Duration]]&lt;10,"Under 10 Mins",Calls[[#This Row],[Duration]]&lt;=30,"10 - 30 Mins",Calls[[#This Row],[Duration]]&lt;=60,"30 - 60 Mins",Calls[[#This Row],[Duration]]&lt;=120,"1 - 2 Hours",TRUE,"More than 2  Hours")</f>
        <v>More than 2  Hours</v>
      </c>
      <c r="L423">
        <f>ROUND(Calls[[#This Row],[Satisfaction Rating]],0)</f>
        <v>5</v>
      </c>
    </row>
    <row r="424" spans="2:12" x14ac:dyDescent="0.3">
      <c r="B424" s="22" t="s">
        <v>446</v>
      </c>
      <c r="C424" s="4" t="s">
        <v>16</v>
      </c>
      <c r="D424" s="4">
        <v>26</v>
      </c>
      <c r="E424" s="5" t="s">
        <v>10</v>
      </c>
      <c r="F424" s="9">
        <v>45042</v>
      </c>
      <c r="G424" s="4">
        <v>87</v>
      </c>
      <c r="H424" s="23">
        <v>4.7</v>
      </c>
      <c r="I424">
        <f>IF(MONTH(Calls[[#This Row],[Date of Call]])&lt;6,YEAR(Calls[[#This Row],[Date of Call]]),YEAR(Calls[[#This Row],[Date of Call]])+1)</f>
        <v>2023</v>
      </c>
      <c r="J424" t="str">
        <f>TEXT(Calls[[#This Row],[Date of Call]],"DDDD")</f>
        <v>Wednesday</v>
      </c>
      <c r="K424" t="str" cm="1">
        <f t="array" ref="K424">_xlfn.IFS(Calls[[#This Row],[Duration]]&lt;10,"Under 10 Mins",Calls[[#This Row],[Duration]]&lt;=30,"10 - 30 Mins",Calls[[#This Row],[Duration]]&lt;=60,"30 - 60 Mins",Calls[[#This Row],[Duration]]&lt;=120,"1 - 2 Hours",TRUE,"More than 2  Hours")</f>
        <v>10 - 30 Mins</v>
      </c>
      <c r="L424">
        <f>ROUND(Calls[[#This Row],[Satisfaction Rating]],0)</f>
        <v>5</v>
      </c>
    </row>
    <row r="425" spans="2:12" x14ac:dyDescent="0.3">
      <c r="B425" s="22" t="s">
        <v>447</v>
      </c>
      <c r="C425" s="4" t="s">
        <v>24</v>
      </c>
      <c r="D425" s="4">
        <v>105</v>
      </c>
      <c r="E425" s="5" t="s">
        <v>11</v>
      </c>
      <c r="F425" s="9">
        <v>45042</v>
      </c>
      <c r="G425" s="4">
        <v>66</v>
      </c>
      <c r="H425" s="23">
        <v>4.2</v>
      </c>
      <c r="I425">
        <f>IF(MONTH(Calls[[#This Row],[Date of Call]])&lt;6,YEAR(Calls[[#This Row],[Date of Call]]),YEAR(Calls[[#This Row],[Date of Call]])+1)</f>
        <v>2023</v>
      </c>
      <c r="J425" t="str">
        <f>TEXT(Calls[[#This Row],[Date of Call]],"DDDD")</f>
        <v>Wednesday</v>
      </c>
      <c r="K425" t="str" cm="1">
        <f t="array" ref="K425">_xlfn.IFS(Calls[[#This Row],[Duration]]&lt;10,"Under 10 Mins",Calls[[#This Row],[Duration]]&lt;=30,"10 - 30 Mins",Calls[[#This Row],[Duration]]&lt;=60,"30 - 60 Mins",Calls[[#This Row],[Duration]]&lt;=120,"1 - 2 Hours",TRUE,"More than 2  Hours")</f>
        <v>1 - 2 Hours</v>
      </c>
      <c r="L425">
        <f>ROUND(Calls[[#This Row],[Satisfaction Rating]],0)</f>
        <v>4</v>
      </c>
    </row>
    <row r="426" spans="2:12" x14ac:dyDescent="0.3">
      <c r="B426" s="22" t="s">
        <v>448</v>
      </c>
      <c r="C426" s="4" t="s">
        <v>24</v>
      </c>
      <c r="D426" s="4">
        <v>31</v>
      </c>
      <c r="E426" s="5" t="s">
        <v>11</v>
      </c>
      <c r="F426" s="9">
        <v>45042</v>
      </c>
      <c r="G426" s="4">
        <v>25</v>
      </c>
      <c r="H426" s="23">
        <v>3.2</v>
      </c>
      <c r="I426">
        <f>IF(MONTH(Calls[[#This Row],[Date of Call]])&lt;6,YEAR(Calls[[#This Row],[Date of Call]]),YEAR(Calls[[#This Row],[Date of Call]])+1)</f>
        <v>2023</v>
      </c>
      <c r="J426" t="str">
        <f>TEXT(Calls[[#This Row],[Date of Call]],"DDDD")</f>
        <v>Wednesday</v>
      </c>
      <c r="K426" t="str" cm="1">
        <f t="array" ref="K426">_xlfn.IFS(Calls[[#This Row],[Duration]]&lt;10,"Under 10 Mins",Calls[[#This Row],[Duration]]&lt;=30,"10 - 30 Mins",Calls[[#This Row],[Duration]]&lt;=60,"30 - 60 Mins",Calls[[#This Row],[Duration]]&lt;=120,"1 - 2 Hours",TRUE,"More than 2  Hours")</f>
        <v>30 - 60 Mins</v>
      </c>
      <c r="L426">
        <f>ROUND(Calls[[#This Row],[Satisfaction Rating]],0)</f>
        <v>3</v>
      </c>
    </row>
    <row r="427" spans="2:12" x14ac:dyDescent="0.3">
      <c r="B427" s="22" t="s">
        <v>449</v>
      </c>
      <c r="C427" s="4" t="s">
        <v>23</v>
      </c>
      <c r="D427" s="4">
        <v>109</v>
      </c>
      <c r="E427" s="5" t="s">
        <v>9</v>
      </c>
      <c r="F427" s="9">
        <v>45042</v>
      </c>
      <c r="G427" s="4">
        <v>126</v>
      </c>
      <c r="H427" s="23">
        <v>3.4</v>
      </c>
      <c r="I427">
        <f>IF(MONTH(Calls[[#This Row],[Date of Call]])&lt;6,YEAR(Calls[[#This Row],[Date of Call]]),YEAR(Calls[[#This Row],[Date of Call]])+1)</f>
        <v>2023</v>
      </c>
      <c r="J427" t="str">
        <f>TEXT(Calls[[#This Row],[Date of Call]],"DDDD")</f>
        <v>Wednesday</v>
      </c>
      <c r="K427" t="str" cm="1">
        <f t="array" ref="K427">_xlfn.IFS(Calls[[#This Row],[Duration]]&lt;10,"Under 10 Mins",Calls[[#This Row],[Duration]]&lt;=30,"10 - 30 Mins",Calls[[#This Row],[Duration]]&lt;=60,"30 - 60 Mins",Calls[[#This Row],[Duration]]&lt;=120,"1 - 2 Hours",TRUE,"More than 2  Hours")</f>
        <v>1 - 2 Hours</v>
      </c>
      <c r="L427">
        <f>ROUND(Calls[[#This Row],[Satisfaction Rating]],0)</f>
        <v>3</v>
      </c>
    </row>
    <row r="428" spans="2:12" x14ac:dyDescent="0.3">
      <c r="B428" s="22" t="s">
        <v>450</v>
      </c>
      <c r="C428" s="4" t="s">
        <v>20</v>
      </c>
      <c r="D428" s="4">
        <v>113</v>
      </c>
      <c r="E428" s="5" t="s">
        <v>13</v>
      </c>
      <c r="F428" s="9">
        <v>45043</v>
      </c>
      <c r="G428" s="4">
        <v>42</v>
      </c>
      <c r="H428" s="23">
        <v>4.5999999999999996</v>
      </c>
      <c r="I428">
        <f>IF(MONTH(Calls[[#This Row],[Date of Call]])&lt;6,YEAR(Calls[[#This Row],[Date of Call]]),YEAR(Calls[[#This Row],[Date of Call]])+1)</f>
        <v>2023</v>
      </c>
      <c r="J428" t="str">
        <f>TEXT(Calls[[#This Row],[Date of Call]],"DDDD")</f>
        <v>Thursday</v>
      </c>
      <c r="K428" t="str" cm="1">
        <f t="array" ref="K428">_xlfn.IFS(Calls[[#This Row],[Duration]]&lt;10,"Under 10 Mins",Calls[[#This Row],[Duration]]&lt;=30,"10 - 30 Mins",Calls[[#This Row],[Duration]]&lt;=60,"30 - 60 Mins",Calls[[#This Row],[Duration]]&lt;=120,"1 - 2 Hours",TRUE,"More than 2  Hours")</f>
        <v>1 - 2 Hours</v>
      </c>
      <c r="L428">
        <f>ROUND(Calls[[#This Row],[Satisfaction Rating]],0)</f>
        <v>5</v>
      </c>
    </row>
    <row r="429" spans="2:12" x14ac:dyDescent="0.3">
      <c r="B429" s="22" t="s">
        <v>451</v>
      </c>
      <c r="C429" s="4" t="s">
        <v>15</v>
      </c>
      <c r="D429" s="4">
        <v>101</v>
      </c>
      <c r="E429" s="5" t="s">
        <v>10</v>
      </c>
      <c r="F429" s="9">
        <v>45043</v>
      </c>
      <c r="G429" s="4">
        <v>225</v>
      </c>
      <c r="H429" s="23">
        <v>1.9</v>
      </c>
      <c r="I429">
        <f>IF(MONTH(Calls[[#This Row],[Date of Call]])&lt;6,YEAR(Calls[[#This Row],[Date of Call]]),YEAR(Calls[[#This Row],[Date of Call]])+1)</f>
        <v>2023</v>
      </c>
      <c r="J429" t="str">
        <f>TEXT(Calls[[#This Row],[Date of Call]],"DDDD")</f>
        <v>Thursday</v>
      </c>
      <c r="K429" t="str" cm="1">
        <f t="array" ref="K429">_xlfn.IFS(Calls[[#This Row],[Duration]]&lt;10,"Under 10 Mins",Calls[[#This Row],[Duration]]&lt;=30,"10 - 30 Mins",Calls[[#This Row],[Duration]]&lt;=60,"30 - 60 Mins",Calls[[#This Row],[Duration]]&lt;=120,"1 - 2 Hours",TRUE,"More than 2  Hours")</f>
        <v>1 - 2 Hours</v>
      </c>
      <c r="L429">
        <f>ROUND(Calls[[#This Row],[Satisfaction Rating]],0)</f>
        <v>2</v>
      </c>
    </row>
    <row r="430" spans="2:12" x14ac:dyDescent="0.3">
      <c r="B430" s="22" t="s">
        <v>452</v>
      </c>
      <c r="C430" s="4" t="s">
        <v>21</v>
      </c>
      <c r="D430" s="4">
        <v>156</v>
      </c>
      <c r="E430" s="5" t="s">
        <v>10</v>
      </c>
      <c r="F430" s="9">
        <v>45043</v>
      </c>
      <c r="G430" s="4">
        <v>42</v>
      </c>
      <c r="H430" s="23">
        <v>3.3</v>
      </c>
      <c r="I430">
        <f>IF(MONTH(Calls[[#This Row],[Date of Call]])&lt;6,YEAR(Calls[[#This Row],[Date of Call]]),YEAR(Calls[[#This Row],[Date of Call]])+1)</f>
        <v>2023</v>
      </c>
      <c r="J430" t="str">
        <f>TEXT(Calls[[#This Row],[Date of Call]],"DDDD")</f>
        <v>Thursday</v>
      </c>
      <c r="K430" t="str" cm="1">
        <f t="array" ref="K430">_xlfn.IFS(Calls[[#This Row],[Duration]]&lt;10,"Under 10 Mins",Calls[[#This Row],[Duration]]&lt;=30,"10 - 30 Mins",Calls[[#This Row],[Duration]]&lt;=60,"30 - 60 Mins",Calls[[#This Row],[Duration]]&lt;=120,"1 - 2 Hours",TRUE,"More than 2  Hours")</f>
        <v>More than 2  Hours</v>
      </c>
      <c r="L430">
        <f>ROUND(Calls[[#This Row],[Satisfaction Rating]],0)</f>
        <v>3</v>
      </c>
    </row>
    <row r="431" spans="2:12" x14ac:dyDescent="0.3">
      <c r="B431" s="22" t="s">
        <v>453</v>
      </c>
      <c r="C431" s="4" t="s">
        <v>23</v>
      </c>
      <c r="D431" s="4">
        <v>145</v>
      </c>
      <c r="E431" s="5" t="s">
        <v>13</v>
      </c>
      <c r="F431" s="9">
        <v>45044</v>
      </c>
      <c r="G431" s="4">
        <v>110</v>
      </c>
      <c r="H431" s="23">
        <v>3.1</v>
      </c>
      <c r="I431">
        <f>IF(MONTH(Calls[[#This Row],[Date of Call]])&lt;6,YEAR(Calls[[#This Row],[Date of Call]]),YEAR(Calls[[#This Row],[Date of Call]])+1)</f>
        <v>2023</v>
      </c>
      <c r="J431" t="str">
        <f>TEXT(Calls[[#This Row],[Date of Call]],"DDDD")</f>
        <v>Friday</v>
      </c>
      <c r="K431" t="str" cm="1">
        <f t="array" ref="K431">_xlfn.IFS(Calls[[#This Row],[Duration]]&lt;10,"Under 10 Mins",Calls[[#This Row],[Duration]]&lt;=30,"10 - 30 Mins",Calls[[#This Row],[Duration]]&lt;=60,"30 - 60 Mins",Calls[[#This Row],[Duration]]&lt;=120,"1 - 2 Hours",TRUE,"More than 2  Hours")</f>
        <v>More than 2  Hours</v>
      </c>
      <c r="L431">
        <f>ROUND(Calls[[#This Row],[Satisfaction Rating]],0)</f>
        <v>3</v>
      </c>
    </row>
    <row r="432" spans="2:12" x14ac:dyDescent="0.3">
      <c r="B432" s="22" t="s">
        <v>454</v>
      </c>
      <c r="C432" s="4" t="s">
        <v>7</v>
      </c>
      <c r="D432" s="4">
        <v>36</v>
      </c>
      <c r="E432" s="5" t="s">
        <v>9</v>
      </c>
      <c r="F432" s="9">
        <v>45044</v>
      </c>
      <c r="G432" s="4">
        <v>225</v>
      </c>
      <c r="H432" s="23">
        <v>4.8</v>
      </c>
      <c r="I432">
        <f>IF(MONTH(Calls[[#This Row],[Date of Call]])&lt;6,YEAR(Calls[[#This Row],[Date of Call]]),YEAR(Calls[[#This Row],[Date of Call]])+1)</f>
        <v>2023</v>
      </c>
      <c r="J432" t="str">
        <f>TEXT(Calls[[#This Row],[Date of Call]],"DDDD")</f>
        <v>Friday</v>
      </c>
      <c r="K432" t="str" cm="1">
        <f t="array" ref="K432">_xlfn.IFS(Calls[[#This Row],[Duration]]&lt;10,"Under 10 Mins",Calls[[#This Row],[Duration]]&lt;=30,"10 - 30 Mins",Calls[[#This Row],[Duration]]&lt;=60,"30 - 60 Mins",Calls[[#This Row],[Duration]]&lt;=120,"1 - 2 Hours",TRUE,"More than 2  Hours")</f>
        <v>30 - 60 Mins</v>
      </c>
      <c r="L432">
        <f>ROUND(Calls[[#This Row],[Satisfaction Rating]],0)</f>
        <v>5</v>
      </c>
    </row>
    <row r="433" spans="2:12" x14ac:dyDescent="0.3">
      <c r="B433" s="22" t="s">
        <v>455</v>
      </c>
      <c r="C433" s="4" t="s">
        <v>24</v>
      </c>
      <c r="D433" s="4">
        <v>135</v>
      </c>
      <c r="E433" s="5" t="s">
        <v>6</v>
      </c>
      <c r="F433" s="9">
        <v>45045</v>
      </c>
      <c r="G433" s="4">
        <v>125</v>
      </c>
      <c r="H433" s="23">
        <v>3.3</v>
      </c>
      <c r="I433">
        <f>IF(MONTH(Calls[[#This Row],[Date of Call]])&lt;6,YEAR(Calls[[#This Row],[Date of Call]]),YEAR(Calls[[#This Row],[Date of Call]])+1)</f>
        <v>2023</v>
      </c>
      <c r="J433" t="str">
        <f>TEXT(Calls[[#This Row],[Date of Call]],"DDDD")</f>
        <v>Saturday</v>
      </c>
      <c r="K433" t="str" cm="1">
        <f t="array" ref="K433">_xlfn.IFS(Calls[[#This Row],[Duration]]&lt;10,"Under 10 Mins",Calls[[#This Row],[Duration]]&lt;=30,"10 - 30 Mins",Calls[[#This Row],[Duration]]&lt;=60,"30 - 60 Mins",Calls[[#This Row],[Duration]]&lt;=120,"1 - 2 Hours",TRUE,"More than 2  Hours")</f>
        <v>More than 2  Hours</v>
      </c>
      <c r="L433">
        <f>ROUND(Calls[[#This Row],[Satisfaction Rating]],0)</f>
        <v>3</v>
      </c>
    </row>
    <row r="434" spans="2:12" x14ac:dyDescent="0.3">
      <c r="B434" s="22" t="s">
        <v>456</v>
      </c>
      <c r="C434" s="4" t="s">
        <v>15</v>
      </c>
      <c r="D434" s="4">
        <v>81</v>
      </c>
      <c r="E434" s="5" t="s">
        <v>9</v>
      </c>
      <c r="F434" s="9">
        <v>45045</v>
      </c>
      <c r="G434" s="4">
        <v>78</v>
      </c>
      <c r="H434" s="23">
        <v>2.9</v>
      </c>
      <c r="I434">
        <f>IF(MONTH(Calls[[#This Row],[Date of Call]])&lt;6,YEAR(Calls[[#This Row],[Date of Call]]),YEAR(Calls[[#This Row],[Date of Call]])+1)</f>
        <v>2023</v>
      </c>
      <c r="J434" t="str">
        <f>TEXT(Calls[[#This Row],[Date of Call]],"DDDD")</f>
        <v>Saturday</v>
      </c>
      <c r="K434" t="str" cm="1">
        <f t="array" ref="K434">_xlfn.IFS(Calls[[#This Row],[Duration]]&lt;10,"Under 10 Mins",Calls[[#This Row],[Duration]]&lt;=30,"10 - 30 Mins",Calls[[#This Row],[Duration]]&lt;=60,"30 - 60 Mins",Calls[[#This Row],[Duration]]&lt;=120,"1 - 2 Hours",TRUE,"More than 2  Hours")</f>
        <v>1 - 2 Hours</v>
      </c>
      <c r="L434">
        <f>ROUND(Calls[[#This Row],[Satisfaction Rating]],0)</f>
        <v>3</v>
      </c>
    </row>
    <row r="435" spans="2:12" x14ac:dyDescent="0.3">
      <c r="B435" s="22" t="s">
        <v>457</v>
      </c>
      <c r="C435" s="4" t="s">
        <v>15</v>
      </c>
      <c r="D435" s="4">
        <v>81</v>
      </c>
      <c r="E435" s="5" t="s">
        <v>13</v>
      </c>
      <c r="F435" s="9">
        <v>45045</v>
      </c>
      <c r="G435" s="4">
        <v>40</v>
      </c>
      <c r="H435" s="23">
        <v>2.4</v>
      </c>
      <c r="I435">
        <f>IF(MONTH(Calls[[#This Row],[Date of Call]])&lt;6,YEAR(Calls[[#This Row],[Date of Call]]),YEAR(Calls[[#This Row],[Date of Call]])+1)</f>
        <v>2023</v>
      </c>
      <c r="J435" t="str">
        <f>TEXT(Calls[[#This Row],[Date of Call]],"DDDD")</f>
        <v>Saturday</v>
      </c>
      <c r="K435" t="str" cm="1">
        <f t="array" ref="K435">_xlfn.IFS(Calls[[#This Row],[Duration]]&lt;10,"Under 10 Mins",Calls[[#This Row],[Duration]]&lt;=30,"10 - 30 Mins",Calls[[#This Row],[Duration]]&lt;=60,"30 - 60 Mins",Calls[[#This Row],[Duration]]&lt;=120,"1 - 2 Hours",TRUE,"More than 2  Hours")</f>
        <v>1 - 2 Hours</v>
      </c>
      <c r="L435">
        <f>ROUND(Calls[[#This Row],[Satisfaction Rating]],0)</f>
        <v>2</v>
      </c>
    </row>
    <row r="436" spans="2:12" x14ac:dyDescent="0.3">
      <c r="B436" s="22" t="s">
        <v>458</v>
      </c>
      <c r="C436" s="4" t="s">
        <v>22</v>
      </c>
      <c r="D436" s="4">
        <v>93</v>
      </c>
      <c r="E436" s="5" t="s">
        <v>11</v>
      </c>
      <c r="F436" s="9">
        <v>45045</v>
      </c>
      <c r="G436" s="4">
        <v>150</v>
      </c>
      <c r="H436" s="23">
        <v>4.5999999999999996</v>
      </c>
      <c r="I436">
        <f>IF(MONTH(Calls[[#This Row],[Date of Call]])&lt;6,YEAR(Calls[[#This Row],[Date of Call]]),YEAR(Calls[[#This Row],[Date of Call]])+1)</f>
        <v>2023</v>
      </c>
      <c r="J436" t="str">
        <f>TEXT(Calls[[#This Row],[Date of Call]],"DDDD")</f>
        <v>Saturday</v>
      </c>
      <c r="K436" t="str" cm="1">
        <f t="array" ref="K436">_xlfn.IFS(Calls[[#This Row],[Duration]]&lt;10,"Under 10 Mins",Calls[[#This Row],[Duration]]&lt;=30,"10 - 30 Mins",Calls[[#This Row],[Duration]]&lt;=60,"30 - 60 Mins",Calls[[#This Row],[Duration]]&lt;=120,"1 - 2 Hours",TRUE,"More than 2  Hours")</f>
        <v>1 - 2 Hours</v>
      </c>
      <c r="L436">
        <f>ROUND(Calls[[#This Row],[Satisfaction Rating]],0)</f>
        <v>5</v>
      </c>
    </row>
    <row r="437" spans="2:12" x14ac:dyDescent="0.3">
      <c r="B437" s="22" t="s">
        <v>459</v>
      </c>
      <c r="C437" s="4" t="s">
        <v>23</v>
      </c>
      <c r="D437" s="4">
        <v>14</v>
      </c>
      <c r="E437" s="5" t="s">
        <v>9</v>
      </c>
      <c r="F437" s="9">
        <v>45045</v>
      </c>
      <c r="G437" s="4">
        <v>96</v>
      </c>
      <c r="H437" s="23">
        <v>4.8</v>
      </c>
      <c r="I437">
        <f>IF(MONTH(Calls[[#This Row],[Date of Call]])&lt;6,YEAR(Calls[[#This Row],[Date of Call]]),YEAR(Calls[[#This Row],[Date of Call]])+1)</f>
        <v>2023</v>
      </c>
      <c r="J437" t="str">
        <f>TEXT(Calls[[#This Row],[Date of Call]],"DDDD")</f>
        <v>Saturday</v>
      </c>
      <c r="K437" t="str" cm="1">
        <f t="array" ref="K437">_xlfn.IFS(Calls[[#This Row],[Duration]]&lt;10,"Under 10 Mins",Calls[[#This Row],[Duration]]&lt;=30,"10 - 30 Mins",Calls[[#This Row],[Duration]]&lt;=60,"30 - 60 Mins",Calls[[#This Row],[Duration]]&lt;=120,"1 - 2 Hours",TRUE,"More than 2  Hours")</f>
        <v>10 - 30 Mins</v>
      </c>
      <c r="L437">
        <f>ROUND(Calls[[#This Row],[Satisfaction Rating]],0)</f>
        <v>5</v>
      </c>
    </row>
    <row r="438" spans="2:12" x14ac:dyDescent="0.3">
      <c r="B438" s="22" t="s">
        <v>460</v>
      </c>
      <c r="C438" s="4" t="s">
        <v>24</v>
      </c>
      <c r="D438" s="4">
        <v>95</v>
      </c>
      <c r="E438" s="5" t="s">
        <v>13</v>
      </c>
      <c r="F438" s="9">
        <v>45046</v>
      </c>
      <c r="G438" s="4">
        <v>75</v>
      </c>
      <c r="H438" s="23">
        <v>4.8</v>
      </c>
      <c r="I438">
        <f>IF(MONTH(Calls[[#This Row],[Date of Call]])&lt;6,YEAR(Calls[[#This Row],[Date of Call]]),YEAR(Calls[[#This Row],[Date of Call]])+1)</f>
        <v>2023</v>
      </c>
      <c r="J438" t="str">
        <f>TEXT(Calls[[#This Row],[Date of Call]],"DDDD")</f>
        <v>Sunday</v>
      </c>
      <c r="K438" t="str" cm="1">
        <f t="array" ref="K438">_xlfn.IFS(Calls[[#This Row],[Duration]]&lt;10,"Under 10 Mins",Calls[[#This Row],[Duration]]&lt;=30,"10 - 30 Mins",Calls[[#This Row],[Duration]]&lt;=60,"30 - 60 Mins",Calls[[#This Row],[Duration]]&lt;=120,"1 - 2 Hours",TRUE,"More than 2  Hours")</f>
        <v>1 - 2 Hours</v>
      </c>
      <c r="L438">
        <f>ROUND(Calls[[#This Row],[Satisfaction Rating]],0)</f>
        <v>5</v>
      </c>
    </row>
    <row r="439" spans="2:12" x14ac:dyDescent="0.3">
      <c r="B439" s="22" t="s">
        <v>461</v>
      </c>
      <c r="C439" s="4" t="s">
        <v>22</v>
      </c>
      <c r="D439" s="4">
        <v>81</v>
      </c>
      <c r="E439" s="5" t="s">
        <v>13</v>
      </c>
      <c r="F439" s="9">
        <v>45046</v>
      </c>
      <c r="G439" s="4">
        <v>60</v>
      </c>
      <c r="H439" s="23">
        <v>3.6</v>
      </c>
      <c r="I439">
        <f>IF(MONTH(Calls[[#This Row],[Date of Call]])&lt;6,YEAR(Calls[[#This Row],[Date of Call]]),YEAR(Calls[[#This Row],[Date of Call]])+1)</f>
        <v>2023</v>
      </c>
      <c r="J439" t="str">
        <f>TEXT(Calls[[#This Row],[Date of Call]],"DDDD")</f>
        <v>Sunday</v>
      </c>
      <c r="K439" t="str" cm="1">
        <f t="array" ref="K439">_xlfn.IFS(Calls[[#This Row],[Duration]]&lt;10,"Under 10 Mins",Calls[[#This Row],[Duration]]&lt;=30,"10 - 30 Mins",Calls[[#This Row],[Duration]]&lt;=60,"30 - 60 Mins",Calls[[#This Row],[Duration]]&lt;=120,"1 - 2 Hours",TRUE,"More than 2  Hours")</f>
        <v>1 - 2 Hours</v>
      </c>
      <c r="L439">
        <f>ROUND(Calls[[#This Row],[Satisfaction Rating]],0)</f>
        <v>4</v>
      </c>
    </row>
    <row r="440" spans="2:12" x14ac:dyDescent="0.3">
      <c r="B440" s="22" t="s">
        <v>462</v>
      </c>
      <c r="C440" s="4" t="s">
        <v>5</v>
      </c>
      <c r="D440" s="4">
        <v>60</v>
      </c>
      <c r="E440" s="5" t="s">
        <v>9</v>
      </c>
      <c r="F440" s="9">
        <v>45047</v>
      </c>
      <c r="G440" s="4">
        <v>41</v>
      </c>
      <c r="H440" s="23">
        <v>4.8</v>
      </c>
      <c r="I440">
        <f>IF(MONTH(Calls[[#This Row],[Date of Call]])&lt;6,YEAR(Calls[[#This Row],[Date of Call]]),YEAR(Calls[[#This Row],[Date of Call]])+1)</f>
        <v>2023</v>
      </c>
      <c r="J440" t="str">
        <f>TEXT(Calls[[#This Row],[Date of Call]],"DDDD")</f>
        <v>Monday</v>
      </c>
      <c r="K440" t="str" cm="1">
        <f t="array" ref="K440">_xlfn.IFS(Calls[[#This Row],[Duration]]&lt;10,"Under 10 Mins",Calls[[#This Row],[Duration]]&lt;=30,"10 - 30 Mins",Calls[[#This Row],[Duration]]&lt;=60,"30 - 60 Mins",Calls[[#This Row],[Duration]]&lt;=120,"1 - 2 Hours",TRUE,"More than 2  Hours")</f>
        <v>30 - 60 Mins</v>
      </c>
      <c r="L440">
        <f>ROUND(Calls[[#This Row],[Satisfaction Rating]],0)</f>
        <v>5</v>
      </c>
    </row>
    <row r="441" spans="2:12" x14ac:dyDescent="0.3">
      <c r="B441" s="22" t="s">
        <v>463</v>
      </c>
      <c r="C441" s="4" t="s">
        <v>14</v>
      </c>
      <c r="D441" s="4">
        <v>137</v>
      </c>
      <c r="E441" s="5" t="s">
        <v>11</v>
      </c>
      <c r="F441" s="9">
        <v>45047</v>
      </c>
      <c r="G441" s="4">
        <v>20</v>
      </c>
      <c r="H441" s="23">
        <v>4.2</v>
      </c>
      <c r="I441">
        <f>IF(MONTH(Calls[[#This Row],[Date of Call]])&lt;6,YEAR(Calls[[#This Row],[Date of Call]]),YEAR(Calls[[#This Row],[Date of Call]])+1)</f>
        <v>2023</v>
      </c>
      <c r="J441" t="str">
        <f>TEXT(Calls[[#This Row],[Date of Call]],"DDDD")</f>
        <v>Monday</v>
      </c>
      <c r="K441" t="str" cm="1">
        <f t="array" ref="K441">_xlfn.IFS(Calls[[#This Row],[Duration]]&lt;10,"Under 10 Mins",Calls[[#This Row],[Duration]]&lt;=30,"10 - 30 Mins",Calls[[#This Row],[Duration]]&lt;=60,"30 - 60 Mins",Calls[[#This Row],[Duration]]&lt;=120,"1 - 2 Hours",TRUE,"More than 2  Hours")</f>
        <v>More than 2  Hours</v>
      </c>
      <c r="L441">
        <f>ROUND(Calls[[#This Row],[Satisfaction Rating]],0)</f>
        <v>4</v>
      </c>
    </row>
    <row r="442" spans="2:12" x14ac:dyDescent="0.3">
      <c r="B442" s="22" t="s">
        <v>464</v>
      </c>
      <c r="C442" s="4" t="s">
        <v>12</v>
      </c>
      <c r="D442" s="4">
        <v>112</v>
      </c>
      <c r="E442" s="5" t="s">
        <v>6</v>
      </c>
      <c r="F442" s="9">
        <v>45047</v>
      </c>
      <c r="G442" s="4">
        <v>84</v>
      </c>
      <c r="H442" s="23">
        <v>2.6</v>
      </c>
      <c r="I442">
        <f>IF(MONTH(Calls[[#This Row],[Date of Call]])&lt;6,YEAR(Calls[[#This Row],[Date of Call]]),YEAR(Calls[[#This Row],[Date of Call]])+1)</f>
        <v>2023</v>
      </c>
      <c r="J442" t="str">
        <f>TEXT(Calls[[#This Row],[Date of Call]],"DDDD")</f>
        <v>Monday</v>
      </c>
      <c r="K442" t="str" cm="1">
        <f t="array" ref="K442">_xlfn.IFS(Calls[[#This Row],[Duration]]&lt;10,"Under 10 Mins",Calls[[#This Row],[Duration]]&lt;=30,"10 - 30 Mins",Calls[[#This Row],[Duration]]&lt;=60,"30 - 60 Mins",Calls[[#This Row],[Duration]]&lt;=120,"1 - 2 Hours",TRUE,"More than 2  Hours")</f>
        <v>1 - 2 Hours</v>
      </c>
      <c r="L442">
        <f>ROUND(Calls[[#This Row],[Satisfaction Rating]],0)</f>
        <v>3</v>
      </c>
    </row>
    <row r="443" spans="2:12" x14ac:dyDescent="0.3">
      <c r="B443" s="22" t="s">
        <v>465</v>
      </c>
      <c r="C443" s="4" t="s">
        <v>24</v>
      </c>
      <c r="D443" s="4">
        <v>76</v>
      </c>
      <c r="E443" s="5" t="s">
        <v>10</v>
      </c>
      <c r="F443" s="9">
        <v>45047</v>
      </c>
      <c r="G443" s="4">
        <v>140</v>
      </c>
      <c r="H443" s="23">
        <v>3.7</v>
      </c>
      <c r="I443">
        <f>IF(MONTH(Calls[[#This Row],[Date of Call]])&lt;6,YEAR(Calls[[#This Row],[Date of Call]]),YEAR(Calls[[#This Row],[Date of Call]])+1)</f>
        <v>2023</v>
      </c>
      <c r="J443" t="str">
        <f>TEXT(Calls[[#This Row],[Date of Call]],"DDDD")</f>
        <v>Monday</v>
      </c>
      <c r="K443" t="str" cm="1">
        <f t="array" ref="K443">_xlfn.IFS(Calls[[#This Row],[Duration]]&lt;10,"Under 10 Mins",Calls[[#This Row],[Duration]]&lt;=30,"10 - 30 Mins",Calls[[#This Row],[Duration]]&lt;=60,"30 - 60 Mins",Calls[[#This Row],[Duration]]&lt;=120,"1 - 2 Hours",TRUE,"More than 2  Hours")</f>
        <v>1 - 2 Hours</v>
      </c>
      <c r="L443">
        <f>ROUND(Calls[[#This Row],[Satisfaction Rating]],0)</f>
        <v>4</v>
      </c>
    </row>
    <row r="444" spans="2:12" x14ac:dyDescent="0.3">
      <c r="B444" s="22" t="s">
        <v>466</v>
      </c>
      <c r="C444" s="4" t="s">
        <v>19</v>
      </c>
      <c r="D444" s="4">
        <v>73</v>
      </c>
      <c r="E444" s="5" t="s">
        <v>9</v>
      </c>
      <c r="F444" s="9">
        <v>45047</v>
      </c>
      <c r="G444" s="4">
        <v>66</v>
      </c>
      <c r="H444" s="23">
        <v>4.8</v>
      </c>
      <c r="I444">
        <f>IF(MONTH(Calls[[#This Row],[Date of Call]])&lt;6,YEAR(Calls[[#This Row],[Date of Call]]),YEAR(Calls[[#This Row],[Date of Call]])+1)</f>
        <v>2023</v>
      </c>
      <c r="J444" t="str">
        <f>TEXT(Calls[[#This Row],[Date of Call]],"DDDD")</f>
        <v>Monday</v>
      </c>
      <c r="K444" t="str" cm="1">
        <f t="array" ref="K444">_xlfn.IFS(Calls[[#This Row],[Duration]]&lt;10,"Under 10 Mins",Calls[[#This Row],[Duration]]&lt;=30,"10 - 30 Mins",Calls[[#This Row],[Duration]]&lt;=60,"30 - 60 Mins",Calls[[#This Row],[Duration]]&lt;=120,"1 - 2 Hours",TRUE,"More than 2  Hours")</f>
        <v>1 - 2 Hours</v>
      </c>
      <c r="L444">
        <f>ROUND(Calls[[#This Row],[Satisfaction Rating]],0)</f>
        <v>5</v>
      </c>
    </row>
    <row r="445" spans="2:12" x14ac:dyDescent="0.3">
      <c r="B445" s="22" t="s">
        <v>467</v>
      </c>
      <c r="C445" s="4" t="s">
        <v>18</v>
      </c>
      <c r="D445" s="4">
        <v>119</v>
      </c>
      <c r="E445" s="5" t="s">
        <v>11</v>
      </c>
      <c r="F445" s="9">
        <v>45047</v>
      </c>
      <c r="G445" s="4">
        <v>105</v>
      </c>
      <c r="H445" s="23">
        <v>4.7</v>
      </c>
      <c r="I445">
        <f>IF(MONTH(Calls[[#This Row],[Date of Call]])&lt;6,YEAR(Calls[[#This Row],[Date of Call]]),YEAR(Calls[[#This Row],[Date of Call]])+1)</f>
        <v>2023</v>
      </c>
      <c r="J445" t="str">
        <f>TEXT(Calls[[#This Row],[Date of Call]],"DDDD")</f>
        <v>Monday</v>
      </c>
      <c r="K445" t="str" cm="1">
        <f t="array" ref="K445">_xlfn.IFS(Calls[[#This Row],[Duration]]&lt;10,"Under 10 Mins",Calls[[#This Row],[Duration]]&lt;=30,"10 - 30 Mins",Calls[[#This Row],[Duration]]&lt;=60,"30 - 60 Mins",Calls[[#This Row],[Duration]]&lt;=120,"1 - 2 Hours",TRUE,"More than 2  Hours")</f>
        <v>1 - 2 Hours</v>
      </c>
      <c r="L445">
        <f>ROUND(Calls[[#This Row],[Satisfaction Rating]],0)</f>
        <v>5</v>
      </c>
    </row>
    <row r="446" spans="2:12" x14ac:dyDescent="0.3">
      <c r="B446" s="22" t="s">
        <v>468</v>
      </c>
      <c r="C446" s="4" t="s">
        <v>20</v>
      </c>
      <c r="D446" s="4">
        <v>135</v>
      </c>
      <c r="E446" s="5" t="s">
        <v>13</v>
      </c>
      <c r="F446" s="9">
        <v>45048</v>
      </c>
      <c r="G446" s="4">
        <v>104</v>
      </c>
      <c r="H446" s="23">
        <v>4.0999999999999996</v>
      </c>
      <c r="I446">
        <f>IF(MONTH(Calls[[#This Row],[Date of Call]])&lt;6,YEAR(Calls[[#This Row],[Date of Call]]),YEAR(Calls[[#This Row],[Date of Call]])+1)</f>
        <v>2023</v>
      </c>
      <c r="J446" t="str">
        <f>TEXT(Calls[[#This Row],[Date of Call]],"DDDD")</f>
        <v>Tuesday</v>
      </c>
      <c r="K446" t="str" cm="1">
        <f t="array" ref="K446">_xlfn.IFS(Calls[[#This Row],[Duration]]&lt;10,"Under 10 Mins",Calls[[#This Row],[Duration]]&lt;=30,"10 - 30 Mins",Calls[[#This Row],[Duration]]&lt;=60,"30 - 60 Mins",Calls[[#This Row],[Duration]]&lt;=120,"1 - 2 Hours",TRUE,"More than 2  Hours")</f>
        <v>More than 2  Hours</v>
      </c>
      <c r="L446">
        <f>ROUND(Calls[[#This Row],[Satisfaction Rating]],0)</f>
        <v>4</v>
      </c>
    </row>
    <row r="447" spans="2:12" x14ac:dyDescent="0.3">
      <c r="B447" s="22" t="s">
        <v>469</v>
      </c>
      <c r="C447" s="4" t="s">
        <v>14</v>
      </c>
      <c r="D447" s="4">
        <v>41</v>
      </c>
      <c r="E447" s="5" t="s">
        <v>6</v>
      </c>
      <c r="F447" s="9">
        <v>45048</v>
      </c>
      <c r="G447" s="4">
        <v>123</v>
      </c>
      <c r="H447" s="23">
        <v>3.2</v>
      </c>
      <c r="I447">
        <f>IF(MONTH(Calls[[#This Row],[Date of Call]])&lt;6,YEAR(Calls[[#This Row],[Date of Call]]),YEAR(Calls[[#This Row],[Date of Call]])+1)</f>
        <v>2023</v>
      </c>
      <c r="J447" t="str">
        <f>TEXT(Calls[[#This Row],[Date of Call]],"DDDD")</f>
        <v>Tuesday</v>
      </c>
      <c r="K447" t="str" cm="1">
        <f t="array" ref="K447">_xlfn.IFS(Calls[[#This Row],[Duration]]&lt;10,"Under 10 Mins",Calls[[#This Row],[Duration]]&lt;=30,"10 - 30 Mins",Calls[[#This Row],[Duration]]&lt;=60,"30 - 60 Mins",Calls[[#This Row],[Duration]]&lt;=120,"1 - 2 Hours",TRUE,"More than 2  Hours")</f>
        <v>30 - 60 Mins</v>
      </c>
      <c r="L447">
        <f>ROUND(Calls[[#This Row],[Satisfaction Rating]],0)</f>
        <v>3</v>
      </c>
    </row>
    <row r="448" spans="2:12" x14ac:dyDescent="0.3">
      <c r="B448" s="22" t="s">
        <v>470</v>
      </c>
      <c r="C448" s="4" t="s">
        <v>23</v>
      </c>
      <c r="D448" s="4">
        <v>35</v>
      </c>
      <c r="E448" s="5" t="s">
        <v>13</v>
      </c>
      <c r="F448" s="9">
        <v>45049</v>
      </c>
      <c r="G448" s="4">
        <v>215</v>
      </c>
      <c r="H448" s="23">
        <v>4.3</v>
      </c>
      <c r="I448">
        <f>IF(MONTH(Calls[[#This Row],[Date of Call]])&lt;6,YEAR(Calls[[#This Row],[Date of Call]]),YEAR(Calls[[#This Row],[Date of Call]])+1)</f>
        <v>2023</v>
      </c>
      <c r="J448" t="str">
        <f>TEXT(Calls[[#This Row],[Date of Call]],"DDDD")</f>
        <v>Wednesday</v>
      </c>
      <c r="K448" t="str" cm="1">
        <f t="array" ref="K448">_xlfn.IFS(Calls[[#This Row],[Duration]]&lt;10,"Under 10 Mins",Calls[[#This Row],[Duration]]&lt;=30,"10 - 30 Mins",Calls[[#This Row],[Duration]]&lt;=60,"30 - 60 Mins",Calls[[#This Row],[Duration]]&lt;=120,"1 - 2 Hours",TRUE,"More than 2  Hours")</f>
        <v>30 - 60 Mins</v>
      </c>
      <c r="L448">
        <f>ROUND(Calls[[#This Row],[Satisfaction Rating]],0)</f>
        <v>4</v>
      </c>
    </row>
    <row r="449" spans="2:12" x14ac:dyDescent="0.3">
      <c r="B449" s="22" t="s">
        <v>471</v>
      </c>
      <c r="C449" s="4" t="s">
        <v>20</v>
      </c>
      <c r="D449" s="4">
        <v>96</v>
      </c>
      <c r="E449" s="5" t="s">
        <v>9</v>
      </c>
      <c r="F449" s="9">
        <v>45049</v>
      </c>
      <c r="G449" s="4">
        <v>46</v>
      </c>
      <c r="H449" s="23">
        <v>0.7</v>
      </c>
      <c r="I449">
        <f>IF(MONTH(Calls[[#This Row],[Date of Call]])&lt;6,YEAR(Calls[[#This Row],[Date of Call]]),YEAR(Calls[[#This Row],[Date of Call]])+1)</f>
        <v>2023</v>
      </c>
      <c r="J449" t="str">
        <f>TEXT(Calls[[#This Row],[Date of Call]],"DDDD")</f>
        <v>Wednesday</v>
      </c>
      <c r="K449" t="str" cm="1">
        <f t="array" ref="K449">_xlfn.IFS(Calls[[#This Row],[Duration]]&lt;10,"Under 10 Mins",Calls[[#This Row],[Duration]]&lt;=30,"10 - 30 Mins",Calls[[#This Row],[Duration]]&lt;=60,"30 - 60 Mins",Calls[[#This Row],[Duration]]&lt;=120,"1 - 2 Hours",TRUE,"More than 2  Hours")</f>
        <v>1 - 2 Hours</v>
      </c>
      <c r="L449">
        <f>ROUND(Calls[[#This Row],[Satisfaction Rating]],0)</f>
        <v>1</v>
      </c>
    </row>
    <row r="450" spans="2:12" x14ac:dyDescent="0.3">
      <c r="B450" s="22" t="s">
        <v>472</v>
      </c>
      <c r="C450" s="4" t="s">
        <v>22</v>
      </c>
      <c r="D450" s="4">
        <v>61</v>
      </c>
      <c r="E450" s="5" t="s">
        <v>6</v>
      </c>
      <c r="F450" s="9">
        <v>45049</v>
      </c>
      <c r="G450" s="4">
        <v>115</v>
      </c>
      <c r="H450" s="23">
        <v>3.7</v>
      </c>
      <c r="I450">
        <f>IF(MONTH(Calls[[#This Row],[Date of Call]])&lt;6,YEAR(Calls[[#This Row],[Date of Call]]),YEAR(Calls[[#This Row],[Date of Call]])+1)</f>
        <v>2023</v>
      </c>
      <c r="J450" t="str">
        <f>TEXT(Calls[[#This Row],[Date of Call]],"DDDD")</f>
        <v>Wednesday</v>
      </c>
      <c r="K450" t="str" cm="1">
        <f t="array" ref="K450">_xlfn.IFS(Calls[[#This Row],[Duration]]&lt;10,"Under 10 Mins",Calls[[#This Row],[Duration]]&lt;=30,"10 - 30 Mins",Calls[[#This Row],[Duration]]&lt;=60,"30 - 60 Mins",Calls[[#This Row],[Duration]]&lt;=120,"1 - 2 Hours",TRUE,"More than 2  Hours")</f>
        <v>1 - 2 Hours</v>
      </c>
      <c r="L450">
        <f>ROUND(Calls[[#This Row],[Satisfaction Rating]],0)</f>
        <v>4</v>
      </c>
    </row>
    <row r="451" spans="2:12" x14ac:dyDescent="0.3">
      <c r="B451" s="22" t="s">
        <v>473</v>
      </c>
      <c r="C451" s="4" t="s">
        <v>20</v>
      </c>
      <c r="D451" s="4">
        <v>91</v>
      </c>
      <c r="E451" s="5" t="s">
        <v>6</v>
      </c>
      <c r="F451" s="9">
        <v>45049</v>
      </c>
      <c r="G451" s="4">
        <v>124</v>
      </c>
      <c r="H451" s="23">
        <v>3.9</v>
      </c>
      <c r="I451">
        <f>IF(MONTH(Calls[[#This Row],[Date of Call]])&lt;6,YEAR(Calls[[#This Row],[Date of Call]]),YEAR(Calls[[#This Row],[Date of Call]])+1)</f>
        <v>2023</v>
      </c>
      <c r="J451" t="str">
        <f>TEXT(Calls[[#This Row],[Date of Call]],"DDDD")</f>
        <v>Wednesday</v>
      </c>
      <c r="K451" t="str" cm="1">
        <f t="array" ref="K451">_xlfn.IFS(Calls[[#This Row],[Duration]]&lt;10,"Under 10 Mins",Calls[[#This Row],[Duration]]&lt;=30,"10 - 30 Mins",Calls[[#This Row],[Duration]]&lt;=60,"30 - 60 Mins",Calls[[#This Row],[Duration]]&lt;=120,"1 - 2 Hours",TRUE,"More than 2  Hours")</f>
        <v>1 - 2 Hours</v>
      </c>
      <c r="L451">
        <f>ROUND(Calls[[#This Row],[Satisfaction Rating]],0)</f>
        <v>4</v>
      </c>
    </row>
    <row r="452" spans="2:12" x14ac:dyDescent="0.3">
      <c r="B452" s="22" t="s">
        <v>474</v>
      </c>
      <c r="C452" s="4" t="s">
        <v>17</v>
      </c>
      <c r="D452" s="4">
        <v>30</v>
      </c>
      <c r="E452" s="5" t="s">
        <v>6</v>
      </c>
      <c r="F452" s="9">
        <v>45050</v>
      </c>
      <c r="G452" s="4">
        <v>205</v>
      </c>
      <c r="H452" s="23">
        <v>4.5</v>
      </c>
      <c r="I452">
        <f>IF(MONTH(Calls[[#This Row],[Date of Call]])&lt;6,YEAR(Calls[[#This Row],[Date of Call]]),YEAR(Calls[[#This Row],[Date of Call]])+1)</f>
        <v>2023</v>
      </c>
      <c r="J452" t="str">
        <f>TEXT(Calls[[#This Row],[Date of Call]],"DDDD")</f>
        <v>Thursday</v>
      </c>
      <c r="K452" t="str" cm="1">
        <f t="array" ref="K452">_xlfn.IFS(Calls[[#This Row],[Duration]]&lt;10,"Under 10 Mins",Calls[[#This Row],[Duration]]&lt;=30,"10 - 30 Mins",Calls[[#This Row],[Duration]]&lt;=60,"30 - 60 Mins",Calls[[#This Row],[Duration]]&lt;=120,"1 - 2 Hours",TRUE,"More than 2  Hours")</f>
        <v>10 - 30 Mins</v>
      </c>
      <c r="L452">
        <f>ROUND(Calls[[#This Row],[Satisfaction Rating]],0)</f>
        <v>5</v>
      </c>
    </row>
    <row r="453" spans="2:12" x14ac:dyDescent="0.3">
      <c r="B453" s="22" t="s">
        <v>475</v>
      </c>
      <c r="C453" s="4" t="s">
        <v>5</v>
      </c>
      <c r="D453" s="4">
        <v>111</v>
      </c>
      <c r="E453" s="5" t="s">
        <v>11</v>
      </c>
      <c r="F453" s="9">
        <v>45050</v>
      </c>
      <c r="G453" s="4">
        <v>90</v>
      </c>
      <c r="H453" s="23">
        <v>2.8</v>
      </c>
      <c r="I453">
        <f>IF(MONTH(Calls[[#This Row],[Date of Call]])&lt;6,YEAR(Calls[[#This Row],[Date of Call]]),YEAR(Calls[[#This Row],[Date of Call]])+1)</f>
        <v>2023</v>
      </c>
      <c r="J453" t="str">
        <f>TEXT(Calls[[#This Row],[Date of Call]],"DDDD")</f>
        <v>Thursday</v>
      </c>
      <c r="K453" t="str" cm="1">
        <f t="array" ref="K453">_xlfn.IFS(Calls[[#This Row],[Duration]]&lt;10,"Under 10 Mins",Calls[[#This Row],[Duration]]&lt;=30,"10 - 30 Mins",Calls[[#This Row],[Duration]]&lt;=60,"30 - 60 Mins",Calls[[#This Row],[Duration]]&lt;=120,"1 - 2 Hours",TRUE,"More than 2  Hours")</f>
        <v>1 - 2 Hours</v>
      </c>
      <c r="L453">
        <f>ROUND(Calls[[#This Row],[Satisfaction Rating]],0)</f>
        <v>3</v>
      </c>
    </row>
    <row r="454" spans="2:12" x14ac:dyDescent="0.3">
      <c r="B454" s="22" t="s">
        <v>476</v>
      </c>
      <c r="C454" s="4" t="s">
        <v>22</v>
      </c>
      <c r="D454" s="4">
        <v>81</v>
      </c>
      <c r="E454" s="5" t="s">
        <v>9</v>
      </c>
      <c r="F454" s="9">
        <v>45050</v>
      </c>
      <c r="G454" s="4">
        <v>92</v>
      </c>
      <c r="H454" s="23">
        <v>4.9000000000000004</v>
      </c>
      <c r="I454">
        <f>IF(MONTH(Calls[[#This Row],[Date of Call]])&lt;6,YEAR(Calls[[#This Row],[Date of Call]]),YEAR(Calls[[#This Row],[Date of Call]])+1)</f>
        <v>2023</v>
      </c>
      <c r="J454" t="str">
        <f>TEXT(Calls[[#This Row],[Date of Call]],"DDDD")</f>
        <v>Thursday</v>
      </c>
      <c r="K454" t="str" cm="1">
        <f t="array" ref="K454">_xlfn.IFS(Calls[[#This Row],[Duration]]&lt;10,"Under 10 Mins",Calls[[#This Row],[Duration]]&lt;=30,"10 - 30 Mins",Calls[[#This Row],[Duration]]&lt;=60,"30 - 60 Mins",Calls[[#This Row],[Duration]]&lt;=120,"1 - 2 Hours",TRUE,"More than 2  Hours")</f>
        <v>1 - 2 Hours</v>
      </c>
      <c r="L454">
        <f>ROUND(Calls[[#This Row],[Satisfaction Rating]],0)</f>
        <v>5</v>
      </c>
    </row>
    <row r="455" spans="2:12" x14ac:dyDescent="0.3">
      <c r="B455" s="22" t="s">
        <v>477</v>
      </c>
      <c r="C455" s="4" t="s">
        <v>24</v>
      </c>
      <c r="D455" s="4">
        <v>40</v>
      </c>
      <c r="E455" s="5" t="s">
        <v>13</v>
      </c>
      <c r="F455" s="9">
        <v>45052</v>
      </c>
      <c r="G455" s="4">
        <v>108</v>
      </c>
      <c r="H455" s="23">
        <v>4.2</v>
      </c>
      <c r="I455">
        <f>IF(MONTH(Calls[[#This Row],[Date of Call]])&lt;6,YEAR(Calls[[#This Row],[Date of Call]]),YEAR(Calls[[#This Row],[Date of Call]])+1)</f>
        <v>2023</v>
      </c>
      <c r="J455" t="str">
        <f>TEXT(Calls[[#This Row],[Date of Call]],"DDDD")</f>
        <v>Saturday</v>
      </c>
      <c r="K455" t="str" cm="1">
        <f t="array" ref="K455">_xlfn.IFS(Calls[[#This Row],[Duration]]&lt;10,"Under 10 Mins",Calls[[#This Row],[Duration]]&lt;=30,"10 - 30 Mins",Calls[[#This Row],[Duration]]&lt;=60,"30 - 60 Mins",Calls[[#This Row],[Duration]]&lt;=120,"1 - 2 Hours",TRUE,"More than 2  Hours")</f>
        <v>30 - 60 Mins</v>
      </c>
      <c r="L455">
        <f>ROUND(Calls[[#This Row],[Satisfaction Rating]],0)</f>
        <v>4</v>
      </c>
    </row>
    <row r="456" spans="2:12" x14ac:dyDescent="0.3">
      <c r="B456" s="22" t="s">
        <v>478</v>
      </c>
      <c r="C456" s="4" t="s">
        <v>5</v>
      </c>
      <c r="D456" s="4">
        <v>143</v>
      </c>
      <c r="E456" s="5" t="s">
        <v>13</v>
      </c>
      <c r="F456" s="9">
        <v>45052</v>
      </c>
      <c r="G456" s="4">
        <v>54</v>
      </c>
      <c r="H456" s="23">
        <v>4.4000000000000004</v>
      </c>
      <c r="I456">
        <f>IF(MONTH(Calls[[#This Row],[Date of Call]])&lt;6,YEAR(Calls[[#This Row],[Date of Call]]),YEAR(Calls[[#This Row],[Date of Call]])+1)</f>
        <v>2023</v>
      </c>
      <c r="J456" t="str">
        <f>TEXT(Calls[[#This Row],[Date of Call]],"DDDD")</f>
        <v>Saturday</v>
      </c>
      <c r="K456" t="str" cm="1">
        <f t="array" ref="K456">_xlfn.IFS(Calls[[#This Row],[Duration]]&lt;10,"Under 10 Mins",Calls[[#This Row],[Duration]]&lt;=30,"10 - 30 Mins",Calls[[#This Row],[Duration]]&lt;=60,"30 - 60 Mins",Calls[[#This Row],[Duration]]&lt;=120,"1 - 2 Hours",TRUE,"More than 2  Hours")</f>
        <v>More than 2  Hours</v>
      </c>
      <c r="L456">
        <f>ROUND(Calls[[#This Row],[Satisfaction Rating]],0)</f>
        <v>4</v>
      </c>
    </row>
    <row r="457" spans="2:12" x14ac:dyDescent="0.3">
      <c r="B457" s="22" t="s">
        <v>479</v>
      </c>
      <c r="C457" s="4" t="s">
        <v>24</v>
      </c>
      <c r="D457" s="4">
        <v>70</v>
      </c>
      <c r="E457" s="5" t="s">
        <v>13</v>
      </c>
      <c r="F457" s="9">
        <v>45053</v>
      </c>
      <c r="G457" s="4">
        <v>44</v>
      </c>
      <c r="H457" s="23">
        <v>3.5</v>
      </c>
      <c r="I457">
        <f>IF(MONTH(Calls[[#This Row],[Date of Call]])&lt;6,YEAR(Calls[[#This Row],[Date of Call]]),YEAR(Calls[[#This Row],[Date of Call]])+1)</f>
        <v>2023</v>
      </c>
      <c r="J457" t="str">
        <f>TEXT(Calls[[#This Row],[Date of Call]],"DDDD")</f>
        <v>Sunday</v>
      </c>
      <c r="K457" t="str" cm="1">
        <f t="array" ref="K457">_xlfn.IFS(Calls[[#This Row],[Duration]]&lt;10,"Under 10 Mins",Calls[[#This Row],[Duration]]&lt;=30,"10 - 30 Mins",Calls[[#This Row],[Duration]]&lt;=60,"30 - 60 Mins",Calls[[#This Row],[Duration]]&lt;=120,"1 - 2 Hours",TRUE,"More than 2  Hours")</f>
        <v>1 - 2 Hours</v>
      </c>
      <c r="L457">
        <f>ROUND(Calls[[#This Row],[Satisfaction Rating]],0)</f>
        <v>4</v>
      </c>
    </row>
    <row r="458" spans="2:12" x14ac:dyDescent="0.3">
      <c r="B458" s="22" t="s">
        <v>480</v>
      </c>
      <c r="C458" s="4" t="s">
        <v>19</v>
      </c>
      <c r="D458" s="4">
        <v>137</v>
      </c>
      <c r="E458" s="5" t="s">
        <v>13</v>
      </c>
      <c r="F458" s="9">
        <v>45053</v>
      </c>
      <c r="G458" s="4">
        <v>44</v>
      </c>
      <c r="H458" s="23">
        <v>4.7</v>
      </c>
      <c r="I458">
        <f>IF(MONTH(Calls[[#This Row],[Date of Call]])&lt;6,YEAR(Calls[[#This Row],[Date of Call]]),YEAR(Calls[[#This Row],[Date of Call]])+1)</f>
        <v>2023</v>
      </c>
      <c r="J458" t="str">
        <f>TEXT(Calls[[#This Row],[Date of Call]],"DDDD")</f>
        <v>Sunday</v>
      </c>
      <c r="K458" t="str" cm="1">
        <f t="array" ref="K458">_xlfn.IFS(Calls[[#This Row],[Duration]]&lt;10,"Under 10 Mins",Calls[[#This Row],[Duration]]&lt;=30,"10 - 30 Mins",Calls[[#This Row],[Duration]]&lt;=60,"30 - 60 Mins",Calls[[#This Row],[Duration]]&lt;=120,"1 - 2 Hours",TRUE,"More than 2  Hours")</f>
        <v>More than 2  Hours</v>
      </c>
      <c r="L458">
        <f>ROUND(Calls[[#This Row],[Satisfaction Rating]],0)</f>
        <v>5</v>
      </c>
    </row>
    <row r="459" spans="2:12" x14ac:dyDescent="0.3">
      <c r="B459" s="22" t="s">
        <v>481</v>
      </c>
      <c r="C459" s="4" t="s">
        <v>20</v>
      </c>
      <c r="D459" s="4">
        <v>52</v>
      </c>
      <c r="E459" s="5" t="s">
        <v>9</v>
      </c>
      <c r="F459" s="9">
        <v>45054</v>
      </c>
      <c r="G459" s="4">
        <v>37</v>
      </c>
      <c r="H459" s="23">
        <v>4.9000000000000004</v>
      </c>
      <c r="I459">
        <f>IF(MONTH(Calls[[#This Row],[Date of Call]])&lt;6,YEAR(Calls[[#This Row],[Date of Call]]),YEAR(Calls[[#This Row],[Date of Call]])+1)</f>
        <v>2023</v>
      </c>
      <c r="J459" t="str">
        <f>TEXT(Calls[[#This Row],[Date of Call]],"DDDD")</f>
        <v>Monday</v>
      </c>
      <c r="K459" t="str" cm="1">
        <f t="array" ref="K459">_xlfn.IFS(Calls[[#This Row],[Duration]]&lt;10,"Under 10 Mins",Calls[[#This Row],[Duration]]&lt;=30,"10 - 30 Mins",Calls[[#This Row],[Duration]]&lt;=60,"30 - 60 Mins",Calls[[#This Row],[Duration]]&lt;=120,"1 - 2 Hours",TRUE,"More than 2  Hours")</f>
        <v>30 - 60 Mins</v>
      </c>
      <c r="L459">
        <f>ROUND(Calls[[#This Row],[Satisfaction Rating]],0)</f>
        <v>5</v>
      </c>
    </row>
    <row r="460" spans="2:12" x14ac:dyDescent="0.3">
      <c r="B460" s="22" t="s">
        <v>482</v>
      </c>
      <c r="C460" s="4" t="s">
        <v>12</v>
      </c>
      <c r="D460" s="4">
        <v>31</v>
      </c>
      <c r="E460" s="5" t="s">
        <v>11</v>
      </c>
      <c r="F460" s="9">
        <v>45054</v>
      </c>
      <c r="G460" s="4">
        <v>180</v>
      </c>
      <c r="H460" s="23">
        <v>4.5</v>
      </c>
      <c r="I460">
        <f>IF(MONTH(Calls[[#This Row],[Date of Call]])&lt;6,YEAR(Calls[[#This Row],[Date of Call]]),YEAR(Calls[[#This Row],[Date of Call]])+1)</f>
        <v>2023</v>
      </c>
      <c r="J460" t="str">
        <f>TEXT(Calls[[#This Row],[Date of Call]],"DDDD")</f>
        <v>Monday</v>
      </c>
      <c r="K460" t="str" cm="1">
        <f t="array" ref="K460">_xlfn.IFS(Calls[[#This Row],[Duration]]&lt;10,"Under 10 Mins",Calls[[#This Row],[Duration]]&lt;=30,"10 - 30 Mins",Calls[[#This Row],[Duration]]&lt;=60,"30 - 60 Mins",Calls[[#This Row],[Duration]]&lt;=120,"1 - 2 Hours",TRUE,"More than 2  Hours")</f>
        <v>30 - 60 Mins</v>
      </c>
      <c r="L460">
        <f>ROUND(Calls[[#This Row],[Satisfaction Rating]],0)</f>
        <v>5</v>
      </c>
    </row>
    <row r="461" spans="2:12" x14ac:dyDescent="0.3">
      <c r="B461" s="22" t="s">
        <v>483</v>
      </c>
      <c r="C461" s="4" t="s">
        <v>20</v>
      </c>
      <c r="D461" s="4">
        <v>114</v>
      </c>
      <c r="E461" s="5" t="s">
        <v>6</v>
      </c>
      <c r="F461" s="9">
        <v>45054</v>
      </c>
      <c r="G461" s="4">
        <v>105</v>
      </c>
      <c r="H461" s="23">
        <v>4.9000000000000004</v>
      </c>
      <c r="I461">
        <f>IF(MONTH(Calls[[#This Row],[Date of Call]])&lt;6,YEAR(Calls[[#This Row],[Date of Call]]),YEAR(Calls[[#This Row],[Date of Call]])+1)</f>
        <v>2023</v>
      </c>
      <c r="J461" t="str">
        <f>TEXT(Calls[[#This Row],[Date of Call]],"DDDD")</f>
        <v>Monday</v>
      </c>
      <c r="K461" t="str" cm="1">
        <f t="array" ref="K461">_xlfn.IFS(Calls[[#This Row],[Duration]]&lt;10,"Under 10 Mins",Calls[[#This Row],[Duration]]&lt;=30,"10 - 30 Mins",Calls[[#This Row],[Duration]]&lt;=60,"30 - 60 Mins",Calls[[#This Row],[Duration]]&lt;=120,"1 - 2 Hours",TRUE,"More than 2  Hours")</f>
        <v>1 - 2 Hours</v>
      </c>
      <c r="L461">
        <f>ROUND(Calls[[#This Row],[Satisfaction Rating]],0)</f>
        <v>5</v>
      </c>
    </row>
    <row r="462" spans="2:12" x14ac:dyDescent="0.3">
      <c r="B462" s="22" t="s">
        <v>484</v>
      </c>
      <c r="C462" s="4" t="s">
        <v>19</v>
      </c>
      <c r="D462" s="4">
        <v>73</v>
      </c>
      <c r="E462" s="5" t="s">
        <v>10</v>
      </c>
      <c r="F462" s="9">
        <v>45054</v>
      </c>
      <c r="G462" s="4">
        <v>87</v>
      </c>
      <c r="H462" s="23">
        <v>3.6</v>
      </c>
      <c r="I462">
        <f>IF(MONTH(Calls[[#This Row],[Date of Call]])&lt;6,YEAR(Calls[[#This Row],[Date of Call]]),YEAR(Calls[[#This Row],[Date of Call]])+1)</f>
        <v>2023</v>
      </c>
      <c r="J462" t="str">
        <f>TEXT(Calls[[#This Row],[Date of Call]],"DDDD")</f>
        <v>Monday</v>
      </c>
      <c r="K462" t="str" cm="1">
        <f t="array" ref="K462">_xlfn.IFS(Calls[[#This Row],[Duration]]&lt;10,"Under 10 Mins",Calls[[#This Row],[Duration]]&lt;=30,"10 - 30 Mins",Calls[[#This Row],[Duration]]&lt;=60,"30 - 60 Mins",Calls[[#This Row],[Duration]]&lt;=120,"1 - 2 Hours",TRUE,"More than 2  Hours")</f>
        <v>1 - 2 Hours</v>
      </c>
      <c r="L462">
        <f>ROUND(Calls[[#This Row],[Satisfaction Rating]],0)</f>
        <v>4</v>
      </c>
    </row>
    <row r="463" spans="2:12" x14ac:dyDescent="0.3">
      <c r="B463" s="22" t="s">
        <v>485</v>
      </c>
      <c r="C463" s="4" t="s">
        <v>22</v>
      </c>
      <c r="D463" s="4">
        <v>25</v>
      </c>
      <c r="E463" s="5" t="s">
        <v>11</v>
      </c>
      <c r="F463" s="9">
        <v>45054</v>
      </c>
      <c r="G463" s="4">
        <v>52</v>
      </c>
      <c r="H463" s="23">
        <v>3.8</v>
      </c>
      <c r="I463">
        <f>IF(MONTH(Calls[[#This Row],[Date of Call]])&lt;6,YEAR(Calls[[#This Row],[Date of Call]]),YEAR(Calls[[#This Row],[Date of Call]])+1)</f>
        <v>2023</v>
      </c>
      <c r="J463" t="str">
        <f>TEXT(Calls[[#This Row],[Date of Call]],"DDDD")</f>
        <v>Monday</v>
      </c>
      <c r="K463" t="str" cm="1">
        <f t="array" ref="K463">_xlfn.IFS(Calls[[#This Row],[Duration]]&lt;10,"Under 10 Mins",Calls[[#This Row],[Duration]]&lt;=30,"10 - 30 Mins",Calls[[#This Row],[Duration]]&lt;=60,"30 - 60 Mins",Calls[[#This Row],[Duration]]&lt;=120,"1 - 2 Hours",TRUE,"More than 2  Hours")</f>
        <v>10 - 30 Mins</v>
      </c>
      <c r="L463">
        <f>ROUND(Calls[[#This Row],[Satisfaction Rating]],0)</f>
        <v>4</v>
      </c>
    </row>
    <row r="464" spans="2:12" x14ac:dyDescent="0.3">
      <c r="B464" s="22" t="s">
        <v>486</v>
      </c>
      <c r="C464" s="4" t="s">
        <v>8</v>
      </c>
      <c r="D464" s="4">
        <v>44</v>
      </c>
      <c r="E464" s="5" t="s">
        <v>6</v>
      </c>
      <c r="F464" s="9">
        <v>45054</v>
      </c>
      <c r="G464" s="4">
        <v>63</v>
      </c>
      <c r="H464" s="23">
        <v>3.5</v>
      </c>
      <c r="I464">
        <f>IF(MONTH(Calls[[#This Row],[Date of Call]])&lt;6,YEAR(Calls[[#This Row],[Date of Call]]),YEAR(Calls[[#This Row],[Date of Call]])+1)</f>
        <v>2023</v>
      </c>
      <c r="J464" t="str">
        <f>TEXT(Calls[[#This Row],[Date of Call]],"DDDD")</f>
        <v>Monday</v>
      </c>
      <c r="K464" t="str" cm="1">
        <f t="array" ref="K464">_xlfn.IFS(Calls[[#This Row],[Duration]]&lt;10,"Under 10 Mins",Calls[[#This Row],[Duration]]&lt;=30,"10 - 30 Mins",Calls[[#This Row],[Duration]]&lt;=60,"30 - 60 Mins",Calls[[#This Row],[Duration]]&lt;=120,"1 - 2 Hours",TRUE,"More than 2  Hours")</f>
        <v>30 - 60 Mins</v>
      </c>
      <c r="L464">
        <f>ROUND(Calls[[#This Row],[Satisfaction Rating]],0)</f>
        <v>4</v>
      </c>
    </row>
    <row r="465" spans="2:12" x14ac:dyDescent="0.3">
      <c r="B465" s="22" t="s">
        <v>487</v>
      </c>
      <c r="C465" s="4" t="s">
        <v>7</v>
      </c>
      <c r="D465" s="4">
        <v>34</v>
      </c>
      <c r="E465" s="5" t="s">
        <v>9</v>
      </c>
      <c r="F465" s="9">
        <v>45055</v>
      </c>
      <c r="G465" s="4">
        <v>195</v>
      </c>
      <c r="H465" s="23">
        <v>4.8</v>
      </c>
      <c r="I465">
        <f>IF(MONTH(Calls[[#This Row],[Date of Call]])&lt;6,YEAR(Calls[[#This Row],[Date of Call]]),YEAR(Calls[[#This Row],[Date of Call]])+1)</f>
        <v>2023</v>
      </c>
      <c r="J465" t="str">
        <f>TEXT(Calls[[#This Row],[Date of Call]],"DDDD")</f>
        <v>Tuesday</v>
      </c>
      <c r="K465" t="str" cm="1">
        <f t="array" ref="K465">_xlfn.IFS(Calls[[#This Row],[Duration]]&lt;10,"Under 10 Mins",Calls[[#This Row],[Duration]]&lt;=30,"10 - 30 Mins",Calls[[#This Row],[Duration]]&lt;=60,"30 - 60 Mins",Calls[[#This Row],[Duration]]&lt;=120,"1 - 2 Hours",TRUE,"More than 2  Hours")</f>
        <v>30 - 60 Mins</v>
      </c>
      <c r="L465">
        <f>ROUND(Calls[[#This Row],[Satisfaction Rating]],0)</f>
        <v>5</v>
      </c>
    </row>
    <row r="466" spans="2:12" x14ac:dyDescent="0.3">
      <c r="B466" s="22" t="s">
        <v>488</v>
      </c>
      <c r="C466" s="4" t="s">
        <v>5</v>
      </c>
      <c r="D466" s="4">
        <v>89</v>
      </c>
      <c r="E466" s="5" t="s">
        <v>13</v>
      </c>
      <c r="F466" s="9">
        <v>45056</v>
      </c>
      <c r="G466" s="4">
        <v>176</v>
      </c>
      <c r="H466" s="23">
        <v>4.5</v>
      </c>
      <c r="I466">
        <f>IF(MONTH(Calls[[#This Row],[Date of Call]])&lt;6,YEAR(Calls[[#This Row],[Date of Call]]),YEAR(Calls[[#This Row],[Date of Call]])+1)</f>
        <v>2023</v>
      </c>
      <c r="J466" t="str">
        <f>TEXT(Calls[[#This Row],[Date of Call]],"DDDD")</f>
        <v>Wednesday</v>
      </c>
      <c r="K466" t="str" cm="1">
        <f t="array" ref="K466">_xlfn.IFS(Calls[[#This Row],[Duration]]&lt;10,"Under 10 Mins",Calls[[#This Row],[Duration]]&lt;=30,"10 - 30 Mins",Calls[[#This Row],[Duration]]&lt;=60,"30 - 60 Mins",Calls[[#This Row],[Duration]]&lt;=120,"1 - 2 Hours",TRUE,"More than 2  Hours")</f>
        <v>1 - 2 Hours</v>
      </c>
      <c r="L466">
        <f>ROUND(Calls[[#This Row],[Satisfaction Rating]],0)</f>
        <v>5</v>
      </c>
    </row>
    <row r="467" spans="2:12" x14ac:dyDescent="0.3">
      <c r="B467" s="22" t="s">
        <v>489</v>
      </c>
      <c r="C467" s="4" t="s">
        <v>18</v>
      </c>
      <c r="D467" s="4">
        <v>54</v>
      </c>
      <c r="E467" s="5" t="s">
        <v>11</v>
      </c>
      <c r="F467" s="9">
        <v>45057</v>
      </c>
      <c r="G467" s="4">
        <v>31</v>
      </c>
      <c r="H467" s="23">
        <v>3.3</v>
      </c>
      <c r="I467">
        <f>IF(MONTH(Calls[[#This Row],[Date of Call]])&lt;6,YEAR(Calls[[#This Row],[Date of Call]]),YEAR(Calls[[#This Row],[Date of Call]])+1)</f>
        <v>2023</v>
      </c>
      <c r="J467" t="str">
        <f>TEXT(Calls[[#This Row],[Date of Call]],"DDDD")</f>
        <v>Thursday</v>
      </c>
      <c r="K467" t="str" cm="1">
        <f t="array" ref="K467">_xlfn.IFS(Calls[[#This Row],[Duration]]&lt;10,"Under 10 Mins",Calls[[#This Row],[Duration]]&lt;=30,"10 - 30 Mins",Calls[[#This Row],[Duration]]&lt;=60,"30 - 60 Mins",Calls[[#This Row],[Duration]]&lt;=120,"1 - 2 Hours",TRUE,"More than 2  Hours")</f>
        <v>30 - 60 Mins</v>
      </c>
      <c r="L467">
        <f>ROUND(Calls[[#This Row],[Satisfaction Rating]],0)</f>
        <v>3</v>
      </c>
    </row>
    <row r="468" spans="2:12" x14ac:dyDescent="0.3">
      <c r="B468" s="22" t="s">
        <v>490</v>
      </c>
      <c r="C468" s="4" t="s">
        <v>23</v>
      </c>
      <c r="D468" s="4">
        <v>25</v>
      </c>
      <c r="E468" s="5" t="s">
        <v>11</v>
      </c>
      <c r="F468" s="9">
        <v>45058</v>
      </c>
      <c r="G468" s="4">
        <v>27</v>
      </c>
      <c r="H468" s="23">
        <v>3.2</v>
      </c>
      <c r="I468">
        <f>IF(MONTH(Calls[[#This Row],[Date of Call]])&lt;6,YEAR(Calls[[#This Row],[Date of Call]]),YEAR(Calls[[#This Row],[Date of Call]])+1)</f>
        <v>2023</v>
      </c>
      <c r="J468" t="str">
        <f>TEXT(Calls[[#This Row],[Date of Call]],"DDDD")</f>
        <v>Friday</v>
      </c>
      <c r="K468" t="str" cm="1">
        <f t="array" ref="K468">_xlfn.IFS(Calls[[#This Row],[Duration]]&lt;10,"Under 10 Mins",Calls[[#This Row],[Duration]]&lt;=30,"10 - 30 Mins",Calls[[#This Row],[Duration]]&lt;=60,"30 - 60 Mins",Calls[[#This Row],[Duration]]&lt;=120,"1 - 2 Hours",TRUE,"More than 2  Hours")</f>
        <v>10 - 30 Mins</v>
      </c>
      <c r="L468">
        <f>ROUND(Calls[[#This Row],[Satisfaction Rating]],0)</f>
        <v>3</v>
      </c>
    </row>
    <row r="469" spans="2:12" x14ac:dyDescent="0.3">
      <c r="B469" s="22" t="s">
        <v>491</v>
      </c>
      <c r="C469" s="4" t="s">
        <v>14</v>
      </c>
      <c r="D469" s="4">
        <v>91</v>
      </c>
      <c r="E469" s="5" t="s">
        <v>13</v>
      </c>
      <c r="F469" s="9">
        <v>45058</v>
      </c>
      <c r="G469" s="4">
        <v>76</v>
      </c>
      <c r="H469" s="23">
        <v>4.9000000000000004</v>
      </c>
      <c r="I469">
        <f>IF(MONTH(Calls[[#This Row],[Date of Call]])&lt;6,YEAR(Calls[[#This Row],[Date of Call]]),YEAR(Calls[[#This Row],[Date of Call]])+1)</f>
        <v>2023</v>
      </c>
      <c r="J469" t="str">
        <f>TEXT(Calls[[#This Row],[Date of Call]],"DDDD")</f>
        <v>Friday</v>
      </c>
      <c r="K469" t="str" cm="1">
        <f t="array" ref="K469">_xlfn.IFS(Calls[[#This Row],[Duration]]&lt;10,"Under 10 Mins",Calls[[#This Row],[Duration]]&lt;=30,"10 - 30 Mins",Calls[[#This Row],[Duration]]&lt;=60,"30 - 60 Mins",Calls[[#This Row],[Duration]]&lt;=120,"1 - 2 Hours",TRUE,"More than 2  Hours")</f>
        <v>1 - 2 Hours</v>
      </c>
      <c r="L469">
        <f>ROUND(Calls[[#This Row],[Satisfaction Rating]],0)</f>
        <v>5</v>
      </c>
    </row>
    <row r="470" spans="2:12" x14ac:dyDescent="0.3">
      <c r="B470" s="22" t="s">
        <v>492</v>
      </c>
      <c r="C470" s="4" t="s">
        <v>8</v>
      </c>
      <c r="D470" s="4">
        <v>144</v>
      </c>
      <c r="E470" s="5" t="s">
        <v>6</v>
      </c>
      <c r="F470" s="9">
        <v>45058</v>
      </c>
      <c r="G470" s="4">
        <v>62</v>
      </c>
      <c r="H470" s="23">
        <v>4.8</v>
      </c>
      <c r="I470">
        <f>IF(MONTH(Calls[[#This Row],[Date of Call]])&lt;6,YEAR(Calls[[#This Row],[Date of Call]]),YEAR(Calls[[#This Row],[Date of Call]])+1)</f>
        <v>2023</v>
      </c>
      <c r="J470" t="str">
        <f>TEXT(Calls[[#This Row],[Date of Call]],"DDDD")</f>
        <v>Friday</v>
      </c>
      <c r="K470" t="str" cm="1">
        <f t="array" ref="K470">_xlfn.IFS(Calls[[#This Row],[Duration]]&lt;10,"Under 10 Mins",Calls[[#This Row],[Duration]]&lt;=30,"10 - 30 Mins",Calls[[#This Row],[Duration]]&lt;=60,"30 - 60 Mins",Calls[[#This Row],[Duration]]&lt;=120,"1 - 2 Hours",TRUE,"More than 2  Hours")</f>
        <v>More than 2  Hours</v>
      </c>
      <c r="L470">
        <f>ROUND(Calls[[#This Row],[Satisfaction Rating]],0)</f>
        <v>5</v>
      </c>
    </row>
    <row r="471" spans="2:12" x14ac:dyDescent="0.3">
      <c r="B471" s="22" t="s">
        <v>493</v>
      </c>
      <c r="C471" s="4" t="s">
        <v>14</v>
      </c>
      <c r="D471" s="4">
        <v>81</v>
      </c>
      <c r="E471" s="5" t="s">
        <v>9</v>
      </c>
      <c r="F471" s="9">
        <v>45060</v>
      </c>
      <c r="G471" s="4">
        <v>100</v>
      </c>
      <c r="H471" s="23">
        <v>1.3</v>
      </c>
      <c r="I471">
        <f>IF(MONTH(Calls[[#This Row],[Date of Call]])&lt;6,YEAR(Calls[[#This Row],[Date of Call]]),YEAR(Calls[[#This Row],[Date of Call]])+1)</f>
        <v>2023</v>
      </c>
      <c r="J471" t="str">
        <f>TEXT(Calls[[#This Row],[Date of Call]],"DDDD")</f>
        <v>Sunday</v>
      </c>
      <c r="K471" t="str" cm="1">
        <f t="array" ref="K471">_xlfn.IFS(Calls[[#This Row],[Duration]]&lt;10,"Under 10 Mins",Calls[[#This Row],[Duration]]&lt;=30,"10 - 30 Mins",Calls[[#This Row],[Duration]]&lt;=60,"30 - 60 Mins",Calls[[#This Row],[Duration]]&lt;=120,"1 - 2 Hours",TRUE,"More than 2  Hours")</f>
        <v>1 - 2 Hours</v>
      </c>
      <c r="L471">
        <f>ROUND(Calls[[#This Row],[Satisfaction Rating]],0)</f>
        <v>1</v>
      </c>
    </row>
    <row r="472" spans="2:12" x14ac:dyDescent="0.3">
      <c r="B472" s="22" t="s">
        <v>494</v>
      </c>
      <c r="C472" s="4" t="s">
        <v>17</v>
      </c>
      <c r="D472" s="4">
        <v>92</v>
      </c>
      <c r="E472" s="5" t="s">
        <v>11</v>
      </c>
      <c r="F472" s="9">
        <v>45060</v>
      </c>
      <c r="G472" s="4">
        <v>44</v>
      </c>
      <c r="H472" s="23">
        <v>3.1</v>
      </c>
      <c r="I472">
        <f>IF(MONTH(Calls[[#This Row],[Date of Call]])&lt;6,YEAR(Calls[[#This Row],[Date of Call]]),YEAR(Calls[[#This Row],[Date of Call]])+1)</f>
        <v>2023</v>
      </c>
      <c r="J472" t="str">
        <f>TEXT(Calls[[#This Row],[Date of Call]],"DDDD")</f>
        <v>Sunday</v>
      </c>
      <c r="K472" t="str" cm="1">
        <f t="array" ref="K472">_xlfn.IFS(Calls[[#This Row],[Duration]]&lt;10,"Under 10 Mins",Calls[[#This Row],[Duration]]&lt;=30,"10 - 30 Mins",Calls[[#This Row],[Duration]]&lt;=60,"30 - 60 Mins",Calls[[#This Row],[Duration]]&lt;=120,"1 - 2 Hours",TRUE,"More than 2  Hours")</f>
        <v>1 - 2 Hours</v>
      </c>
      <c r="L472">
        <f>ROUND(Calls[[#This Row],[Satisfaction Rating]],0)</f>
        <v>3</v>
      </c>
    </row>
    <row r="473" spans="2:12" x14ac:dyDescent="0.3">
      <c r="B473" s="22" t="s">
        <v>495</v>
      </c>
      <c r="C473" s="4" t="s">
        <v>23</v>
      </c>
      <c r="D473" s="4">
        <v>115</v>
      </c>
      <c r="E473" s="5" t="s">
        <v>13</v>
      </c>
      <c r="F473" s="9">
        <v>45060</v>
      </c>
      <c r="G473" s="4">
        <v>168</v>
      </c>
      <c r="H473" s="23">
        <v>3.4</v>
      </c>
      <c r="I473">
        <f>IF(MONTH(Calls[[#This Row],[Date of Call]])&lt;6,YEAR(Calls[[#This Row],[Date of Call]]),YEAR(Calls[[#This Row],[Date of Call]])+1)</f>
        <v>2023</v>
      </c>
      <c r="J473" t="str">
        <f>TEXT(Calls[[#This Row],[Date of Call]],"DDDD")</f>
        <v>Sunday</v>
      </c>
      <c r="K473" t="str" cm="1">
        <f t="array" ref="K473">_xlfn.IFS(Calls[[#This Row],[Duration]]&lt;10,"Under 10 Mins",Calls[[#This Row],[Duration]]&lt;=30,"10 - 30 Mins",Calls[[#This Row],[Duration]]&lt;=60,"30 - 60 Mins",Calls[[#This Row],[Duration]]&lt;=120,"1 - 2 Hours",TRUE,"More than 2  Hours")</f>
        <v>1 - 2 Hours</v>
      </c>
      <c r="L473">
        <f>ROUND(Calls[[#This Row],[Satisfaction Rating]],0)</f>
        <v>3</v>
      </c>
    </row>
    <row r="474" spans="2:12" x14ac:dyDescent="0.3">
      <c r="B474" s="22" t="s">
        <v>496</v>
      </c>
      <c r="C474" s="4" t="s">
        <v>15</v>
      </c>
      <c r="D474" s="4">
        <v>56</v>
      </c>
      <c r="E474" s="5" t="s">
        <v>13</v>
      </c>
      <c r="F474" s="9">
        <v>45061</v>
      </c>
      <c r="G474" s="4">
        <v>200</v>
      </c>
      <c r="H474" s="23">
        <v>4.5999999999999996</v>
      </c>
      <c r="I474">
        <f>IF(MONTH(Calls[[#This Row],[Date of Call]])&lt;6,YEAR(Calls[[#This Row],[Date of Call]]),YEAR(Calls[[#This Row],[Date of Call]])+1)</f>
        <v>2023</v>
      </c>
      <c r="J474" t="str">
        <f>TEXT(Calls[[#This Row],[Date of Call]],"DDDD")</f>
        <v>Monday</v>
      </c>
      <c r="K474" t="str" cm="1">
        <f t="array" ref="K474">_xlfn.IFS(Calls[[#This Row],[Duration]]&lt;10,"Under 10 Mins",Calls[[#This Row],[Duration]]&lt;=30,"10 - 30 Mins",Calls[[#This Row],[Duration]]&lt;=60,"30 - 60 Mins",Calls[[#This Row],[Duration]]&lt;=120,"1 - 2 Hours",TRUE,"More than 2  Hours")</f>
        <v>30 - 60 Mins</v>
      </c>
      <c r="L474">
        <f>ROUND(Calls[[#This Row],[Satisfaction Rating]],0)</f>
        <v>5</v>
      </c>
    </row>
    <row r="475" spans="2:12" x14ac:dyDescent="0.3">
      <c r="B475" s="22" t="s">
        <v>497</v>
      </c>
      <c r="C475" s="4" t="s">
        <v>12</v>
      </c>
      <c r="D475" s="4">
        <v>154</v>
      </c>
      <c r="E475" s="5" t="s">
        <v>11</v>
      </c>
      <c r="F475" s="9">
        <v>45061</v>
      </c>
      <c r="G475" s="4">
        <v>84</v>
      </c>
      <c r="H475" s="23">
        <v>4.3</v>
      </c>
      <c r="I475">
        <f>IF(MONTH(Calls[[#This Row],[Date of Call]])&lt;6,YEAR(Calls[[#This Row],[Date of Call]]),YEAR(Calls[[#This Row],[Date of Call]])+1)</f>
        <v>2023</v>
      </c>
      <c r="J475" t="str">
        <f>TEXT(Calls[[#This Row],[Date of Call]],"DDDD")</f>
        <v>Monday</v>
      </c>
      <c r="K475" t="str" cm="1">
        <f t="array" ref="K475">_xlfn.IFS(Calls[[#This Row],[Duration]]&lt;10,"Under 10 Mins",Calls[[#This Row],[Duration]]&lt;=30,"10 - 30 Mins",Calls[[#This Row],[Duration]]&lt;=60,"30 - 60 Mins",Calls[[#This Row],[Duration]]&lt;=120,"1 - 2 Hours",TRUE,"More than 2  Hours")</f>
        <v>More than 2  Hours</v>
      </c>
      <c r="L475">
        <f>ROUND(Calls[[#This Row],[Satisfaction Rating]],0)</f>
        <v>4</v>
      </c>
    </row>
    <row r="476" spans="2:12" x14ac:dyDescent="0.3">
      <c r="B476" s="22" t="s">
        <v>498</v>
      </c>
      <c r="C476" s="4" t="s">
        <v>5</v>
      </c>
      <c r="D476" s="4">
        <v>51</v>
      </c>
      <c r="E476" s="5" t="s">
        <v>13</v>
      </c>
      <c r="F476" s="9">
        <v>45062</v>
      </c>
      <c r="G476" s="4">
        <v>117</v>
      </c>
      <c r="H476" s="23">
        <v>2.7</v>
      </c>
      <c r="I476">
        <f>IF(MONTH(Calls[[#This Row],[Date of Call]])&lt;6,YEAR(Calls[[#This Row],[Date of Call]]),YEAR(Calls[[#This Row],[Date of Call]])+1)</f>
        <v>2023</v>
      </c>
      <c r="J476" t="str">
        <f>TEXT(Calls[[#This Row],[Date of Call]],"DDDD")</f>
        <v>Tuesday</v>
      </c>
      <c r="K476" t="str" cm="1">
        <f t="array" ref="K476">_xlfn.IFS(Calls[[#This Row],[Duration]]&lt;10,"Under 10 Mins",Calls[[#This Row],[Duration]]&lt;=30,"10 - 30 Mins",Calls[[#This Row],[Duration]]&lt;=60,"30 - 60 Mins",Calls[[#This Row],[Duration]]&lt;=120,"1 - 2 Hours",TRUE,"More than 2  Hours")</f>
        <v>30 - 60 Mins</v>
      </c>
      <c r="L476">
        <f>ROUND(Calls[[#This Row],[Satisfaction Rating]],0)</f>
        <v>3</v>
      </c>
    </row>
    <row r="477" spans="2:12" x14ac:dyDescent="0.3">
      <c r="B477" s="22" t="s">
        <v>499</v>
      </c>
      <c r="C477" s="4" t="s">
        <v>7</v>
      </c>
      <c r="D477" s="4">
        <v>21</v>
      </c>
      <c r="E477" s="5" t="s">
        <v>9</v>
      </c>
      <c r="F477" s="9">
        <v>45062</v>
      </c>
      <c r="G477" s="4">
        <v>63</v>
      </c>
      <c r="H477" s="23">
        <v>4.2</v>
      </c>
      <c r="I477">
        <f>IF(MONTH(Calls[[#This Row],[Date of Call]])&lt;6,YEAR(Calls[[#This Row],[Date of Call]]),YEAR(Calls[[#This Row],[Date of Call]])+1)</f>
        <v>2023</v>
      </c>
      <c r="J477" t="str">
        <f>TEXT(Calls[[#This Row],[Date of Call]],"DDDD")</f>
        <v>Tuesday</v>
      </c>
      <c r="K477" t="str" cm="1">
        <f t="array" ref="K477">_xlfn.IFS(Calls[[#This Row],[Duration]]&lt;10,"Under 10 Mins",Calls[[#This Row],[Duration]]&lt;=30,"10 - 30 Mins",Calls[[#This Row],[Duration]]&lt;=60,"30 - 60 Mins",Calls[[#This Row],[Duration]]&lt;=120,"1 - 2 Hours",TRUE,"More than 2  Hours")</f>
        <v>10 - 30 Mins</v>
      </c>
      <c r="L477">
        <f>ROUND(Calls[[#This Row],[Satisfaction Rating]],0)</f>
        <v>4</v>
      </c>
    </row>
    <row r="478" spans="2:12" x14ac:dyDescent="0.3">
      <c r="B478" s="22" t="s">
        <v>500</v>
      </c>
      <c r="C478" s="4" t="s">
        <v>23</v>
      </c>
      <c r="D478" s="4">
        <v>80</v>
      </c>
      <c r="E478" s="5" t="s">
        <v>13</v>
      </c>
      <c r="F478" s="9">
        <v>45063</v>
      </c>
      <c r="G478" s="4">
        <v>145</v>
      </c>
      <c r="H478" s="23">
        <v>4.9000000000000004</v>
      </c>
      <c r="I478">
        <f>IF(MONTH(Calls[[#This Row],[Date of Call]])&lt;6,YEAR(Calls[[#This Row],[Date of Call]]),YEAR(Calls[[#This Row],[Date of Call]])+1)</f>
        <v>2023</v>
      </c>
      <c r="J478" t="str">
        <f>TEXT(Calls[[#This Row],[Date of Call]],"DDDD")</f>
        <v>Wednesday</v>
      </c>
      <c r="K478" t="str" cm="1">
        <f t="array" ref="K478">_xlfn.IFS(Calls[[#This Row],[Duration]]&lt;10,"Under 10 Mins",Calls[[#This Row],[Duration]]&lt;=30,"10 - 30 Mins",Calls[[#This Row],[Duration]]&lt;=60,"30 - 60 Mins",Calls[[#This Row],[Duration]]&lt;=120,"1 - 2 Hours",TRUE,"More than 2  Hours")</f>
        <v>1 - 2 Hours</v>
      </c>
      <c r="L478">
        <f>ROUND(Calls[[#This Row],[Satisfaction Rating]],0)</f>
        <v>5</v>
      </c>
    </row>
    <row r="479" spans="2:12" x14ac:dyDescent="0.3">
      <c r="B479" s="22" t="s">
        <v>501</v>
      </c>
      <c r="C479" s="4" t="s">
        <v>5</v>
      </c>
      <c r="D479" s="4">
        <v>139</v>
      </c>
      <c r="E479" s="5" t="s">
        <v>11</v>
      </c>
      <c r="F479" s="9">
        <v>45063</v>
      </c>
      <c r="G479" s="4">
        <v>220</v>
      </c>
      <c r="H479" s="23">
        <v>3.2</v>
      </c>
      <c r="I479">
        <f>IF(MONTH(Calls[[#This Row],[Date of Call]])&lt;6,YEAR(Calls[[#This Row],[Date of Call]]),YEAR(Calls[[#This Row],[Date of Call]])+1)</f>
        <v>2023</v>
      </c>
      <c r="J479" t="str">
        <f>TEXT(Calls[[#This Row],[Date of Call]],"DDDD")</f>
        <v>Wednesday</v>
      </c>
      <c r="K479" t="str" cm="1">
        <f t="array" ref="K479">_xlfn.IFS(Calls[[#This Row],[Duration]]&lt;10,"Under 10 Mins",Calls[[#This Row],[Duration]]&lt;=30,"10 - 30 Mins",Calls[[#This Row],[Duration]]&lt;=60,"30 - 60 Mins",Calls[[#This Row],[Duration]]&lt;=120,"1 - 2 Hours",TRUE,"More than 2  Hours")</f>
        <v>More than 2  Hours</v>
      </c>
      <c r="L479">
        <f>ROUND(Calls[[#This Row],[Satisfaction Rating]],0)</f>
        <v>3</v>
      </c>
    </row>
    <row r="480" spans="2:12" x14ac:dyDescent="0.3">
      <c r="B480" s="22" t="s">
        <v>502</v>
      </c>
      <c r="C480" s="4" t="s">
        <v>24</v>
      </c>
      <c r="D480" s="4">
        <v>50</v>
      </c>
      <c r="E480" s="5" t="s">
        <v>9</v>
      </c>
      <c r="F480" s="9">
        <v>45063</v>
      </c>
      <c r="G480" s="4">
        <v>26</v>
      </c>
      <c r="H480" s="23">
        <v>4.7</v>
      </c>
      <c r="I480">
        <f>IF(MONTH(Calls[[#This Row],[Date of Call]])&lt;6,YEAR(Calls[[#This Row],[Date of Call]]),YEAR(Calls[[#This Row],[Date of Call]])+1)</f>
        <v>2023</v>
      </c>
      <c r="J480" t="str">
        <f>TEXT(Calls[[#This Row],[Date of Call]],"DDDD")</f>
        <v>Wednesday</v>
      </c>
      <c r="K480" t="str" cm="1">
        <f t="array" ref="K480">_xlfn.IFS(Calls[[#This Row],[Duration]]&lt;10,"Under 10 Mins",Calls[[#This Row],[Duration]]&lt;=30,"10 - 30 Mins",Calls[[#This Row],[Duration]]&lt;=60,"30 - 60 Mins",Calls[[#This Row],[Duration]]&lt;=120,"1 - 2 Hours",TRUE,"More than 2  Hours")</f>
        <v>30 - 60 Mins</v>
      </c>
      <c r="L480">
        <f>ROUND(Calls[[#This Row],[Satisfaction Rating]],0)</f>
        <v>5</v>
      </c>
    </row>
    <row r="481" spans="2:12" x14ac:dyDescent="0.3">
      <c r="B481" s="22" t="s">
        <v>503</v>
      </c>
      <c r="C481" s="4" t="s">
        <v>23</v>
      </c>
      <c r="D481" s="4">
        <v>88</v>
      </c>
      <c r="E481" s="5" t="s">
        <v>13</v>
      </c>
      <c r="F481" s="9">
        <v>45063</v>
      </c>
      <c r="G481" s="4">
        <v>78</v>
      </c>
      <c r="H481" s="23">
        <v>4.3</v>
      </c>
      <c r="I481">
        <f>IF(MONTH(Calls[[#This Row],[Date of Call]])&lt;6,YEAR(Calls[[#This Row],[Date of Call]]),YEAR(Calls[[#This Row],[Date of Call]])+1)</f>
        <v>2023</v>
      </c>
      <c r="J481" t="str">
        <f>TEXT(Calls[[#This Row],[Date of Call]],"DDDD")</f>
        <v>Wednesday</v>
      </c>
      <c r="K481" t="str" cm="1">
        <f t="array" ref="K481">_xlfn.IFS(Calls[[#This Row],[Duration]]&lt;10,"Under 10 Mins",Calls[[#This Row],[Duration]]&lt;=30,"10 - 30 Mins",Calls[[#This Row],[Duration]]&lt;=60,"30 - 60 Mins",Calls[[#This Row],[Duration]]&lt;=120,"1 - 2 Hours",TRUE,"More than 2  Hours")</f>
        <v>1 - 2 Hours</v>
      </c>
      <c r="L481">
        <f>ROUND(Calls[[#This Row],[Satisfaction Rating]],0)</f>
        <v>4</v>
      </c>
    </row>
    <row r="482" spans="2:12" x14ac:dyDescent="0.3">
      <c r="B482" s="22" t="s">
        <v>504</v>
      </c>
      <c r="C482" s="4" t="s">
        <v>18</v>
      </c>
      <c r="D482" s="4">
        <v>19</v>
      </c>
      <c r="E482" s="5" t="s">
        <v>6</v>
      </c>
      <c r="F482" s="9">
        <v>45064</v>
      </c>
      <c r="G482" s="4">
        <v>132</v>
      </c>
      <c r="H482" s="23">
        <v>4.3</v>
      </c>
      <c r="I482">
        <f>IF(MONTH(Calls[[#This Row],[Date of Call]])&lt;6,YEAR(Calls[[#This Row],[Date of Call]]),YEAR(Calls[[#This Row],[Date of Call]])+1)</f>
        <v>2023</v>
      </c>
      <c r="J482" t="str">
        <f>TEXT(Calls[[#This Row],[Date of Call]],"DDDD")</f>
        <v>Thursday</v>
      </c>
      <c r="K482" t="str" cm="1">
        <f t="array" ref="K482">_xlfn.IFS(Calls[[#This Row],[Duration]]&lt;10,"Under 10 Mins",Calls[[#This Row],[Duration]]&lt;=30,"10 - 30 Mins",Calls[[#This Row],[Duration]]&lt;=60,"30 - 60 Mins",Calls[[#This Row],[Duration]]&lt;=120,"1 - 2 Hours",TRUE,"More than 2  Hours")</f>
        <v>10 - 30 Mins</v>
      </c>
      <c r="L482">
        <f>ROUND(Calls[[#This Row],[Satisfaction Rating]],0)</f>
        <v>4</v>
      </c>
    </row>
    <row r="483" spans="2:12" x14ac:dyDescent="0.3">
      <c r="B483" s="22" t="s">
        <v>505</v>
      </c>
      <c r="C483" s="4" t="s">
        <v>22</v>
      </c>
      <c r="D483" s="4">
        <v>104</v>
      </c>
      <c r="E483" s="5" t="s">
        <v>6</v>
      </c>
      <c r="F483" s="9">
        <v>45065</v>
      </c>
      <c r="G483" s="4">
        <v>68</v>
      </c>
      <c r="H483" s="23">
        <v>3.7</v>
      </c>
      <c r="I483">
        <f>IF(MONTH(Calls[[#This Row],[Date of Call]])&lt;6,YEAR(Calls[[#This Row],[Date of Call]]),YEAR(Calls[[#This Row],[Date of Call]])+1)</f>
        <v>2023</v>
      </c>
      <c r="J483" t="str">
        <f>TEXT(Calls[[#This Row],[Date of Call]],"DDDD")</f>
        <v>Friday</v>
      </c>
      <c r="K483" t="str" cm="1">
        <f t="array" ref="K483">_xlfn.IFS(Calls[[#This Row],[Duration]]&lt;10,"Under 10 Mins",Calls[[#This Row],[Duration]]&lt;=30,"10 - 30 Mins",Calls[[#This Row],[Duration]]&lt;=60,"30 - 60 Mins",Calls[[#This Row],[Duration]]&lt;=120,"1 - 2 Hours",TRUE,"More than 2  Hours")</f>
        <v>1 - 2 Hours</v>
      </c>
      <c r="L483">
        <f>ROUND(Calls[[#This Row],[Satisfaction Rating]],0)</f>
        <v>4</v>
      </c>
    </row>
    <row r="484" spans="2:12" x14ac:dyDescent="0.3">
      <c r="B484" s="22" t="s">
        <v>506</v>
      </c>
      <c r="C484" s="4" t="s">
        <v>12</v>
      </c>
      <c r="D484" s="4">
        <v>67</v>
      </c>
      <c r="E484" s="5" t="s">
        <v>11</v>
      </c>
      <c r="F484" s="9">
        <v>45067</v>
      </c>
      <c r="G484" s="4">
        <v>129</v>
      </c>
      <c r="H484" s="23">
        <v>4.7</v>
      </c>
      <c r="I484">
        <f>IF(MONTH(Calls[[#This Row],[Date of Call]])&lt;6,YEAR(Calls[[#This Row],[Date of Call]]),YEAR(Calls[[#This Row],[Date of Call]])+1)</f>
        <v>2023</v>
      </c>
      <c r="J484" t="str">
        <f>TEXT(Calls[[#This Row],[Date of Call]],"DDDD")</f>
        <v>Sunday</v>
      </c>
      <c r="K484" t="str" cm="1">
        <f t="array" ref="K484">_xlfn.IFS(Calls[[#This Row],[Duration]]&lt;10,"Under 10 Mins",Calls[[#This Row],[Duration]]&lt;=30,"10 - 30 Mins",Calls[[#This Row],[Duration]]&lt;=60,"30 - 60 Mins",Calls[[#This Row],[Duration]]&lt;=120,"1 - 2 Hours",TRUE,"More than 2  Hours")</f>
        <v>1 - 2 Hours</v>
      </c>
      <c r="L484">
        <f>ROUND(Calls[[#This Row],[Satisfaction Rating]],0)</f>
        <v>5</v>
      </c>
    </row>
    <row r="485" spans="2:12" x14ac:dyDescent="0.3">
      <c r="B485" s="22" t="s">
        <v>507</v>
      </c>
      <c r="C485" s="4" t="s">
        <v>16</v>
      </c>
      <c r="D485" s="4">
        <v>107</v>
      </c>
      <c r="E485" s="5" t="s">
        <v>6</v>
      </c>
      <c r="F485" s="9">
        <v>45067</v>
      </c>
      <c r="G485" s="4">
        <v>115</v>
      </c>
      <c r="H485" s="23">
        <v>4.9000000000000004</v>
      </c>
      <c r="I485">
        <f>IF(MONTH(Calls[[#This Row],[Date of Call]])&lt;6,YEAR(Calls[[#This Row],[Date of Call]]),YEAR(Calls[[#This Row],[Date of Call]])+1)</f>
        <v>2023</v>
      </c>
      <c r="J485" t="str">
        <f>TEXT(Calls[[#This Row],[Date of Call]],"DDDD")</f>
        <v>Sunday</v>
      </c>
      <c r="K485" t="str" cm="1">
        <f t="array" ref="K485">_xlfn.IFS(Calls[[#This Row],[Duration]]&lt;10,"Under 10 Mins",Calls[[#This Row],[Duration]]&lt;=30,"10 - 30 Mins",Calls[[#This Row],[Duration]]&lt;=60,"30 - 60 Mins",Calls[[#This Row],[Duration]]&lt;=120,"1 - 2 Hours",TRUE,"More than 2  Hours")</f>
        <v>1 - 2 Hours</v>
      </c>
      <c r="L485">
        <f>ROUND(Calls[[#This Row],[Satisfaction Rating]],0)</f>
        <v>5</v>
      </c>
    </row>
    <row r="486" spans="2:12" x14ac:dyDescent="0.3">
      <c r="B486" s="22" t="s">
        <v>508</v>
      </c>
      <c r="C486" s="4" t="s">
        <v>16</v>
      </c>
      <c r="D486" s="4">
        <v>93</v>
      </c>
      <c r="E486" s="5" t="s">
        <v>6</v>
      </c>
      <c r="F486" s="9">
        <v>45067</v>
      </c>
      <c r="G486" s="4">
        <v>128</v>
      </c>
      <c r="H486" s="23">
        <v>3.9</v>
      </c>
      <c r="I486">
        <f>IF(MONTH(Calls[[#This Row],[Date of Call]])&lt;6,YEAR(Calls[[#This Row],[Date of Call]]),YEAR(Calls[[#This Row],[Date of Call]])+1)</f>
        <v>2023</v>
      </c>
      <c r="J486" t="str">
        <f>TEXT(Calls[[#This Row],[Date of Call]],"DDDD")</f>
        <v>Sunday</v>
      </c>
      <c r="K486" t="str" cm="1">
        <f t="array" ref="K486">_xlfn.IFS(Calls[[#This Row],[Duration]]&lt;10,"Under 10 Mins",Calls[[#This Row],[Duration]]&lt;=30,"10 - 30 Mins",Calls[[#This Row],[Duration]]&lt;=60,"30 - 60 Mins",Calls[[#This Row],[Duration]]&lt;=120,"1 - 2 Hours",TRUE,"More than 2  Hours")</f>
        <v>1 - 2 Hours</v>
      </c>
      <c r="L486">
        <f>ROUND(Calls[[#This Row],[Satisfaction Rating]],0)</f>
        <v>4</v>
      </c>
    </row>
    <row r="487" spans="2:12" x14ac:dyDescent="0.3">
      <c r="B487" s="22" t="s">
        <v>509</v>
      </c>
      <c r="C487" s="4" t="s">
        <v>16</v>
      </c>
      <c r="D487" s="4">
        <v>117</v>
      </c>
      <c r="E487" s="5" t="s">
        <v>11</v>
      </c>
      <c r="F487" s="9">
        <v>45067</v>
      </c>
      <c r="G487" s="4">
        <v>90</v>
      </c>
      <c r="H487" s="23">
        <v>4.5</v>
      </c>
      <c r="I487">
        <f>IF(MONTH(Calls[[#This Row],[Date of Call]])&lt;6,YEAR(Calls[[#This Row],[Date of Call]]),YEAR(Calls[[#This Row],[Date of Call]])+1)</f>
        <v>2023</v>
      </c>
      <c r="J487" t="str">
        <f>TEXT(Calls[[#This Row],[Date of Call]],"DDDD")</f>
        <v>Sunday</v>
      </c>
      <c r="K487" t="str" cm="1">
        <f t="array" ref="K487">_xlfn.IFS(Calls[[#This Row],[Duration]]&lt;10,"Under 10 Mins",Calls[[#This Row],[Duration]]&lt;=30,"10 - 30 Mins",Calls[[#This Row],[Duration]]&lt;=60,"30 - 60 Mins",Calls[[#This Row],[Duration]]&lt;=120,"1 - 2 Hours",TRUE,"More than 2  Hours")</f>
        <v>1 - 2 Hours</v>
      </c>
      <c r="L487">
        <f>ROUND(Calls[[#This Row],[Satisfaction Rating]],0)</f>
        <v>5</v>
      </c>
    </row>
    <row r="488" spans="2:12" x14ac:dyDescent="0.3">
      <c r="B488" s="22" t="s">
        <v>510</v>
      </c>
      <c r="C488" s="4" t="s">
        <v>24</v>
      </c>
      <c r="D488" s="4">
        <v>76</v>
      </c>
      <c r="E488" s="5" t="s">
        <v>13</v>
      </c>
      <c r="F488" s="9">
        <v>45068</v>
      </c>
      <c r="G488" s="4">
        <v>39</v>
      </c>
      <c r="H488" s="23">
        <v>4.5999999999999996</v>
      </c>
      <c r="I488">
        <f>IF(MONTH(Calls[[#This Row],[Date of Call]])&lt;6,YEAR(Calls[[#This Row],[Date of Call]]),YEAR(Calls[[#This Row],[Date of Call]])+1)</f>
        <v>2023</v>
      </c>
      <c r="J488" t="str">
        <f>TEXT(Calls[[#This Row],[Date of Call]],"DDDD")</f>
        <v>Monday</v>
      </c>
      <c r="K488" t="str" cm="1">
        <f t="array" ref="K488">_xlfn.IFS(Calls[[#This Row],[Duration]]&lt;10,"Under 10 Mins",Calls[[#This Row],[Duration]]&lt;=30,"10 - 30 Mins",Calls[[#This Row],[Duration]]&lt;=60,"30 - 60 Mins",Calls[[#This Row],[Duration]]&lt;=120,"1 - 2 Hours",TRUE,"More than 2  Hours")</f>
        <v>1 - 2 Hours</v>
      </c>
      <c r="L488">
        <f>ROUND(Calls[[#This Row],[Satisfaction Rating]],0)</f>
        <v>5</v>
      </c>
    </row>
    <row r="489" spans="2:12" x14ac:dyDescent="0.3">
      <c r="B489" s="22" t="s">
        <v>511</v>
      </c>
      <c r="C489" s="4" t="s">
        <v>18</v>
      </c>
      <c r="D489" s="4">
        <v>64</v>
      </c>
      <c r="E489" s="5" t="s">
        <v>6</v>
      </c>
      <c r="F489" s="9">
        <v>45068</v>
      </c>
      <c r="G489" s="4">
        <v>132</v>
      </c>
      <c r="H489" s="23">
        <v>3.3</v>
      </c>
      <c r="I489">
        <f>IF(MONTH(Calls[[#This Row],[Date of Call]])&lt;6,YEAR(Calls[[#This Row],[Date of Call]]),YEAR(Calls[[#This Row],[Date of Call]])+1)</f>
        <v>2023</v>
      </c>
      <c r="J489" t="str">
        <f>TEXT(Calls[[#This Row],[Date of Call]],"DDDD")</f>
        <v>Monday</v>
      </c>
      <c r="K489" t="str" cm="1">
        <f t="array" ref="K489">_xlfn.IFS(Calls[[#This Row],[Duration]]&lt;10,"Under 10 Mins",Calls[[#This Row],[Duration]]&lt;=30,"10 - 30 Mins",Calls[[#This Row],[Duration]]&lt;=60,"30 - 60 Mins",Calls[[#This Row],[Duration]]&lt;=120,"1 - 2 Hours",TRUE,"More than 2  Hours")</f>
        <v>1 - 2 Hours</v>
      </c>
      <c r="L489">
        <f>ROUND(Calls[[#This Row],[Satisfaction Rating]],0)</f>
        <v>3</v>
      </c>
    </row>
    <row r="490" spans="2:12" x14ac:dyDescent="0.3">
      <c r="B490" s="22" t="s">
        <v>512</v>
      </c>
      <c r="C490" s="4" t="s">
        <v>8</v>
      </c>
      <c r="D490" s="4">
        <v>33</v>
      </c>
      <c r="E490" s="5" t="s">
        <v>6</v>
      </c>
      <c r="F490" s="9">
        <v>45068</v>
      </c>
      <c r="G490" s="4">
        <v>170</v>
      </c>
      <c r="H490" s="23">
        <v>3.8</v>
      </c>
      <c r="I490">
        <f>IF(MONTH(Calls[[#This Row],[Date of Call]])&lt;6,YEAR(Calls[[#This Row],[Date of Call]]),YEAR(Calls[[#This Row],[Date of Call]])+1)</f>
        <v>2023</v>
      </c>
      <c r="J490" t="str">
        <f>TEXT(Calls[[#This Row],[Date of Call]],"DDDD")</f>
        <v>Monday</v>
      </c>
      <c r="K490" t="str" cm="1">
        <f t="array" ref="K490">_xlfn.IFS(Calls[[#This Row],[Duration]]&lt;10,"Under 10 Mins",Calls[[#This Row],[Duration]]&lt;=30,"10 - 30 Mins",Calls[[#This Row],[Duration]]&lt;=60,"30 - 60 Mins",Calls[[#This Row],[Duration]]&lt;=120,"1 - 2 Hours",TRUE,"More than 2  Hours")</f>
        <v>30 - 60 Mins</v>
      </c>
      <c r="L490">
        <f>ROUND(Calls[[#This Row],[Satisfaction Rating]],0)</f>
        <v>4</v>
      </c>
    </row>
    <row r="491" spans="2:12" x14ac:dyDescent="0.3">
      <c r="B491" s="22" t="s">
        <v>513</v>
      </c>
      <c r="C491" s="4" t="s">
        <v>16</v>
      </c>
      <c r="D491" s="4">
        <v>115</v>
      </c>
      <c r="E491" s="5" t="s">
        <v>11</v>
      </c>
      <c r="F491" s="9">
        <v>45068</v>
      </c>
      <c r="G491" s="4">
        <v>42</v>
      </c>
      <c r="H491" s="23">
        <v>4.7</v>
      </c>
      <c r="I491">
        <f>IF(MONTH(Calls[[#This Row],[Date of Call]])&lt;6,YEAR(Calls[[#This Row],[Date of Call]]),YEAR(Calls[[#This Row],[Date of Call]])+1)</f>
        <v>2023</v>
      </c>
      <c r="J491" t="str">
        <f>TEXT(Calls[[#This Row],[Date of Call]],"DDDD")</f>
        <v>Monday</v>
      </c>
      <c r="K491" t="str" cm="1">
        <f t="array" ref="K491">_xlfn.IFS(Calls[[#This Row],[Duration]]&lt;10,"Under 10 Mins",Calls[[#This Row],[Duration]]&lt;=30,"10 - 30 Mins",Calls[[#This Row],[Duration]]&lt;=60,"30 - 60 Mins",Calls[[#This Row],[Duration]]&lt;=120,"1 - 2 Hours",TRUE,"More than 2  Hours")</f>
        <v>1 - 2 Hours</v>
      </c>
      <c r="L491">
        <f>ROUND(Calls[[#This Row],[Satisfaction Rating]],0)</f>
        <v>5</v>
      </c>
    </row>
    <row r="492" spans="2:12" x14ac:dyDescent="0.3">
      <c r="B492" s="22" t="s">
        <v>514</v>
      </c>
      <c r="C492" s="4" t="s">
        <v>21</v>
      </c>
      <c r="D492" s="4">
        <v>155</v>
      </c>
      <c r="E492" s="5" t="s">
        <v>13</v>
      </c>
      <c r="F492" s="9">
        <v>45069</v>
      </c>
      <c r="G492" s="4">
        <v>37</v>
      </c>
      <c r="H492" s="23">
        <v>4</v>
      </c>
      <c r="I492">
        <f>IF(MONTH(Calls[[#This Row],[Date of Call]])&lt;6,YEAR(Calls[[#This Row],[Date of Call]]),YEAR(Calls[[#This Row],[Date of Call]])+1)</f>
        <v>2023</v>
      </c>
      <c r="J492" t="str">
        <f>TEXT(Calls[[#This Row],[Date of Call]],"DDDD")</f>
        <v>Tuesday</v>
      </c>
      <c r="K492" t="str" cm="1">
        <f t="array" ref="K492">_xlfn.IFS(Calls[[#This Row],[Duration]]&lt;10,"Under 10 Mins",Calls[[#This Row],[Duration]]&lt;=30,"10 - 30 Mins",Calls[[#This Row],[Duration]]&lt;=60,"30 - 60 Mins",Calls[[#This Row],[Duration]]&lt;=120,"1 - 2 Hours",TRUE,"More than 2  Hours")</f>
        <v>More than 2  Hours</v>
      </c>
      <c r="L492">
        <f>ROUND(Calls[[#This Row],[Satisfaction Rating]],0)</f>
        <v>4</v>
      </c>
    </row>
    <row r="493" spans="2:12" x14ac:dyDescent="0.3">
      <c r="B493" s="22" t="s">
        <v>515</v>
      </c>
      <c r="C493" s="4" t="s">
        <v>12</v>
      </c>
      <c r="D493" s="4">
        <v>117</v>
      </c>
      <c r="E493" s="5" t="s">
        <v>13</v>
      </c>
      <c r="F493" s="9">
        <v>45069</v>
      </c>
      <c r="G493" s="4">
        <v>88</v>
      </c>
      <c r="H493" s="23">
        <v>4.7</v>
      </c>
      <c r="I493">
        <f>IF(MONTH(Calls[[#This Row],[Date of Call]])&lt;6,YEAR(Calls[[#This Row],[Date of Call]]),YEAR(Calls[[#This Row],[Date of Call]])+1)</f>
        <v>2023</v>
      </c>
      <c r="J493" t="str">
        <f>TEXT(Calls[[#This Row],[Date of Call]],"DDDD")</f>
        <v>Tuesday</v>
      </c>
      <c r="K493" t="str" cm="1">
        <f t="array" ref="K493">_xlfn.IFS(Calls[[#This Row],[Duration]]&lt;10,"Under 10 Mins",Calls[[#This Row],[Duration]]&lt;=30,"10 - 30 Mins",Calls[[#This Row],[Duration]]&lt;=60,"30 - 60 Mins",Calls[[#This Row],[Duration]]&lt;=120,"1 - 2 Hours",TRUE,"More than 2  Hours")</f>
        <v>1 - 2 Hours</v>
      </c>
      <c r="L493">
        <f>ROUND(Calls[[#This Row],[Satisfaction Rating]],0)</f>
        <v>5</v>
      </c>
    </row>
    <row r="494" spans="2:12" x14ac:dyDescent="0.3">
      <c r="B494" s="22" t="s">
        <v>516</v>
      </c>
      <c r="C494" s="4" t="s">
        <v>5</v>
      </c>
      <c r="D494" s="4">
        <v>63</v>
      </c>
      <c r="E494" s="5" t="s">
        <v>13</v>
      </c>
      <c r="F494" s="9">
        <v>45069</v>
      </c>
      <c r="G494" s="4">
        <v>80</v>
      </c>
      <c r="H494" s="23">
        <v>2.5</v>
      </c>
      <c r="I494">
        <f>IF(MONTH(Calls[[#This Row],[Date of Call]])&lt;6,YEAR(Calls[[#This Row],[Date of Call]]),YEAR(Calls[[#This Row],[Date of Call]])+1)</f>
        <v>2023</v>
      </c>
      <c r="J494" t="str">
        <f>TEXT(Calls[[#This Row],[Date of Call]],"DDDD")</f>
        <v>Tuesday</v>
      </c>
      <c r="K494" t="str" cm="1">
        <f t="array" ref="K494">_xlfn.IFS(Calls[[#This Row],[Duration]]&lt;10,"Under 10 Mins",Calls[[#This Row],[Duration]]&lt;=30,"10 - 30 Mins",Calls[[#This Row],[Duration]]&lt;=60,"30 - 60 Mins",Calls[[#This Row],[Duration]]&lt;=120,"1 - 2 Hours",TRUE,"More than 2  Hours")</f>
        <v>1 - 2 Hours</v>
      </c>
      <c r="L494">
        <f>ROUND(Calls[[#This Row],[Satisfaction Rating]],0)</f>
        <v>3</v>
      </c>
    </row>
    <row r="495" spans="2:12" x14ac:dyDescent="0.3">
      <c r="B495" s="22" t="s">
        <v>517</v>
      </c>
      <c r="C495" s="4" t="s">
        <v>18</v>
      </c>
      <c r="D495" s="4">
        <v>59</v>
      </c>
      <c r="E495" s="5" t="s">
        <v>10</v>
      </c>
      <c r="F495" s="9">
        <v>45070</v>
      </c>
      <c r="G495" s="4">
        <v>123</v>
      </c>
      <c r="H495" s="23">
        <v>3.6</v>
      </c>
      <c r="I495">
        <f>IF(MONTH(Calls[[#This Row],[Date of Call]])&lt;6,YEAR(Calls[[#This Row],[Date of Call]]),YEAR(Calls[[#This Row],[Date of Call]])+1)</f>
        <v>2023</v>
      </c>
      <c r="J495" t="str">
        <f>TEXT(Calls[[#This Row],[Date of Call]],"DDDD")</f>
        <v>Wednesday</v>
      </c>
      <c r="K495" t="str" cm="1">
        <f t="array" ref="K495">_xlfn.IFS(Calls[[#This Row],[Duration]]&lt;10,"Under 10 Mins",Calls[[#This Row],[Duration]]&lt;=30,"10 - 30 Mins",Calls[[#This Row],[Duration]]&lt;=60,"30 - 60 Mins",Calls[[#This Row],[Duration]]&lt;=120,"1 - 2 Hours",TRUE,"More than 2  Hours")</f>
        <v>30 - 60 Mins</v>
      </c>
      <c r="L495">
        <f>ROUND(Calls[[#This Row],[Satisfaction Rating]],0)</f>
        <v>4</v>
      </c>
    </row>
    <row r="496" spans="2:12" x14ac:dyDescent="0.3">
      <c r="B496" s="22" t="s">
        <v>518</v>
      </c>
      <c r="C496" s="4" t="s">
        <v>7</v>
      </c>
      <c r="D496" s="4">
        <v>133</v>
      </c>
      <c r="E496" s="5" t="s">
        <v>6</v>
      </c>
      <c r="F496" s="9">
        <v>45070</v>
      </c>
      <c r="G496" s="4">
        <v>31</v>
      </c>
      <c r="H496" s="23">
        <v>3.7</v>
      </c>
      <c r="I496">
        <f>IF(MONTH(Calls[[#This Row],[Date of Call]])&lt;6,YEAR(Calls[[#This Row],[Date of Call]]),YEAR(Calls[[#This Row],[Date of Call]])+1)</f>
        <v>2023</v>
      </c>
      <c r="J496" t="str">
        <f>TEXT(Calls[[#This Row],[Date of Call]],"DDDD")</f>
        <v>Wednesday</v>
      </c>
      <c r="K496" t="str" cm="1">
        <f t="array" ref="K496">_xlfn.IFS(Calls[[#This Row],[Duration]]&lt;10,"Under 10 Mins",Calls[[#This Row],[Duration]]&lt;=30,"10 - 30 Mins",Calls[[#This Row],[Duration]]&lt;=60,"30 - 60 Mins",Calls[[#This Row],[Duration]]&lt;=120,"1 - 2 Hours",TRUE,"More than 2  Hours")</f>
        <v>More than 2  Hours</v>
      </c>
      <c r="L496">
        <f>ROUND(Calls[[#This Row],[Satisfaction Rating]],0)</f>
        <v>4</v>
      </c>
    </row>
    <row r="497" spans="2:12" x14ac:dyDescent="0.3">
      <c r="B497" s="22" t="s">
        <v>519</v>
      </c>
      <c r="C497" s="4" t="s">
        <v>17</v>
      </c>
      <c r="D497" s="4">
        <v>101</v>
      </c>
      <c r="E497" s="5" t="s">
        <v>9</v>
      </c>
      <c r="F497" s="9">
        <v>45070</v>
      </c>
      <c r="G497" s="4">
        <v>205</v>
      </c>
      <c r="H497" s="23">
        <v>3.9</v>
      </c>
      <c r="I497">
        <f>IF(MONTH(Calls[[#This Row],[Date of Call]])&lt;6,YEAR(Calls[[#This Row],[Date of Call]]),YEAR(Calls[[#This Row],[Date of Call]])+1)</f>
        <v>2023</v>
      </c>
      <c r="J497" t="str">
        <f>TEXT(Calls[[#This Row],[Date of Call]],"DDDD")</f>
        <v>Wednesday</v>
      </c>
      <c r="K497" t="str" cm="1">
        <f t="array" ref="K497">_xlfn.IFS(Calls[[#This Row],[Duration]]&lt;10,"Under 10 Mins",Calls[[#This Row],[Duration]]&lt;=30,"10 - 30 Mins",Calls[[#This Row],[Duration]]&lt;=60,"30 - 60 Mins",Calls[[#This Row],[Duration]]&lt;=120,"1 - 2 Hours",TRUE,"More than 2  Hours")</f>
        <v>1 - 2 Hours</v>
      </c>
      <c r="L497">
        <f>ROUND(Calls[[#This Row],[Satisfaction Rating]],0)</f>
        <v>4</v>
      </c>
    </row>
    <row r="498" spans="2:12" x14ac:dyDescent="0.3">
      <c r="B498" s="22" t="s">
        <v>520</v>
      </c>
      <c r="C498" s="4" t="s">
        <v>14</v>
      </c>
      <c r="D498" s="4">
        <v>151</v>
      </c>
      <c r="E498" s="5" t="s">
        <v>13</v>
      </c>
      <c r="F498" s="9">
        <v>45071</v>
      </c>
      <c r="G498" s="4">
        <v>123</v>
      </c>
      <c r="H498" s="23">
        <v>3.7</v>
      </c>
      <c r="I498">
        <f>IF(MONTH(Calls[[#This Row],[Date of Call]])&lt;6,YEAR(Calls[[#This Row],[Date of Call]]),YEAR(Calls[[#This Row],[Date of Call]])+1)</f>
        <v>2023</v>
      </c>
      <c r="J498" t="str">
        <f>TEXT(Calls[[#This Row],[Date of Call]],"DDDD")</f>
        <v>Thursday</v>
      </c>
      <c r="K498" t="str" cm="1">
        <f t="array" ref="K498">_xlfn.IFS(Calls[[#This Row],[Duration]]&lt;10,"Under 10 Mins",Calls[[#This Row],[Duration]]&lt;=30,"10 - 30 Mins",Calls[[#This Row],[Duration]]&lt;=60,"30 - 60 Mins",Calls[[#This Row],[Duration]]&lt;=120,"1 - 2 Hours",TRUE,"More than 2  Hours")</f>
        <v>More than 2  Hours</v>
      </c>
      <c r="L498">
        <f>ROUND(Calls[[#This Row],[Satisfaction Rating]],0)</f>
        <v>4</v>
      </c>
    </row>
    <row r="499" spans="2:12" x14ac:dyDescent="0.3">
      <c r="B499" s="22" t="s">
        <v>521</v>
      </c>
      <c r="C499" s="4" t="s">
        <v>8</v>
      </c>
      <c r="D499" s="4">
        <v>146</v>
      </c>
      <c r="E499" s="5" t="s">
        <v>6</v>
      </c>
      <c r="F499" s="9">
        <v>45071</v>
      </c>
      <c r="G499" s="4">
        <v>123</v>
      </c>
      <c r="H499" s="23">
        <v>4.3</v>
      </c>
      <c r="I499">
        <f>IF(MONTH(Calls[[#This Row],[Date of Call]])&lt;6,YEAR(Calls[[#This Row],[Date of Call]]),YEAR(Calls[[#This Row],[Date of Call]])+1)</f>
        <v>2023</v>
      </c>
      <c r="J499" t="str">
        <f>TEXT(Calls[[#This Row],[Date of Call]],"DDDD")</f>
        <v>Thursday</v>
      </c>
      <c r="K499" t="str" cm="1">
        <f t="array" ref="K499">_xlfn.IFS(Calls[[#This Row],[Duration]]&lt;10,"Under 10 Mins",Calls[[#This Row],[Duration]]&lt;=30,"10 - 30 Mins",Calls[[#This Row],[Duration]]&lt;=60,"30 - 60 Mins",Calls[[#This Row],[Duration]]&lt;=120,"1 - 2 Hours",TRUE,"More than 2  Hours")</f>
        <v>More than 2  Hours</v>
      </c>
      <c r="L499">
        <f>ROUND(Calls[[#This Row],[Satisfaction Rating]],0)</f>
        <v>4</v>
      </c>
    </row>
    <row r="500" spans="2:12" x14ac:dyDescent="0.3">
      <c r="B500" s="22" t="s">
        <v>522</v>
      </c>
      <c r="C500" s="4" t="s">
        <v>5</v>
      </c>
      <c r="D500" s="4">
        <v>148</v>
      </c>
      <c r="E500" s="5" t="s">
        <v>6</v>
      </c>
      <c r="F500" s="9">
        <v>45071</v>
      </c>
      <c r="G500" s="4">
        <v>36</v>
      </c>
      <c r="H500" s="23">
        <v>2.9</v>
      </c>
      <c r="I500">
        <f>IF(MONTH(Calls[[#This Row],[Date of Call]])&lt;6,YEAR(Calls[[#This Row],[Date of Call]]),YEAR(Calls[[#This Row],[Date of Call]])+1)</f>
        <v>2023</v>
      </c>
      <c r="J500" t="str">
        <f>TEXT(Calls[[#This Row],[Date of Call]],"DDDD")</f>
        <v>Thursday</v>
      </c>
      <c r="K500" t="str" cm="1">
        <f t="array" ref="K500">_xlfn.IFS(Calls[[#This Row],[Duration]]&lt;10,"Under 10 Mins",Calls[[#This Row],[Duration]]&lt;=30,"10 - 30 Mins",Calls[[#This Row],[Duration]]&lt;=60,"30 - 60 Mins",Calls[[#This Row],[Duration]]&lt;=120,"1 - 2 Hours",TRUE,"More than 2  Hours")</f>
        <v>More than 2  Hours</v>
      </c>
      <c r="L500">
        <f>ROUND(Calls[[#This Row],[Satisfaction Rating]],0)</f>
        <v>3</v>
      </c>
    </row>
    <row r="501" spans="2:12" x14ac:dyDescent="0.3">
      <c r="B501" s="22" t="s">
        <v>523</v>
      </c>
      <c r="C501" s="4" t="s">
        <v>14</v>
      </c>
      <c r="D501" s="4">
        <v>81</v>
      </c>
      <c r="E501" s="5" t="s">
        <v>6</v>
      </c>
      <c r="F501" s="9">
        <v>45071</v>
      </c>
      <c r="G501" s="4">
        <v>116</v>
      </c>
      <c r="H501" s="23">
        <v>4.3</v>
      </c>
      <c r="I501">
        <f>IF(MONTH(Calls[[#This Row],[Date of Call]])&lt;6,YEAR(Calls[[#This Row],[Date of Call]]),YEAR(Calls[[#This Row],[Date of Call]])+1)</f>
        <v>2023</v>
      </c>
      <c r="J501" t="str">
        <f>TEXT(Calls[[#This Row],[Date of Call]],"DDDD")</f>
        <v>Thursday</v>
      </c>
      <c r="K501" t="str" cm="1">
        <f t="array" ref="K501">_xlfn.IFS(Calls[[#This Row],[Duration]]&lt;10,"Under 10 Mins",Calls[[#This Row],[Duration]]&lt;=30,"10 - 30 Mins",Calls[[#This Row],[Duration]]&lt;=60,"30 - 60 Mins",Calls[[#This Row],[Duration]]&lt;=120,"1 - 2 Hours",TRUE,"More than 2  Hours")</f>
        <v>1 - 2 Hours</v>
      </c>
      <c r="L501">
        <f>ROUND(Calls[[#This Row],[Satisfaction Rating]],0)</f>
        <v>4</v>
      </c>
    </row>
    <row r="502" spans="2:12" x14ac:dyDescent="0.3">
      <c r="B502" s="22" t="s">
        <v>524</v>
      </c>
      <c r="C502" s="4" t="s">
        <v>22</v>
      </c>
      <c r="D502" s="4">
        <v>115</v>
      </c>
      <c r="E502" s="5" t="s">
        <v>6</v>
      </c>
      <c r="F502" s="9">
        <v>45071</v>
      </c>
      <c r="G502" s="4">
        <v>40</v>
      </c>
      <c r="H502" s="23">
        <v>4.9000000000000004</v>
      </c>
      <c r="I502">
        <f>IF(MONTH(Calls[[#This Row],[Date of Call]])&lt;6,YEAR(Calls[[#This Row],[Date of Call]]),YEAR(Calls[[#This Row],[Date of Call]])+1)</f>
        <v>2023</v>
      </c>
      <c r="J502" t="str">
        <f>TEXT(Calls[[#This Row],[Date of Call]],"DDDD")</f>
        <v>Thursday</v>
      </c>
      <c r="K502" t="str" cm="1">
        <f t="array" ref="K502">_xlfn.IFS(Calls[[#This Row],[Duration]]&lt;10,"Under 10 Mins",Calls[[#This Row],[Duration]]&lt;=30,"10 - 30 Mins",Calls[[#This Row],[Duration]]&lt;=60,"30 - 60 Mins",Calls[[#This Row],[Duration]]&lt;=120,"1 - 2 Hours",TRUE,"More than 2  Hours")</f>
        <v>1 - 2 Hours</v>
      </c>
      <c r="L502">
        <f>ROUND(Calls[[#This Row],[Satisfaction Rating]],0)</f>
        <v>5</v>
      </c>
    </row>
    <row r="503" spans="2:12" x14ac:dyDescent="0.3">
      <c r="B503" s="22" t="s">
        <v>525</v>
      </c>
      <c r="C503" s="4" t="s">
        <v>22</v>
      </c>
      <c r="D503" s="4">
        <v>117</v>
      </c>
      <c r="E503" s="5" t="s">
        <v>13</v>
      </c>
      <c r="F503" s="9">
        <v>45071</v>
      </c>
      <c r="G503" s="4">
        <v>40</v>
      </c>
      <c r="H503" s="23">
        <v>4</v>
      </c>
      <c r="I503">
        <f>IF(MONTH(Calls[[#This Row],[Date of Call]])&lt;6,YEAR(Calls[[#This Row],[Date of Call]]),YEAR(Calls[[#This Row],[Date of Call]])+1)</f>
        <v>2023</v>
      </c>
      <c r="J503" t="str">
        <f>TEXT(Calls[[#This Row],[Date of Call]],"DDDD")</f>
        <v>Thursday</v>
      </c>
      <c r="K503" t="str" cm="1">
        <f t="array" ref="K503">_xlfn.IFS(Calls[[#This Row],[Duration]]&lt;10,"Under 10 Mins",Calls[[#This Row],[Duration]]&lt;=30,"10 - 30 Mins",Calls[[#This Row],[Duration]]&lt;=60,"30 - 60 Mins",Calls[[#This Row],[Duration]]&lt;=120,"1 - 2 Hours",TRUE,"More than 2  Hours")</f>
        <v>1 - 2 Hours</v>
      </c>
      <c r="L503">
        <f>ROUND(Calls[[#This Row],[Satisfaction Rating]],0)</f>
        <v>4</v>
      </c>
    </row>
    <row r="504" spans="2:12" x14ac:dyDescent="0.3">
      <c r="B504" s="22" t="s">
        <v>526</v>
      </c>
      <c r="C504" s="4" t="s">
        <v>17</v>
      </c>
      <c r="D504" s="4">
        <v>110</v>
      </c>
      <c r="E504" s="5" t="s">
        <v>11</v>
      </c>
      <c r="F504" s="9">
        <v>45072</v>
      </c>
      <c r="G504" s="4">
        <v>82</v>
      </c>
      <c r="H504" s="23">
        <v>4</v>
      </c>
      <c r="I504">
        <f>IF(MONTH(Calls[[#This Row],[Date of Call]])&lt;6,YEAR(Calls[[#This Row],[Date of Call]]),YEAR(Calls[[#This Row],[Date of Call]])+1)</f>
        <v>2023</v>
      </c>
      <c r="J504" t="str">
        <f>TEXT(Calls[[#This Row],[Date of Call]],"DDDD")</f>
        <v>Friday</v>
      </c>
      <c r="K504" t="str" cm="1">
        <f t="array" ref="K504">_xlfn.IFS(Calls[[#This Row],[Duration]]&lt;10,"Under 10 Mins",Calls[[#This Row],[Duration]]&lt;=30,"10 - 30 Mins",Calls[[#This Row],[Duration]]&lt;=60,"30 - 60 Mins",Calls[[#This Row],[Duration]]&lt;=120,"1 - 2 Hours",TRUE,"More than 2  Hours")</f>
        <v>1 - 2 Hours</v>
      </c>
      <c r="L504">
        <f>ROUND(Calls[[#This Row],[Satisfaction Rating]],0)</f>
        <v>4</v>
      </c>
    </row>
    <row r="505" spans="2:12" x14ac:dyDescent="0.3">
      <c r="B505" s="22" t="s">
        <v>527</v>
      </c>
      <c r="C505" s="4" t="s">
        <v>24</v>
      </c>
      <c r="D505" s="4">
        <v>103</v>
      </c>
      <c r="E505" s="5" t="s">
        <v>10</v>
      </c>
      <c r="F505" s="9">
        <v>45072</v>
      </c>
      <c r="G505" s="4">
        <v>62</v>
      </c>
      <c r="H505" s="23">
        <v>3.4</v>
      </c>
      <c r="I505">
        <f>IF(MONTH(Calls[[#This Row],[Date of Call]])&lt;6,YEAR(Calls[[#This Row],[Date of Call]]),YEAR(Calls[[#This Row],[Date of Call]])+1)</f>
        <v>2023</v>
      </c>
      <c r="J505" t="str">
        <f>TEXT(Calls[[#This Row],[Date of Call]],"DDDD")</f>
        <v>Friday</v>
      </c>
      <c r="K505" t="str" cm="1">
        <f t="array" ref="K505">_xlfn.IFS(Calls[[#This Row],[Duration]]&lt;10,"Under 10 Mins",Calls[[#This Row],[Duration]]&lt;=30,"10 - 30 Mins",Calls[[#This Row],[Duration]]&lt;=60,"30 - 60 Mins",Calls[[#This Row],[Duration]]&lt;=120,"1 - 2 Hours",TRUE,"More than 2  Hours")</f>
        <v>1 - 2 Hours</v>
      </c>
      <c r="L505">
        <f>ROUND(Calls[[#This Row],[Satisfaction Rating]],0)</f>
        <v>3</v>
      </c>
    </row>
    <row r="506" spans="2:12" x14ac:dyDescent="0.3">
      <c r="B506" s="22" t="s">
        <v>528</v>
      </c>
      <c r="C506" s="4" t="s">
        <v>21</v>
      </c>
      <c r="D506" s="4">
        <v>45</v>
      </c>
      <c r="E506" s="5" t="s">
        <v>10</v>
      </c>
      <c r="F506" s="9">
        <v>45072</v>
      </c>
      <c r="G506" s="4">
        <v>135</v>
      </c>
      <c r="H506" s="23">
        <v>3.9</v>
      </c>
      <c r="I506">
        <f>IF(MONTH(Calls[[#This Row],[Date of Call]])&lt;6,YEAR(Calls[[#This Row],[Date of Call]]),YEAR(Calls[[#This Row],[Date of Call]])+1)</f>
        <v>2023</v>
      </c>
      <c r="J506" t="str">
        <f>TEXT(Calls[[#This Row],[Date of Call]],"DDDD")</f>
        <v>Friday</v>
      </c>
      <c r="K506" t="str" cm="1">
        <f t="array" ref="K506">_xlfn.IFS(Calls[[#This Row],[Duration]]&lt;10,"Under 10 Mins",Calls[[#This Row],[Duration]]&lt;=30,"10 - 30 Mins",Calls[[#This Row],[Duration]]&lt;=60,"30 - 60 Mins",Calls[[#This Row],[Duration]]&lt;=120,"1 - 2 Hours",TRUE,"More than 2  Hours")</f>
        <v>30 - 60 Mins</v>
      </c>
      <c r="L506">
        <f>ROUND(Calls[[#This Row],[Satisfaction Rating]],0)</f>
        <v>4</v>
      </c>
    </row>
    <row r="507" spans="2:12" x14ac:dyDescent="0.3">
      <c r="B507" s="22" t="s">
        <v>529</v>
      </c>
      <c r="C507" s="4" t="s">
        <v>17</v>
      </c>
      <c r="D507" s="4">
        <v>110</v>
      </c>
      <c r="E507" s="5" t="s">
        <v>9</v>
      </c>
      <c r="F507" s="9">
        <v>45072</v>
      </c>
      <c r="G507" s="4">
        <v>155</v>
      </c>
      <c r="H507" s="23">
        <v>2.1</v>
      </c>
      <c r="I507">
        <f>IF(MONTH(Calls[[#This Row],[Date of Call]])&lt;6,YEAR(Calls[[#This Row],[Date of Call]]),YEAR(Calls[[#This Row],[Date of Call]])+1)</f>
        <v>2023</v>
      </c>
      <c r="J507" t="str">
        <f>TEXT(Calls[[#This Row],[Date of Call]],"DDDD")</f>
        <v>Friday</v>
      </c>
      <c r="K507" t="str" cm="1">
        <f t="array" ref="K507">_xlfn.IFS(Calls[[#This Row],[Duration]]&lt;10,"Under 10 Mins",Calls[[#This Row],[Duration]]&lt;=30,"10 - 30 Mins",Calls[[#This Row],[Duration]]&lt;=60,"30 - 60 Mins",Calls[[#This Row],[Duration]]&lt;=120,"1 - 2 Hours",TRUE,"More than 2  Hours")</f>
        <v>1 - 2 Hours</v>
      </c>
      <c r="L507">
        <f>ROUND(Calls[[#This Row],[Satisfaction Rating]],0)</f>
        <v>2</v>
      </c>
    </row>
    <row r="508" spans="2:12" x14ac:dyDescent="0.3">
      <c r="B508" s="22" t="s">
        <v>530</v>
      </c>
      <c r="C508" s="4" t="s">
        <v>18</v>
      </c>
      <c r="D508" s="4">
        <v>43</v>
      </c>
      <c r="E508" s="5" t="s">
        <v>11</v>
      </c>
      <c r="F508" s="9">
        <v>45072</v>
      </c>
      <c r="G508" s="4">
        <v>37</v>
      </c>
      <c r="H508" s="23">
        <v>4.9000000000000004</v>
      </c>
      <c r="I508">
        <f>IF(MONTH(Calls[[#This Row],[Date of Call]])&lt;6,YEAR(Calls[[#This Row],[Date of Call]]),YEAR(Calls[[#This Row],[Date of Call]])+1)</f>
        <v>2023</v>
      </c>
      <c r="J508" t="str">
        <f>TEXT(Calls[[#This Row],[Date of Call]],"DDDD")</f>
        <v>Friday</v>
      </c>
      <c r="K508" t="str" cm="1">
        <f t="array" ref="K508">_xlfn.IFS(Calls[[#This Row],[Duration]]&lt;10,"Under 10 Mins",Calls[[#This Row],[Duration]]&lt;=30,"10 - 30 Mins",Calls[[#This Row],[Duration]]&lt;=60,"30 - 60 Mins",Calls[[#This Row],[Duration]]&lt;=120,"1 - 2 Hours",TRUE,"More than 2  Hours")</f>
        <v>30 - 60 Mins</v>
      </c>
      <c r="L508">
        <f>ROUND(Calls[[#This Row],[Satisfaction Rating]],0)</f>
        <v>5</v>
      </c>
    </row>
    <row r="509" spans="2:12" x14ac:dyDescent="0.3">
      <c r="B509" s="22" t="s">
        <v>531</v>
      </c>
      <c r="C509" s="4" t="s">
        <v>17</v>
      </c>
      <c r="D509" s="4">
        <v>104</v>
      </c>
      <c r="E509" s="5" t="s">
        <v>13</v>
      </c>
      <c r="F509" s="9">
        <v>45073</v>
      </c>
      <c r="G509" s="4">
        <v>56</v>
      </c>
      <c r="H509" s="23">
        <v>3.4</v>
      </c>
      <c r="I509">
        <f>IF(MONTH(Calls[[#This Row],[Date of Call]])&lt;6,YEAR(Calls[[#This Row],[Date of Call]]),YEAR(Calls[[#This Row],[Date of Call]])+1)</f>
        <v>2023</v>
      </c>
      <c r="J509" t="str">
        <f>TEXT(Calls[[#This Row],[Date of Call]],"DDDD")</f>
        <v>Saturday</v>
      </c>
      <c r="K509" t="str" cm="1">
        <f t="array" ref="K509">_xlfn.IFS(Calls[[#This Row],[Duration]]&lt;10,"Under 10 Mins",Calls[[#This Row],[Duration]]&lt;=30,"10 - 30 Mins",Calls[[#This Row],[Duration]]&lt;=60,"30 - 60 Mins",Calls[[#This Row],[Duration]]&lt;=120,"1 - 2 Hours",TRUE,"More than 2  Hours")</f>
        <v>1 - 2 Hours</v>
      </c>
      <c r="L509">
        <f>ROUND(Calls[[#This Row],[Satisfaction Rating]],0)</f>
        <v>3</v>
      </c>
    </row>
    <row r="510" spans="2:12" x14ac:dyDescent="0.3">
      <c r="B510" s="22" t="s">
        <v>532</v>
      </c>
      <c r="C510" s="4" t="s">
        <v>17</v>
      </c>
      <c r="D510" s="4">
        <v>101</v>
      </c>
      <c r="E510" s="5" t="s">
        <v>13</v>
      </c>
      <c r="F510" s="9">
        <v>45073</v>
      </c>
      <c r="G510" s="4">
        <v>185</v>
      </c>
      <c r="H510" s="23">
        <v>5</v>
      </c>
      <c r="I510">
        <f>IF(MONTH(Calls[[#This Row],[Date of Call]])&lt;6,YEAR(Calls[[#This Row],[Date of Call]]),YEAR(Calls[[#This Row],[Date of Call]])+1)</f>
        <v>2023</v>
      </c>
      <c r="J510" t="str">
        <f>TEXT(Calls[[#This Row],[Date of Call]],"DDDD")</f>
        <v>Saturday</v>
      </c>
      <c r="K510" t="str" cm="1">
        <f t="array" ref="K510">_xlfn.IFS(Calls[[#This Row],[Duration]]&lt;10,"Under 10 Mins",Calls[[#This Row],[Duration]]&lt;=30,"10 - 30 Mins",Calls[[#This Row],[Duration]]&lt;=60,"30 - 60 Mins",Calls[[#This Row],[Duration]]&lt;=120,"1 - 2 Hours",TRUE,"More than 2  Hours")</f>
        <v>1 - 2 Hours</v>
      </c>
      <c r="L510">
        <f>ROUND(Calls[[#This Row],[Satisfaction Rating]],0)</f>
        <v>5</v>
      </c>
    </row>
    <row r="511" spans="2:12" x14ac:dyDescent="0.3">
      <c r="B511" s="22" t="s">
        <v>533</v>
      </c>
      <c r="C511" s="4" t="s">
        <v>20</v>
      </c>
      <c r="D511" s="4">
        <v>55</v>
      </c>
      <c r="E511" s="5" t="s">
        <v>11</v>
      </c>
      <c r="F511" s="9">
        <v>45074</v>
      </c>
      <c r="G511" s="4">
        <v>145</v>
      </c>
      <c r="H511" s="23">
        <v>4.5</v>
      </c>
      <c r="I511">
        <f>IF(MONTH(Calls[[#This Row],[Date of Call]])&lt;6,YEAR(Calls[[#This Row],[Date of Call]]),YEAR(Calls[[#This Row],[Date of Call]])+1)</f>
        <v>2023</v>
      </c>
      <c r="J511" t="str">
        <f>TEXT(Calls[[#This Row],[Date of Call]],"DDDD")</f>
        <v>Sunday</v>
      </c>
      <c r="K511" t="str" cm="1">
        <f t="array" ref="K511">_xlfn.IFS(Calls[[#This Row],[Duration]]&lt;10,"Under 10 Mins",Calls[[#This Row],[Duration]]&lt;=30,"10 - 30 Mins",Calls[[#This Row],[Duration]]&lt;=60,"30 - 60 Mins",Calls[[#This Row],[Duration]]&lt;=120,"1 - 2 Hours",TRUE,"More than 2  Hours")</f>
        <v>30 - 60 Mins</v>
      </c>
      <c r="L511">
        <f>ROUND(Calls[[#This Row],[Satisfaction Rating]],0)</f>
        <v>5</v>
      </c>
    </row>
    <row r="512" spans="2:12" x14ac:dyDescent="0.3">
      <c r="B512" s="22" t="s">
        <v>534</v>
      </c>
      <c r="C512" s="4" t="s">
        <v>14</v>
      </c>
      <c r="D512" s="4">
        <v>40</v>
      </c>
      <c r="E512" s="5" t="s">
        <v>10</v>
      </c>
      <c r="F512" s="9">
        <v>45074</v>
      </c>
      <c r="G512" s="4">
        <v>116</v>
      </c>
      <c r="H512" s="23">
        <v>2.6</v>
      </c>
      <c r="I512">
        <f>IF(MONTH(Calls[[#This Row],[Date of Call]])&lt;6,YEAR(Calls[[#This Row],[Date of Call]]),YEAR(Calls[[#This Row],[Date of Call]])+1)</f>
        <v>2023</v>
      </c>
      <c r="J512" t="str">
        <f>TEXT(Calls[[#This Row],[Date of Call]],"DDDD")</f>
        <v>Sunday</v>
      </c>
      <c r="K512" t="str" cm="1">
        <f t="array" ref="K512">_xlfn.IFS(Calls[[#This Row],[Duration]]&lt;10,"Under 10 Mins",Calls[[#This Row],[Duration]]&lt;=30,"10 - 30 Mins",Calls[[#This Row],[Duration]]&lt;=60,"30 - 60 Mins",Calls[[#This Row],[Duration]]&lt;=120,"1 - 2 Hours",TRUE,"More than 2  Hours")</f>
        <v>30 - 60 Mins</v>
      </c>
      <c r="L512">
        <f>ROUND(Calls[[#This Row],[Satisfaction Rating]],0)</f>
        <v>3</v>
      </c>
    </row>
    <row r="513" spans="2:12" x14ac:dyDescent="0.3">
      <c r="B513" s="22" t="s">
        <v>535</v>
      </c>
      <c r="C513" s="4" t="s">
        <v>18</v>
      </c>
      <c r="D513" s="4">
        <v>122</v>
      </c>
      <c r="E513" s="5" t="s">
        <v>6</v>
      </c>
      <c r="F513" s="9">
        <v>45074</v>
      </c>
      <c r="G513" s="4">
        <v>45</v>
      </c>
      <c r="H513" s="23">
        <v>4.2</v>
      </c>
      <c r="I513">
        <f>IF(MONTH(Calls[[#This Row],[Date of Call]])&lt;6,YEAR(Calls[[#This Row],[Date of Call]]),YEAR(Calls[[#This Row],[Date of Call]])+1)</f>
        <v>2023</v>
      </c>
      <c r="J513" t="str">
        <f>TEXT(Calls[[#This Row],[Date of Call]],"DDDD")</f>
        <v>Sunday</v>
      </c>
      <c r="K513" t="str" cm="1">
        <f t="array" ref="K513">_xlfn.IFS(Calls[[#This Row],[Duration]]&lt;10,"Under 10 Mins",Calls[[#This Row],[Duration]]&lt;=30,"10 - 30 Mins",Calls[[#This Row],[Duration]]&lt;=60,"30 - 60 Mins",Calls[[#This Row],[Duration]]&lt;=120,"1 - 2 Hours",TRUE,"More than 2  Hours")</f>
        <v>More than 2  Hours</v>
      </c>
      <c r="L513">
        <f>ROUND(Calls[[#This Row],[Satisfaction Rating]],0)</f>
        <v>4</v>
      </c>
    </row>
    <row r="514" spans="2:12" x14ac:dyDescent="0.3">
      <c r="B514" s="22" t="s">
        <v>536</v>
      </c>
      <c r="C514" s="4" t="s">
        <v>8</v>
      </c>
      <c r="D514" s="4">
        <v>98</v>
      </c>
      <c r="E514" s="5" t="s">
        <v>13</v>
      </c>
      <c r="F514" s="9">
        <v>45075</v>
      </c>
      <c r="G514" s="4">
        <v>35</v>
      </c>
      <c r="H514" s="23">
        <v>4.5</v>
      </c>
      <c r="I514">
        <f>IF(MONTH(Calls[[#This Row],[Date of Call]])&lt;6,YEAR(Calls[[#This Row],[Date of Call]]),YEAR(Calls[[#This Row],[Date of Call]])+1)</f>
        <v>2023</v>
      </c>
      <c r="J514" t="str">
        <f>TEXT(Calls[[#This Row],[Date of Call]],"DDDD")</f>
        <v>Monday</v>
      </c>
      <c r="K514" t="str" cm="1">
        <f t="array" ref="K514">_xlfn.IFS(Calls[[#This Row],[Duration]]&lt;10,"Under 10 Mins",Calls[[#This Row],[Duration]]&lt;=30,"10 - 30 Mins",Calls[[#This Row],[Duration]]&lt;=60,"30 - 60 Mins",Calls[[#This Row],[Duration]]&lt;=120,"1 - 2 Hours",TRUE,"More than 2  Hours")</f>
        <v>1 - 2 Hours</v>
      </c>
      <c r="L514">
        <f>ROUND(Calls[[#This Row],[Satisfaction Rating]],0)</f>
        <v>5</v>
      </c>
    </row>
    <row r="515" spans="2:12" x14ac:dyDescent="0.3">
      <c r="B515" s="22" t="s">
        <v>537</v>
      </c>
      <c r="C515" s="4" t="s">
        <v>22</v>
      </c>
      <c r="D515" s="4">
        <v>110</v>
      </c>
      <c r="E515" s="5" t="s">
        <v>10</v>
      </c>
      <c r="F515" s="9">
        <v>45075</v>
      </c>
      <c r="G515" s="4">
        <v>100</v>
      </c>
      <c r="H515" s="23">
        <v>4.4000000000000004</v>
      </c>
      <c r="I515">
        <f>IF(MONTH(Calls[[#This Row],[Date of Call]])&lt;6,YEAR(Calls[[#This Row],[Date of Call]]),YEAR(Calls[[#This Row],[Date of Call]])+1)</f>
        <v>2023</v>
      </c>
      <c r="J515" t="str">
        <f>TEXT(Calls[[#This Row],[Date of Call]],"DDDD")</f>
        <v>Monday</v>
      </c>
      <c r="K515" t="str" cm="1">
        <f t="array" ref="K515">_xlfn.IFS(Calls[[#This Row],[Duration]]&lt;10,"Under 10 Mins",Calls[[#This Row],[Duration]]&lt;=30,"10 - 30 Mins",Calls[[#This Row],[Duration]]&lt;=60,"30 - 60 Mins",Calls[[#This Row],[Duration]]&lt;=120,"1 - 2 Hours",TRUE,"More than 2  Hours")</f>
        <v>1 - 2 Hours</v>
      </c>
      <c r="L515">
        <f>ROUND(Calls[[#This Row],[Satisfaction Rating]],0)</f>
        <v>4</v>
      </c>
    </row>
    <row r="516" spans="2:12" x14ac:dyDescent="0.3">
      <c r="B516" s="22" t="s">
        <v>538</v>
      </c>
      <c r="C516" s="4" t="s">
        <v>22</v>
      </c>
      <c r="D516" s="4">
        <v>62</v>
      </c>
      <c r="E516" s="5" t="s">
        <v>11</v>
      </c>
      <c r="F516" s="9">
        <v>45076</v>
      </c>
      <c r="G516" s="4">
        <v>125</v>
      </c>
      <c r="H516" s="23">
        <v>3.5</v>
      </c>
      <c r="I516">
        <f>IF(MONTH(Calls[[#This Row],[Date of Call]])&lt;6,YEAR(Calls[[#This Row],[Date of Call]]),YEAR(Calls[[#This Row],[Date of Call]])+1)</f>
        <v>2023</v>
      </c>
      <c r="J516" t="str">
        <f>TEXT(Calls[[#This Row],[Date of Call]],"DDDD")</f>
        <v>Tuesday</v>
      </c>
      <c r="K516" t="str" cm="1">
        <f t="array" ref="K516">_xlfn.IFS(Calls[[#This Row],[Duration]]&lt;10,"Under 10 Mins",Calls[[#This Row],[Duration]]&lt;=30,"10 - 30 Mins",Calls[[#This Row],[Duration]]&lt;=60,"30 - 60 Mins",Calls[[#This Row],[Duration]]&lt;=120,"1 - 2 Hours",TRUE,"More than 2  Hours")</f>
        <v>1 - 2 Hours</v>
      </c>
      <c r="L516">
        <f>ROUND(Calls[[#This Row],[Satisfaction Rating]],0)</f>
        <v>4</v>
      </c>
    </row>
    <row r="517" spans="2:12" x14ac:dyDescent="0.3">
      <c r="B517" s="22" t="s">
        <v>539</v>
      </c>
      <c r="C517" s="4" t="s">
        <v>18</v>
      </c>
      <c r="D517" s="4">
        <v>134</v>
      </c>
      <c r="E517" s="5" t="s">
        <v>6</v>
      </c>
      <c r="F517" s="9">
        <v>45076</v>
      </c>
      <c r="G517" s="4">
        <v>120</v>
      </c>
      <c r="H517" s="23">
        <v>3</v>
      </c>
      <c r="I517">
        <f>IF(MONTH(Calls[[#This Row],[Date of Call]])&lt;6,YEAR(Calls[[#This Row],[Date of Call]]),YEAR(Calls[[#This Row],[Date of Call]])+1)</f>
        <v>2023</v>
      </c>
      <c r="J517" t="str">
        <f>TEXT(Calls[[#This Row],[Date of Call]],"DDDD")</f>
        <v>Tuesday</v>
      </c>
      <c r="K517" t="str" cm="1">
        <f t="array" ref="K517">_xlfn.IFS(Calls[[#This Row],[Duration]]&lt;10,"Under 10 Mins",Calls[[#This Row],[Duration]]&lt;=30,"10 - 30 Mins",Calls[[#This Row],[Duration]]&lt;=60,"30 - 60 Mins",Calls[[#This Row],[Duration]]&lt;=120,"1 - 2 Hours",TRUE,"More than 2  Hours")</f>
        <v>More than 2  Hours</v>
      </c>
      <c r="L517">
        <f>ROUND(Calls[[#This Row],[Satisfaction Rating]],0)</f>
        <v>3</v>
      </c>
    </row>
    <row r="518" spans="2:12" x14ac:dyDescent="0.3">
      <c r="B518" s="22" t="s">
        <v>540</v>
      </c>
      <c r="C518" s="4" t="s">
        <v>19</v>
      </c>
      <c r="D518" s="4">
        <v>94</v>
      </c>
      <c r="E518" s="5" t="s">
        <v>9</v>
      </c>
      <c r="F518" s="9">
        <v>45076</v>
      </c>
      <c r="G518" s="4">
        <v>180</v>
      </c>
      <c r="H518" s="23">
        <v>4.7</v>
      </c>
      <c r="I518">
        <f>IF(MONTH(Calls[[#This Row],[Date of Call]])&lt;6,YEAR(Calls[[#This Row],[Date of Call]]),YEAR(Calls[[#This Row],[Date of Call]])+1)</f>
        <v>2023</v>
      </c>
      <c r="J518" t="str">
        <f>TEXT(Calls[[#This Row],[Date of Call]],"DDDD")</f>
        <v>Tuesday</v>
      </c>
      <c r="K518" t="str" cm="1">
        <f t="array" ref="K518">_xlfn.IFS(Calls[[#This Row],[Duration]]&lt;10,"Under 10 Mins",Calls[[#This Row],[Duration]]&lt;=30,"10 - 30 Mins",Calls[[#This Row],[Duration]]&lt;=60,"30 - 60 Mins",Calls[[#This Row],[Duration]]&lt;=120,"1 - 2 Hours",TRUE,"More than 2  Hours")</f>
        <v>1 - 2 Hours</v>
      </c>
      <c r="L518">
        <f>ROUND(Calls[[#This Row],[Satisfaction Rating]],0)</f>
        <v>5</v>
      </c>
    </row>
    <row r="519" spans="2:12" x14ac:dyDescent="0.3">
      <c r="B519" s="22" t="s">
        <v>541</v>
      </c>
      <c r="C519" s="4" t="s">
        <v>15</v>
      </c>
      <c r="D519" s="4">
        <v>63</v>
      </c>
      <c r="E519" s="5" t="s">
        <v>10</v>
      </c>
      <c r="F519" s="9">
        <v>45076</v>
      </c>
      <c r="G519" s="4">
        <v>44</v>
      </c>
      <c r="H519" s="23">
        <v>3</v>
      </c>
      <c r="I519">
        <f>IF(MONTH(Calls[[#This Row],[Date of Call]])&lt;6,YEAR(Calls[[#This Row],[Date of Call]]),YEAR(Calls[[#This Row],[Date of Call]])+1)</f>
        <v>2023</v>
      </c>
      <c r="J519" t="str">
        <f>TEXT(Calls[[#This Row],[Date of Call]],"DDDD")</f>
        <v>Tuesday</v>
      </c>
      <c r="K519" t="str" cm="1">
        <f t="array" ref="K519">_xlfn.IFS(Calls[[#This Row],[Duration]]&lt;10,"Under 10 Mins",Calls[[#This Row],[Duration]]&lt;=30,"10 - 30 Mins",Calls[[#This Row],[Duration]]&lt;=60,"30 - 60 Mins",Calls[[#This Row],[Duration]]&lt;=120,"1 - 2 Hours",TRUE,"More than 2  Hours")</f>
        <v>1 - 2 Hours</v>
      </c>
      <c r="L519">
        <f>ROUND(Calls[[#This Row],[Satisfaction Rating]],0)</f>
        <v>3</v>
      </c>
    </row>
    <row r="520" spans="2:12" x14ac:dyDescent="0.3">
      <c r="B520" s="22" t="s">
        <v>542</v>
      </c>
      <c r="C520" s="4" t="s">
        <v>7</v>
      </c>
      <c r="D520" s="4">
        <v>95</v>
      </c>
      <c r="E520" s="5" t="s">
        <v>6</v>
      </c>
      <c r="F520" s="9">
        <v>45076</v>
      </c>
      <c r="G520" s="4">
        <v>86</v>
      </c>
      <c r="H520" s="23">
        <v>3.6</v>
      </c>
      <c r="I520">
        <f>IF(MONTH(Calls[[#This Row],[Date of Call]])&lt;6,YEAR(Calls[[#This Row],[Date of Call]]),YEAR(Calls[[#This Row],[Date of Call]])+1)</f>
        <v>2023</v>
      </c>
      <c r="J520" t="str">
        <f>TEXT(Calls[[#This Row],[Date of Call]],"DDDD")</f>
        <v>Tuesday</v>
      </c>
      <c r="K520" t="str" cm="1">
        <f t="array" ref="K520">_xlfn.IFS(Calls[[#This Row],[Duration]]&lt;10,"Under 10 Mins",Calls[[#This Row],[Duration]]&lt;=30,"10 - 30 Mins",Calls[[#This Row],[Duration]]&lt;=60,"30 - 60 Mins",Calls[[#This Row],[Duration]]&lt;=120,"1 - 2 Hours",TRUE,"More than 2  Hours")</f>
        <v>1 - 2 Hours</v>
      </c>
      <c r="L520">
        <f>ROUND(Calls[[#This Row],[Satisfaction Rating]],0)</f>
        <v>4</v>
      </c>
    </row>
    <row r="521" spans="2:12" x14ac:dyDescent="0.3">
      <c r="B521" s="22" t="s">
        <v>543</v>
      </c>
      <c r="C521" s="4" t="s">
        <v>18</v>
      </c>
      <c r="D521" s="4">
        <v>106</v>
      </c>
      <c r="E521" s="5" t="s">
        <v>6</v>
      </c>
      <c r="F521" s="9">
        <v>45077</v>
      </c>
      <c r="G521" s="4">
        <v>120</v>
      </c>
      <c r="H521" s="23">
        <v>4.0999999999999996</v>
      </c>
      <c r="I521">
        <f>IF(MONTH(Calls[[#This Row],[Date of Call]])&lt;6,YEAR(Calls[[#This Row],[Date of Call]]),YEAR(Calls[[#This Row],[Date of Call]])+1)</f>
        <v>2023</v>
      </c>
      <c r="J521" t="str">
        <f>TEXT(Calls[[#This Row],[Date of Call]],"DDDD")</f>
        <v>Wednesday</v>
      </c>
      <c r="K521" t="str" cm="1">
        <f t="array" ref="K521">_xlfn.IFS(Calls[[#This Row],[Duration]]&lt;10,"Under 10 Mins",Calls[[#This Row],[Duration]]&lt;=30,"10 - 30 Mins",Calls[[#This Row],[Duration]]&lt;=60,"30 - 60 Mins",Calls[[#This Row],[Duration]]&lt;=120,"1 - 2 Hours",TRUE,"More than 2  Hours")</f>
        <v>1 - 2 Hours</v>
      </c>
      <c r="L521">
        <f>ROUND(Calls[[#This Row],[Satisfaction Rating]],0)</f>
        <v>4</v>
      </c>
    </row>
    <row r="522" spans="2:12" x14ac:dyDescent="0.3">
      <c r="B522" s="22" t="s">
        <v>544</v>
      </c>
      <c r="C522" s="4" t="s">
        <v>21</v>
      </c>
      <c r="D522" s="4">
        <v>94</v>
      </c>
      <c r="E522" s="5" t="s">
        <v>9</v>
      </c>
      <c r="F522" s="9">
        <v>45077</v>
      </c>
      <c r="G522" s="4">
        <v>100</v>
      </c>
      <c r="H522" s="23">
        <v>3.7</v>
      </c>
      <c r="I522">
        <f>IF(MONTH(Calls[[#This Row],[Date of Call]])&lt;6,YEAR(Calls[[#This Row],[Date of Call]]),YEAR(Calls[[#This Row],[Date of Call]])+1)</f>
        <v>2023</v>
      </c>
      <c r="J522" t="str">
        <f>TEXT(Calls[[#This Row],[Date of Call]],"DDDD")</f>
        <v>Wednesday</v>
      </c>
      <c r="K522" t="str" cm="1">
        <f t="array" ref="K522">_xlfn.IFS(Calls[[#This Row],[Duration]]&lt;10,"Under 10 Mins",Calls[[#This Row],[Duration]]&lt;=30,"10 - 30 Mins",Calls[[#This Row],[Duration]]&lt;=60,"30 - 60 Mins",Calls[[#This Row],[Duration]]&lt;=120,"1 - 2 Hours",TRUE,"More than 2  Hours")</f>
        <v>1 - 2 Hours</v>
      </c>
      <c r="L522">
        <f>ROUND(Calls[[#This Row],[Satisfaction Rating]],0)</f>
        <v>4</v>
      </c>
    </row>
    <row r="523" spans="2:12" x14ac:dyDescent="0.3">
      <c r="B523" s="22" t="s">
        <v>545</v>
      </c>
      <c r="C523" s="4" t="s">
        <v>21</v>
      </c>
      <c r="D523" s="4">
        <v>51</v>
      </c>
      <c r="E523" s="5" t="s">
        <v>9</v>
      </c>
      <c r="F523" s="9">
        <v>45078</v>
      </c>
      <c r="G523" s="4">
        <v>108</v>
      </c>
      <c r="H523" s="23">
        <v>4.5</v>
      </c>
      <c r="I523">
        <f>IF(MONTH(Calls[[#This Row],[Date of Call]])&lt;6,YEAR(Calls[[#This Row],[Date of Call]]),YEAR(Calls[[#This Row],[Date of Call]])+1)</f>
        <v>2024</v>
      </c>
      <c r="J523" t="str">
        <f>TEXT(Calls[[#This Row],[Date of Call]],"DDDD")</f>
        <v>Thursday</v>
      </c>
      <c r="K523" t="str" cm="1">
        <f t="array" ref="K523">_xlfn.IFS(Calls[[#This Row],[Duration]]&lt;10,"Under 10 Mins",Calls[[#This Row],[Duration]]&lt;=30,"10 - 30 Mins",Calls[[#This Row],[Duration]]&lt;=60,"30 - 60 Mins",Calls[[#This Row],[Duration]]&lt;=120,"1 - 2 Hours",TRUE,"More than 2  Hours")</f>
        <v>30 - 60 Mins</v>
      </c>
      <c r="L523">
        <f>ROUND(Calls[[#This Row],[Satisfaction Rating]],0)</f>
        <v>5</v>
      </c>
    </row>
    <row r="524" spans="2:12" x14ac:dyDescent="0.3">
      <c r="B524" s="22" t="s">
        <v>546</v>
      </c>
      <c r="C524" s="4" t="s">
        <v>5</v>
      </c>
      <c r="D524" s="4">
        <v>39</v>
      </c>
      <c r="E524" s="5" t="s">
        <v>9</v>
      </c>
      <c r="F524" s="9">
        <v>45078</v>
      </c>
      <c r="G524" s="4">
        <v>46</v>
      </c>
      <c r="H524" s="23">
        <v>4.5999999999999996</v>
      </c>
      <c r="I524">
        <f>IF(MONTH(Calls[[#This Row],[Date of Call]])&lt;6,YEAR(Calls[[#This Row],[Date of Call]]),YEAR(Calls[[#This Row],[Date of Call]])+1)</f>
        <v>2024</v>
      </c>
      <c r="J524" t="str">
        <f>TEXT(Calls[[#This Row],[Date of Call]],"DDDD")</f>
        <v>Thursday</v>
      </c>
      <c r="K524" t="str" cm="1">
        <f t="array" ref="K524">_xlfn.IFS(Calls[[#This Row],[Duration]]&lt;10,"Under 10 Mins",Calls[[#This Row],[Duration]]&lt;=30,"10 - 30 Mins",Calls[[#This Row],[Duration]]&lt;=60,"30 - 60 Mins",Calls[[#This Row],[Duration]]&lt;=120,"1 - 2 Hours",TRUE,"More than 2  Hours")</f>
        <v>30 - 60 Mins</v>
      </c>
      <c r="L524">
        <f>ROUND(Calls[[#This Row],[Satisfaction Rating]],0)</f>
        <v>5</v>
      </c>
    </row>
    <row r="525" spans="2:12" x14ac:dyDescent="0.3">
      <c r="B525" s="22" t="s">
        <v>547</v>
      </c>
      <c r="C525" s="4" t="s">
        <v>14</v>
      </c>
      <c r="D525" s="4">
        <v>111</v>
      </c>
      <c r="E525" s="5" t="s">
        <v>6</v>
      </c>
      <c r="F525" s="9">
        <v>45078</v>
      </c>
      <c r="G525" s="4">
        <v>210</v>
      </c>
      <c r="H525" s="23">
        <v>4.3</v>
      </c>
      <c r="I525">
        <f>IF(MONTH(Calls[[#This Row],[Date of Call]])&lt;6,YEAR(Calls[[#This Row],[Date of Call]]),YEAR(Calls[[#This Row],[Date of Call]])+1)</f>
        <v>2024</v>
      </c>
      <c r="J525" t="str">
        <f>TEXT(Calls[[#This Row],[Date of Call]],"DDDD")</f>
        <v>Thursday</v>
      </c>
      <c r="K525" t="str" cm="1">
        <f t="array" ref="K525">_xlfn.IFS(Calls[[#This Row],[Duration]]&lt;10,"Under 10 Mins",Calls[[#This Row],[Duration]]&lt;=30,"10 - 30 Mins",Calls[[#This Row],[Duration]]&lt;=60,"30 - 60 Mins",Calls[[#This Row],[Duration]]&lt;=120,"1 - 2 Hours",TRUE,"More than 2  Hours")</f>
        <v>1 - 2 Hours</v>
      </c>
      <c r="L525">
        <f>ROUND(Calls[[#This Row],[Satisfaction Rating]],0)</f>
        <v>4</v>
      </c>
    </row>
    <row r="526" spans="2:12" x14ac:dyDescent="0.3">
      <c r="B526" s="22" t="s">
        <v>548</v>
      </c>
      <c r="C526" s="4" t="s">
        <v>16</v>
      </c>
      <c r="D526" s="4">
        <v>141</v>
      </c>
      <c r="E526" s="5" t="s">
        <v>11</v>
      </c>
      <c r="F526" s="9">
        <v>45080</v>
      </c>
      <c r="G526" s="4">
        <v>54</v>
      </c>
      <c r="H526" s="23">
        <v>4.8</v>
      </c>
      <c r="I526">
        <f>IF(MONTH(Calls[[#This Row],[Date of Call]])&lt;6,YEAR(Calls[[#This Row],[Date of Call]]),YEAR(Calls[[#This Row],[Date of Call]])+1)</f>
        <v>2024</v>
      </c>
      <c r="J526" t="str">
        <f>TEXT(Calls[[#This Row],[Date of Call]],"DDDD")</f>
        <v>Saturday</v>
      </c>
      <c r="K526" t="str" cm="1">
        <f t="array" ref="K526">_xlfn.IFS(Calls[[#This Row],[Duration]]&lt;10,"Under 10 Mins",Calls[[#This Row],[Duration]]&lt;=30,"10 - 30 Mins",Calls[[#This Row],[Duration]]&lt;=60,"30 - 60 Mins",Calls[[#This Row],[Duration]]&lt;=120,"1 - 2 Hours",TRUE,"More than 2  Hours")</f>
        <v>More than 2  Hours</v>
      </c>
      <c r="L526">
        <f>ROUND(Calls[[#This Row],[Satisfaction Rating]],0)</f>
        <v>5</v>
      </c>
    </row>
    <row r="527" spans="2:12" x14ac:dyDescent="0.3">
      <c r="B527" s="22" t="s">
        <v>549</v>
      </c>
      <c r="C527" s="4" t="s">
        <v>15</v>
      </c>
      <c r="D527" s="4">
        <v>147</v>
      </c>
      <c r="E527" s="5" t="s">
        <v>6</v>
      </c>
      <c r="F527" s="9">
        <v>45080</v>
      </c>
      <c r="G527" s="4">
        <v>115</v>
      </c>
      <c r="H527" s="23">
        <v>4.7</v>
      </c>
      <c r="I527">
        <f>IF(MONTH(Calls[[#This Row],[Date of Call]])&lt;6,YEAR(Calls[[#This Row],[Date of Call]]),YEAR(Calls[[#This Row],[Date of Call]])+1)</f>
        <v>2024</v>
      </c>
      <c r="J527" t="str">
        <f>TEXT(Calls[[#This Row],[Date of Call]],"DDDD")</f>
        <v>Saturday</v>
      </c>
      <c r="K527" t="str" cm="1">
        <f t="array" ref="K527">_xlfn.IFS(Calls[[#This Row],[Duration]]&lt;10,"Under 10 Mins",Calls[[#This Row],[Duration]]&lt;=30,"10 - 30 Mins",Calls[[#This Row],[Duration]]&lt;=60,"30 - 60 Mins",Calls[[#This Row],[Duration]]&lt;=120,"1 - 2 Hours",TRUE,"More than 2  Hours")</f>
        <v>More than 2  Hours</v>
      </c>
      <c r="L527">
        <f>ROUND(Calls[[#This Row],[Satisfaction Rating]],0)</f>
        <v>5</v>
      </c>
    </row>
    <row r="528" spans="2:12" x14ac:dyDescent="0.3">
      <c r="B528" s="22" t="s">
        <v>550</v>
      </c>
      <c r="C528" s="4" t="s">
        <v>19</v>
      </c>
      <c r="D528" s="4">
        <v>49</v>
      </c>
      <c r="E528" s="5" t="s">
        <v>9</v>
      </c>
      <c r="F528" s="9">
        <v>45081</v>
      </c>
      <c r="G528" s="4">
        <v>100</v>
      </c>
      <c r="H528" s="23">
        <v>2.2000000000000002</v>
      </c>
      <c r="I528">
        <f>IF(MONTH(Calls[[#This Row],[Date of Call]])&lt;6,YEAR(Calls[[#This Row],[Date of Call]]),YEAR(Calls[[#This Row],[Date of Call]])+1)</f>
        <v>2024</v>
      </c>
      <c r="J528" t="str">
        <f>TEXT(Calls[[#This Row],[Date of Call]],"DDDD")</f>
        <v>Sunday</v>
      </c>
      <c r="K528" t="str" cm="1">
        <f t="array" ref="K528">_xlfn.IFS(Calls[[#This Row],[Duration]]&lt;10,"Under 10 Mins",Calls[[#This Row],[Duration]]&lt;=30,"10 - 30 Mins",Calls[[#This Row],[Duration]]&lt;=60,"30 - 60 Mins",Calls[[#This Row],[Duration]]&lt;=120,"1 - 2 Hours",TRUE,"More than 2  Hours")</f>
        <v>30 - 60 Mins</v>
      </c>
      <c r="L528">
        <f>ROUND(Calls[[#This Row],[Satisfaction Rating]],0)</f>
        <v>2</v>
      </c>
    </row>
    <row r="529" spans="2:12" x14ac:dyDescent="0.3">
      <c r="B529" s="22" t="s">
        <v>551</v>
      </c>
      <c r="C529" s="4" t="s">
        <v>23</v>
      </c>
      <c r="D529" s="4">
        <v>75</v>
      </c>
      <c r="E529" s="5" t="s">
        <v>6</v>
      </c>
      <c r="F529" s="9">
        <v>45081</v>
      </c>
      <c r="G529" s="4">
        <v>38</v>
      </c>
      <c r="H529" s="23">
        <v>4.4000000000000004</v>
      </c>
      <c r="I529">
        <f>IF(MONTH(Calls[[#This Row],[Date of Call]])&lt;6,YEAR(Calls[[#This Row],[Date of Call]]),YEAR(Calls[[#This Row],[Date of Call]])+1)</f>
        <v>2024</v>
      </c>
      <c r="J529" t="str">
        <f>TEXT(Calls[[#This Row],[Date of Call]],"DDDD")</f>
        <v>Sunday</v>
      </c>
      <c r="K529" t="str" cm="1">
        <f t="array" ref="K529">_xlfn.IFS(Calls[[#This Row],[Duration]]&lt;10,"Under 10 Mins",Calls[[#This Row],[Duration]]&lt;=30,"10 - 30 Mins",Calls[[#This Row],[Duration]]&lt;=60,"30 - 60 Mins",Calls[[#This Row],[Duration]]&lt;=120,"1 - 2 Hours",TRUE,"More than 2  Hours")</f>
        <v>1 - 2 Hours</v>
      </c>
      <c r="L529">
        <f>ROUND(Calls[[#This Row],[Satisfaction Rating]],0)</f>
        <v>4</v>
      </c>
    </row>
    <row r="530" spans="2:12" x14ac:dyDescent="0.3">
      <c r="B530" s="22" t="s">
        <v>552</v>
      </c>
      <c r="C530" s="4" t="s">
        <v>16</v>
      </c>
      <c r="D530" s="4">
        <v>48</v>
      </c>
      <c r="E530" s="5" t="s">
        <v>11</v>
      </c>
      <c r="F530" s="9">
        <v>45082</v>
      </c>
      <c r="G530" s="4">
        <v>120</v>
      </c>
      <c r="H530" s="23">
        <v>4.0999999999999996</v>
      </c>
      <c r="I530">
        <f>IF(MONTH(Calls[[#This Row],[Date of Call]])&lt;6,YEAR(Calls[[#This Row],[Date of Call]]),YEAR(Calls[[#This Row],[Date of Call]])+1)</f>
        <v>2024</v>
      </c>
      <c r="J530" t="str">
        <f>TEXT(Calls[[#This Row],[Date of Call]],"DDDD")</f>
        <v>Monday</v>
      </c>
      <c r="K530" t="str" cm="1">
        <f t="array" ref="K530">_xlfn.IFS(Calls[[#This Row],[Duration]]&lt;10,"Under 10 Mins",Calls[[#This Row],[Duration]]&lt;=30,"10 - 30 Mins",Calls[[#This Row],[Duration]]&lt;=60,"30 - 60 Mins",Calls[[#This Row],[Duration]]&lt;=120,"1 - 2 Hours",TRUE,"More than 2  Hours")</f>
        <v>30 - 60 Mins</v>
      </c>
      <c r="L530">
        <f>ROUND(Calls[[#This Row],[Satisfaction Rating]],0)</f>
        <v>4</v>
      </c>
    </row>
    <row r="531" spans="2:12" x14ac:dyDescent="0.3">
      <c r="B531" s="22" t="s">
        <v>553</v>
      </c>
      <c r="C531" s="4" t="s">
        <v>22</v>
      </c>
      <c r="D531" s="4">
        <v>48</v>
      </c>
      <c r="E531" s="5" t="s">
        <v>11</v>
      </c>
      <c r="F531" s="9">
        <v>45082</v>
      </c>
      <c r="G531" s="4">
        <v>120</v>
      </c>
      <c r="H531" s="23">
        <v>4.0999999999999996</v>
      </c>
      <c r="I531">
        <f>IF(MONTH(Calls[[#This Row],[Date of Call]])&lt;6,YEAR(Calls[[#This Row],[Date of Call]]),YEAR(Calls[[#This Row],[Date of Call]])+1)</f>
        <v>2024</v>
      </c>
      <c r="J531" t="str">
        <f>TEXT(Calls[[#This Row],[Date of Call]],"DDDD")</f>
        <v>Monday</v>
      </c>
      <c r="K531" t="str" cm="1">
        <f t="array" ref="K531">_xlfn.IFS(Calls[[#This Row],[Duration]]&lt;10,"Under 10 Mins",Calls[[#This Row],[Duration]]&lt;=30,"10 - 30 Mins",Calls[[#This Row],[Duration]]&lt;=60,"30 - 60 Mins",Calls[[#This Row],[Duration]]&lt;=120,"1 - 2 Hours",TRUE,"More than 2  Hours")</f>
        <v>30 - 60 Mins</v>
      </c>
      <c r="L531">
        <f>ROUND(Calls[[#This Row],[Satisfaction Rating]],0)</f>
        <v>4</v>
      </c>
    </row>
    <row r="532" spans="2:12" x14ac:dyDescent="0.3">
      <c r="B532" s="22" t="s">
        <v>554</v>
      </c>
      <c r="C532" s="4" t="s">
        <v>12</v>
      </c>
      <c r="D532" s="4">
        <v>138</v>
      </c>
      <c r="E532" s="5" t="s">
        <v>9</v>
      </c>
      <c r="F532" s="9">
        <v>45082</v>
      </c>
      <c r="G532" s="4">
        <v>29</v>
      </c>
      <c r="H532" s="23">
        <v>4.4000000000000004</v>
      </c>
      <c r="I532">
        <f>IF(MONTH(Calls[[#This Row],[Date of Call]])&lt;6,YEAR(Calls[[#This Row],[Date of Call]]),YEAR(Calls[[#This Row],[Date of Call]])+1)</f>
        <v>2024</v>
      </c>
      <c r="J532" t="str">
        <f>TEXT(Calls[[#This Row],[Date of Call]],"DDDD")</f>
        <v>Monday</v>
      </c>
      <c r="K532" t="str" cm="1">
        <f t="array" ref="K532">_xlfn.IFS(Calls[[#This Row],[Duration]]&lt;10,"Under 10 Mins",Calls[[#This Row],[Duration]]&lt;=30,"10 - 30 Mins",Calls[[#This Row],[Duration]]&lt;=60,"30 - 60 Mins",Calls[[#This Row],[Duration]]&lt;=120,"1 - 2 Hours",TRUE,"More than 2  Hours")</f>
        <v>More than 2  Hours</v>
      </c>
      <c r="L532">
        <f>ROUND(Calls[[#This Row],[Satisfaction Rating]],0)</f>
        <v>4</v>
      </c>
    </row>
    <row r="533" spans="2:12" x14ac:dyDescent="0.3">
      <c r="B533" s="22" t="s">
        <v>555</v>
      </c>
      <c r="C533" s="4" t="s">
        <v>7</v>
      </c>
      <c r="D533" s="4">
        <v>144</v>
      </c>
      <c r="E533" s="5" t="s">
        <v>9</v>
      </c>
      <c r="F533" s="9">
        <v>45083</v>
      </c>
      <c r="G533" s="4">
        <v>25</v>
      </c>
      <c r="H533" s="23">
        <v>3.7</v>
      </c>
      <c r="I533">
        <f>IF(MONTH(Calls[[#This Row],[Date of Call]])&lt;6,YEAR(Calls[[#This Row],[Date of Call]]),YEAR(Calls[[#This Row],[Date of Call]])+1)</f>
        <v>2024</v>
      </c>
      <c r="J533" t="str">
        <f>TEXT(Calls[[#This Row],[Date of Call]],"DDDD")</f>
        <v>Tuesday</v>
      </c>
      <c r="K533" t="str" cm="1">
        <f t="array" ref="K533">_xlfn.IFS(Calls[[#This Row],[Duration]]&lt;10,"Under 10 Mins",Calls[[#This Row],[Duration]]&lt;=30,"10 - 30 Mins",Calls[[#This Row],[Duration]]&lt;=60,"30 - 60 Mins",Calls[[#This Row],[Duration]]&lt;=120,"1 - 2 Hours",TRUE,"More than 2  Hours")</f>
        <v>More than 2  Hours</v>
      </c>
      <c r="L533">
        <f>ROUND(Calls[[#This Row],[Satisfaction Rating]],0)</f>
        <v>4</v>
      </c>
    </row>
    <row r="534" spans="2:12" x14ac:dyDescent="0.3">
      <c r="B534" s="22" t="s">
        <v>556</v>
      </c>
      <c r="C534" s="4" t="s">
        <v>17</v>
      </c>
      <c r="D534" s="4">
        <v>119</v>
      </c>
      <c r="E534" s="5" t="s">
        <v>6</v>
      </c>
      <c r="F534" s="9">
        <v>45084</v>
      </c>
      <c r="G534" s="4">
        <v>116</v>
      </c>
      <c r="H534" s="23">
        <v>3.8</v>
      </c>
      <c r="I534">
        <f>IF(MONTH(Calls[[#This Row],[Date of Call]])&lt;6,YEAR(Calls[[#This Row],[Date of Call]]),YEAR(Calls[[#This Row],[Date of Call]])+1)</f>
        <v>2024</v>
      </c>
      <c r="J534" t="str">
        <f>TEXT(Calls[[#This Row],[Date of Call]],"DDDD")</f>
        <v>Wednesday</v>
      </c>
      <c r="K534" t="str" cm="1">
        <f t="array" ref="K534">_xlfn.IFS(Calls[[#This Row],[Duration]]&lt;10,"Under 10 Mins",Calls[[#This Row],[Duration]]&lt;=30,"10 - 30 Mins",Calls[[#This Row],[Duration]]&lt;=60,"30 - 60 Mins",Calls[[#This Row],[Duration]]&lt;=120,"1 - 2 Hours",TRUE,"More than 2  Hours")</f>
        <v>1 - 2 Hours</v>
      </c>
      <c r="L534">
        <f>ROUND(Calls[[#This Row],[Satisfaction Rating]],0)</f>
        <v>4</v>
      </c>
    </row>
    <row r="535" spans="2:12" x14ac:dyDescent="0.3">
      <c r="B535" s="22" t="s">
        <v>557</v>
      </c>
      <c r="C535" s="4" t="s">
        <v>12</v>
      </c>
      <c r="D535" s="4">
        <v>101</v>
      </c>
      <c r="E535" s="5" t="s">
        <v>11</v>
      </c>
      <c r="F535" s="9">
        <v>45085</v>
      </c>
      <c r="G535" s="4">
        <v>132</v>
      </c>
      <c r="H535" s="23">
        <v>4.3</v>
      </c>
      <c r="I535">
        <f>IF(MONTH(Calls[[#This Row],[Date of Call]])&lt;6,YEAR(Calls[[#This Row],[Date of Call]]),YEAR(Calls[[#This Row],[Date of Call]])+1)</f>
        <v>2024</v>
      </c>
      <c r="J535" t="str">
        <f>TEXT(Calls[[#This Row],[Date of Call]],"DDDD")</f>
        <v>Thursday</v>
      </c>
      <c r="K535" t="str" cm="1">
        <f t="array" ref="K535">_xlfn.IFS(Calls[[#This Row],[Duration]]&lt;10,"Under 10 Mins",Calls[[#This Row],[Duration]]&lt;=30,"10 - 30 Mins",Calls[[#This Row],[Duration]]&lt;=60,"30 - 60 Mins",Calls[[#This Row],[Duration]]&lt;=120,"1 - 2 Hours",TRUE,"More than 2  Hours")</f>
        <v>1 - 2 Hours</v>
      </c>
      <c r="L535">
        <f>ROUND(Calls[[#This Row],[Satisfaction Rating]],0)</f>
        <v>4</v>
      </c>
    </row>
    <row r="536" spans="2:12" x14ac:dyDescent="0.3">
      <c r="B536" s="22" t="s">
        <v>558</v>
      </c>
      <c r="C536" s="4" t="s">
        <v>7</v>
      </c>
      <c r="D536" s="4">
        <v>59</v>
      </c>
      <c r="E536" s="5" t="s">
        <v>6</v>
      </c>
      <c r="F536" s="9">
        <v>45086</v>
      </c>
      <c r="G536" s="4">
        <v>90</v>
      </c>
      <c r="H536" s="23">
        <v>3.5</v>
      </c>
      <c r="I536">
        <f>IF(MONTH(Calls[[#This Row],[Date of Call]])&lt;6,YEAR(Calls[[#This Row],[Date of Call]]),YEAR(Calls[[#This Row],[Date of Call]])+1)</f>
        <v>2024</v>
      </c>
      <c r="J536" t="str">
        <f>TEXT(Calls[[#This Row],[Date of Call]],"DDDD")</f>
        <v>Friday</v>
      </c>
      <c r="K536" t="str" cm="1">
        <f t="array" ref="K536">_xlfn.IFS(Calls[[#This Row],[Duration]]&lt;10,"Under 10 Mins",Calls[[#This Row],[Duration]]&lt;=30,"10 - 30 Mins",Calls[[#This Row],[Duration]]&lt;=60,"30 - 60 Mins",Calls[[#This Row],[Duration]]&lt;=120,"1 - 2 Hours",TRUE,"More than 2  Hours")</f>
        <v>30 - 60 Mins</v>
      </c>
      <c r="L536">
        <f>ROUND(Calls[[#This Row],[Satisfaction Rating]],0)</f>
        <v>4</v>
      </c>
    </row>
    <row r="537" spans="2:12" x14ac:dyDescent="0.3">
      <c r="B537" s="22" t="s">
        <v>559</v>
      </c>
      <c r="C537" s="4" t="s">
        <v>14</v>
      </c>
      <c r="D537" s="4">
        <v>125</v>
      </c>
      <c r="E537" s="5" t="s">
        <v>10</v>
      </c>
      <c r="F537" s="9">
        <v>45086</v>
      </c>
      <c r="G537" s="4">
        <v>87</v>
      </c>
      <c r="H537" s="23">
        <v>4.0999999999999996</v>
      </c>
      <c r="I537">
        <f>IF(MONTH(Calls[[#This Row],[Date of Call]])&lt;6,YEAR(Calls[[#This Row],[Date of Call]]),YEAR(Calls[[#This Row],[Date of Call]])+1)</f>
        <v>2024</v>
      </c>
      <c r="J537" t="str">
        <f>TEXT(Calls[[#This Row],[Date of Call]],"DDDD")</f>
        <v>Friday</v>
      </c>
      <c r="K537" t="str" cm="1">
        <f t="array" ref="K537">_xlfn.IFS(Calls[[#This Row],[Duration]]&lt;10,"Under 10 Mins",Calls[[#This Row],[Duration]]&lt;=30,"10 - 30 Mins",Calls[[#This Row],[Duration]]&lt;=60,"30 - 60 Mins",Calls[[#This Row],[Duration]]&lt;=120,"1 - 2 Hours",TRUE,"More than 2  Hours")</f>
        <v>More than 2  Hours</v>
      </c>
      <c r="L537">
        <f>ROUND(Calls[[#This Row],[Satisfaction Rating]],0)</f>
        <v>4</v>
      </c>
    </row>
    <row r="538" spans="2:12" x14ac:dyDescent="0.3">
      <c r="B538" s="22" t="s">
        <v>560</v>
      </c>
      <c r="C538" s="4" t="s">
        <v>18</v>
      </c>
      <c r="D538" s="4">
        <v>147</v>
      </c>
      <c r="E538" s="5" t="s">
        <v>6</v>
      </c>
      <c r="F538" s="9">
        <v>45086</v>
      </c>
      <c r="G538" s="4">
        <v>140</v>
      </c>
      <c r="H538" s="23">
        <v>4.2</v>
      </c>
      <c r="I538">
        <f>IF(MONTH(Calls[[#This Row],[Date of Call]])&lt;6,YEAR(Calls[[#This Row],[Date of Call]]),YEAR(Calls[[#This Row],[Date of Call]])+1)</f>
        <v>2024</v>
      </c>
      <c r="J538" t="str">
        <f>TEXT(Calls[[#This Row],[Date of Call]],"DDDD")</f>
        <v>Friday</v>
      </c>
      <c r="K538" t="str" cm="1">
        <f t="array" ref="K538">_xlfn.IFS(Calls[[#This Row],[Duration]]&lt;10,"Under 10 Mins",Calls[[#This Row],[Duration]]&lt;=30,"10 - 30 Mins",Calls[[#This Row],[Duration]]&lt;=60,"30 - 60 Mins",Calls[[#This Row],[Duration]]&lt;=120,"1 - 2 Hours",TRUE,"More than 2  Hours")</f>
        <v>More than 2  Hours</v>
      </c>
      <c r="L538">
        <f>ROUND(Calls[[#This Row],[Satisfaction Rating]],0)</f>
        <v>4</v>
      </c>
    </row>
    <row r="539" spans="2:12" x14ac:dyDescent="0.3">
      <c r="B539" s="22" t="s">
        <v>561</v>
      </c>
      <c r="C539" s="4" t="s">
        <v>24</v>
      </c>
      <c r="D539" s="4">
        <v>76</v>
      </c>
      <c r="E539" s="5" t="s">
        <v>6</v>
      </c>
      <c r="F539" s="9">
        <v>45086</v>
      </c>
      <c r="G539" s="4">
        <v>164</v>
      </c>
      <c r="H539" s="23">
        <v>4.5</v>
      </c>
      <c r="I539">
        <f>IF(MONTH(Calls[[#This Row],[Date of Call]])&lt;6,YEAR(Calls[[#This Row],[Date of Call]]),YEAR(Calls[[#This Row],[Date of Call]])+1)</f>
        <v>2024</v>
      </c>
      <c r="J539" t="str">
        <f>TEXT(Calls[[#This Row],[Date of Call]],"DDDD")</f>
        <v>Friday</v>
      </c>
      <c r="K539" t="str" cm="1">
        <f t="array" ref="K539">_xlfn.IFS(Calls[[#This Row],[Duration]]&lt;10,"Under 10 Mins",Calls[[#This Row],[Duration]]&lt;=30,"10 - 30 Mins",Calls[[#This Row],[Duration]]&lt;=60,"30 - 60 Mins",Calls[[#This Row],[Duration]]&lt;=120,"1 - 2 Hours",TRUE,"More than 2  Hours")</f>
        <v>1 - 2 Hours</v>
      </c>
      <c r="L539">
        <f>ROUND(Calls[[#This Row],[Satisfaction Rating]],0)</f>
        <v>5</v>
      </c>
    </row>
    <row r="540" spans="2:12" x14ac:dyDescent="0.3">
      <c r="B540" s="22" t="s">
        <v>562</v>
      </c>
      <c r="C540" s="4" t="s">
        <v>15</v>
      </c>
      <c r="D540" s="4">
        <v>99</v>
      </c>
      <c r="E540" s="5" t="s">
        <v>11</v>
      </c>
      <c r="F540" s="9">
        <v>45087</v>
      </c>
      <c r="G540" s="4">
        <v>180</v>
      </c>
      <c r="H540" s="23">
        <v>3.8</v>
      </c>
      <c r="I540">
        <f>IF(MONTH(Calls[[#This Row],[Date of Call]])&lt;6,YEAR(Calls[[#This Row],[Date of Call]]),YEAR(Calls[[#This Row],[Date of Call]])+1)</f>
        <v>2024</v>
      </c>
      <c r="J540" t="str">
        <f>TEXT(Calls[[#This Row],[Date of Call]],"DDDD")</f>
        <v>Saturday</v>
      </c>
      <c r="K540" t="str" cm="1">
        <f t="array" ref="K540">_xlfn.IFS(Calls[[#This Row],[Duration]]&lt;10,"Under 10 Mins",Calls[[#This Row],[Duration]]&lt;=30,"10 - 30 Mins",Calls[[#This Row],[Duration]]&lt;=60,"30 - 60 Mins",Calls[[#This Row],[Duration]]&lt;=120,"1 - 2 Hours",TRUE,"More than 2  Hours")</f>
        <v>1 - 2 Hours</v>
      </c>
      <c r="L540">
        <f>ROUND(Calls[[#This Row],[Satisfaction Rating]],0)</f>
        <v>4</v>
      </c>
    </row>
    <row r="541" spans="2:12" x14ac:dyDescent="0.3">
      <c r="B541" s="22" t="s">
        <v>563</v>
      </c>
      <c r="C541" s="4" t="s">
        <v>5</v>
      </c>
      <c r="D541" s="4">
        <v>111</v>
      </c>
      <c r="E541" s="5" t="s">
        <v>13</v>
      </c>
      <c r="F541" s="9">
        <v>45088</v>
      </c>
      <c r="G541" s="4">
        <v>22</v>
      </c>
      <c r="H541" s="23">
        <v>4.0999999999999996</v>
      </c>
      <c r="I541">
        <f>IF(MONTH(Calls[[#This Row],[Date of Call]])&lt;6,YEAR(Calls[[#This Row],[Date of Call]]),YEAR(Calls[[#This Row],[Date of Call]])+1)</f>
        <v>2024</v>
      </c>
      <c r="J541" t="str">
        <f>TEXT(Calls[[#This Row],[Date of Call]],"DDDD")</f>
        <v>Sunday</v>
      </c>
      <c r="K541" t="str" cm="1">
        <f t="array" ref="K541">_xlfn.IFS(Calls[[#This Row],[Duration]]&lt;10,"Under 10 Mins",Calls[[#This Row],[Duration]]&lt;=30,"10 - 30 Mins",Calls[[#This Row],[Duration]]&lt;=60,"30 - 60 Mins",Calls[[#This Row],[Duration]]&lt;=120,"1 - 2 Hours",TRUE,"More than 2  Hours")</f>
        <v>1 - 2 Hours</v>
      </c>
      <c r="L541">
        <f>ROUND(Calls[[#This Row],[Satisfaction Rating]],0)</f>
        <v>4</v>
      </c>
    </row>
    <row r="542" spans="2:12" x14ac:dyDescent="0.3">
      <c r="B542" s="22" t="s">
        <v>564</v>
      </c>
      <c r="C542" s="4" t="s">
        <v>8</v>
      </c>
      <c r="D542" s="4">
        <v>147</v>
      </c>
      <c r="E542" s="5" t="s">
        <v>10</v>
      </c>
      <c r="F542" s="9">
        <v>45088</v>
      </c>
      <c r="G542" s="4">
        <v>82</v>
      </c>
      <c r="H542" s="23">
        <v>4.4000000000000004</v>
      </c>
      <c r="I542">
        <f>IF(MONTH(Calls[[#This Row],[Date of Call]])&lt;6,YEAR(Calls[[#This Row],[Date of Call]]),YEAR(Calls[[#This Row],[Date of Call]])+1)</f>
        <v>2024</v>
      </c>
      <c r="J542" t="str">
        <f>TEXT(Calls[[#This Row],[Date of Call]],"DDDD")</f>
        <v>Sunday</v>
      </c>
      <c r="K542" t="str" cm="1">
        <f t="array" ref="K542">_xlfn.IFS(Calls[[#This Row],[Duration]]&lt;10,"Under 10 Mins",Calls[[#This Row],[Duration]]&lt;=30,"10 - 30 Mins",Calls[[#This Row],[Duration]]&lt;=60,"30 - 60 Mins",Calls[[#This Row],[Duration]]&lt;=120,"1 - 2 Hours",TRUE,"More than 2  Hours")</f>
        <v>More than 2  Hours</v>
      </c>
      <c r="L542">
        <f>ROUND(Calls[[#This Row],[Satisfaction Rating]],0)</f>
        <v>4</v>
      </c>
    </row>
    <row r="543" spans="2:12" x14ac:dyDescent="0.3">
      <c r="B543" s="22" t="s">
        <v>565</v>
      </c>
      <c r="C543" s="4" t="s">
        <v>20</v>
      </c>
      <c r="D543" s="4">
        <v>141</v>
      </c>
      <c r="E543" s="5" t="s">
        <v>11</v>
      </c>
      <c r="F543" s="9">
        <v>45088</v>
      </c>
      <c r="G543" s="4">
        <v>100</v>
      </c>
      <c r="H543" s="23">
        <v>4.5999999999999996</v>
      </c>
      <c r="I543">
        <f>IF(MONTH(Calls[[#This Row],[Date of Call]])&lt;6,YEAR(Calls[[#This Row],[Date of Call]]),YEAR(Calls[[#This Row],[Date of Call]])+1)</f>
        <v>2024</v>
      </c>
      <c r="J543" t="str">
        <f>TEXT(Calls[[#This Row],[Date of Call]],"DDDD")</f>
        <v>Sunday</v>
      </c>
      <c r="K543" t="str" cm="1">
        <f t="array" ref="K543">_xlfn.IFS(Calls[[#This Row],[Duration]]&lt;10,"Under 10 Mins",Calls[[#This Row],[Duration]]&lt;=30,"10 - 30 Mins",Calls[[#This Row],[Duration]]&lt;=60,"30 - 60 Mins",Calls[[#This Row],[Duration]]&lt;=120,"1 - 2 Hours",TRUE,"More than 2  Hours")</f>
        <v>More than 2  Hours</v>
      </c>
      <c r="L543">
        <f>ROUND(Calls[[#This Row],[Satisfaction Rating]],0)</f>
        <v>5</v>
      </c>
    </row>
    <row r="544" spans="2:12" x14ac:dyDescent="0.3">
      <c r="B544" s="22" t="s">
        <v>566</v>
      </c>
      <c r="C544" s="4" t="s">
        <v>24</v>
      </c>
      <c r="D544" s="4">
        <v>71</v>
      </c>
      <c r="E544" s="5" t="s">
        <v>6</v>
      </c>
      <c r="F544" s="9">
        <v>45089</v>
      </c>
      <c r="G544" s="4">
        <v>52</v>
      </c>
      <c r="H544" s="23">
        <v>3.4</v>
      </c>
      <c r="I544">
        <f>IF(MONTH(Calls[[#This Row],[Date of Call]])&lt;6,YEAR(Calls[[#This Row],[Date of Call]]),YEAR(Calls[[#This Row],[Date of Call]])+1)</f>
        <v>2024</v>
      </c>
      <c r="J544" t="str">
        <f>TEXT(Calls[[#This Row],[Date of Call]],"DDDD")</f>
        <v>Monday</v>
      </c>
      <c r="K544" t="str" cm="1">
        <f t="array" ref="K544">_xlfn.IFS(Calls[[#This Row],[Duration]]&lt;10,"Under 10 Mins",Calls[[#This Row],[Duration]]&lt;=30,"10 - 30 Mins",Calls[[#This Row],[Duration]]&lt;=60,"30 - 60 Mins",Calls[[#This Row],[Duration]]&lt;=120,"1 - 2 Hours",TRUE,"More than 2  Hours")</f>
        <v>1 - 2 Hours</v>
      </c>
      <c r="L544">
        <f>ROUND(Calls[[#This Row],[Satisfaction Rating]],0)</f>
        <v>3</v>
      </c>
    </row>
    <row r="545" spans="2:12" x14ac:dyDescent="0.3">
      <c r="B545" s="22" t="s">
        <v>567</v>
      </c>
      <c r="C545" s="4" t="s">
        <v>24</v>
      </c>
      <c r="D545" s="4">
        <v>121</v>
      </c>
      <c r="E545" s="5" t="s">
        <v>10</v>
      </c>
      <c r="F545" s="9">
        <v>45090</v>
      </c>
      <c r="G545" s="4">
        <v>84</v>
      </c>
      <c r="H545" s="23">
        <v>4.5999999999999996</v>
      </c>
      <c r="I545">
        <f>IF(MONTH(Calls[[#This Row],[Date of Call]])&lt;6,YEAR(Calls[[#This Row],[Date of Call]]),YEAR(Calls[[#This Row],[Date of Call]])+1)</f>
        <v>2024</v>
      </c>
      <c r="J545" t="str">
        <f>TEXT(Calls[[#This Row],[Date of Call]],"DDDD")</f>
        <v>Tuesday</v>
      </c>
      <c r="K545" t="str" cm="1">
        <f t="array" ref="K545">_xlfn.IFS(Calls[[#This Row],[Duration]]&lt;10,"Under 10 Mins",Calls[[#This Row],[Duration]]&lt;=30,"10 - 30 Mins",Calls[[#This Row],[Duration]]&lt;=60,"30 - 60 Mins",Calls[[#This Row],[Duration]]&lt;=120,"1 - 2 Hours",TRUE,"More than 2  Hours")</f>
        <v>More than 2  Hours</v>
      </c>
      <c r="L545">
        <f>ROUND(Calls[[#This Row],[Satisfaction Rating]],0)</f>
        <v>5</v>
      </c>
    </row>
    <row r="546" spans="2:12" x14ac:dyDescent="0.3">
      <c r="B546" s="22" t="s">
        <v>568</v>
      </c>
      <c r="C546" s="4" t="s">
        <v>24</v>
      </c>
      <c r="D546" s="4">
        <v>60</v>
      </c>
      <c r="E546" s="5" t="s">
        <v>10</v>
      </c>
      <c r="F546" s="9">
        <v>45090</v>
      </c>
      <c r="G546" s="4">
        <v>37</v>
      </c>
      <c r="H546" s="23">
        <v>3.9</v>
      </c>
      <c r="I546">
        <f>IF(MONTH(Calls[[#This Row],[Date of Call]])&lt;6,YEAR(Calls[[#This Row],[Date of Call]]),YEAR(Calls[[#This Row],[Date of Call]])+1)</f>
        <v>2024</v>
      </c>
      <c r="J546" t="str">
        <f>TEXT(Calls[[#This Row],[Date of Call]],"DDDD")</f>
        <v>Tuesday</v>
      </c>
      <c r="K546" t="str" cm="1">
        <f t="array" ref="K546">_xlfn.IFS(Calls[[#This Row],[Duration]]&lt;10,"Under 10 Mins",Calls[[#This Row],[Duration]]&lt;=30,"10 - 30 Mins",Calls[[#This Row],[Duration]]&lt;=60,"30 - 60 Mins",Calls[[#This Row],[Duration]]&lt;=120,"1 - 2 Hours",TRUE,"More than 2  Hours")</f>
        <v>30 - 60 Mins</v>
      </c>
      <c r="L546">
        <f>ROUND(Calls[[#This Row],[Satisfaction Rating]],0)</f>
        <v>4</v>
      </c>
    </row>
    <row r="547" spans="2:12" x14ac:dyDescent="0.3">
      <c r="B547" s="22" t="s">
        <v>569</v>
      </c>
      <c r="C547" s="4" t="s">
        <v>19</v>
      </c>
      <c r="D547" s="4">
        <v>158</v>
      </c>
      <c r="E547" s="5" t="s">
        <v>11</v>
      </c>
      <c r="F547" s="9">
        <v>45091</v>
      </c>
      <c r="G547" s="4">
        <v>190</v>
      </c>
      <c r="H547" s="23">
        <v>4</v>
      </c>
      <c r="I547">
        <f>IF(MONTH(Calls[[#This Row],[Date of Call]])&lt;6,YEAR(Calls[[#This Row],[Date of Call]]),YEAR(Calls[[#This Row],[Date of Call]])+1)</f>
        <v>2024</v>
      </c>
      <c r="J547" t="str">
        <f>TEXT(Calls[[#This Row],[Date of Call]],"DDDD")</f>
        <v>Wednesday</v>
      </c>
      <c r="K547" t="str" cm="1">
        <f t="array" ref="K547">_xlfn.IFS(Calls[[#This Row],[Duration]]&lt;10,"Under 10 Mins",Calls[[#This Row],[Duration]]&lt;=30,"10 - 30 Mins",Calls[[#This Row],[Duration]]&lt;=60,"30 - 60 Mins",Calls[[#This Row],[Duration]]&lt;=120,"1 - 2 Hours",TRUE,"More than 2  Hours")</f>
        <v>More than 2  Hours</v>
      </c>
      <c r="L547">
        <f>ROUND(Calls[[#This Row],[Satisfaction Rating]],0)</f>
        <v>4</v>
      </c>
    </row>
    <row r="548" spans="2:12" x14ac:dyDescent="0.3">
      <c r="B548" s="22" t="s">
        <v>570</v>
      </c>
      <c r="C548" s="4" t="s">
        <v>18</v>
      </c>
      <c r="D548" s="4">
        <v>159</v>
      </c>
      <c r="E548" s="5" t="s">
        <v>9</v>
      </c>
      <c r="F548" s="9">
        <v>45091</v>
      </c>
      <c r="G548" s="4">
        <v>66</v>
      </c>
      <c r="H548" s="23">
        <v>3.4</v>
      </c>
      <c r="I548">
        <f>IF(MONTH(Calls[[#This Row],[Date of Call]])&lt;6,YEAR(Calls[[#This Row],[Date of Call]]),YEAR(Calls[[#This Row],[Date of Call]])+1)</f>
        <v>2024</v>
      </c>
      <c r="J548" t="str">
        <f>TEXT(Calls[[#This Row],[Date of Call]],"DDDD")</f>
        <v>Wednesday</v>
      </c>
      <c r="K548" t="str" cm="1">
        <f t="array" ref="K548">_xlfn.IFS(Calls[[#This Row],[Duration]]&lt;10,"Under 10 Mins",Calls[[#This Row],[Duration]]&lt;=30,"10 - 30 Mins",Calls[[#This Row],[Duration]]&lt;=60,"30 - 60 Mins",Calls[[#This Row],[Duration]]&lt;=120,"1 - 2 Hours",TRUE,"More than 2  Hours")</f>
        <v>More than 2  Hours</v>
      </c>
      <c r="L548">
        <f>ROUND(Calls[[#This Row],[Satisfaction Rating]],0)</f>
        <v>3</v>
      </c>
    </row>
    <row r="549" spans="2:12" x14ac:dyDescent="0.3">
      <c r="B549" s="22" t="s">
        <v>571</v>
      </c>
      <c r="C549" s="4" t="s">
        <v>12</v>
      </c>
      <c r="D549" s="4">
        <v>70</v>
      </c>
      <c r="E549" s="5" t="s">
        <v>6</v>
      </c>
      <c r="F549" s="9">
        <v>45092</v>
      </c>
      <c r="G549" s="4">
        <v>116</v>
      </c>
      <c r="H549" s="23">
        <v>3.2</v>
      </c>
      <c r="I549">
        <f>IF(MONTH(Calls[[#This Row],[Date of Call]])&lt;6,YEAR(Calls[[#This Row],[Date of Call]]),YEAR(Calls[[#This Row],[Date of Call]])+1)</f>
        <v>2024</v>
      </c>
      <c r="J549" t="str">
        <f>TEXT(Calls[[#This Row],[Date of Call]],"DDDD")</f>
        <v>Thursday</v>
      </c>
      <c r="K549" t="str" cm="1">
        <f t="array" ref="K549">_xlfn.IFS(Calls[[#This Row],[Duration]]&lt;10,"Under 10 Mins",Calls[[#This Row],[Duration]]&lt;=30,"10 - 30 Mins",Calls[[#This Row],[Duration]]&lt;=60,"30 - 60 Mins",Calls[[#This Row],[Duration]]&lt;=120,"1 - 2 Hours",TRUE,"More than 2  Hours")</f>
        <v>1 - 2 Hours</v>
      </c>
      <c r="L549">
        <f>ROUND(Calls[[#This Row],[Satisfaction Rating]],0)</f>
        <v>3</v>
      </c>
    </row>
    <row r="550" spans="2:12" x14ac:dyDescent="0.3">
      <c r="B550" s="22" t="s">
        <v>572</v>
      </c>
      <c r="C550" s="4" t="s">
        <v>16</v>
      </c>
      <c r="D550" s="4">
        <v>78</v>
      </c>
      <c r="E550" s="5" t="s">
        <v>13</v>
      </c>
      <c r="F550" s="9">
        <v>45092</v>
      </c>
      <c r="G550" s="4">
        <v>28</v>
      </c>
      <c r="H550" s="23">
        <v>3.9</v>
      </c>
      <c r="I550">
        <f>IF(MONTH(Calls[[#This Row],[Date of Call]])&lt;6,YEAR(Calls[[#This Row],[Date of Call]]),YEAR(Calls[[#This Row],[Date of Call]])+1)</f>
        <v>2024</v>
      </c>
      <c r="J550" t="str">
        <f>TEXT(Calls[[#This Row],[Date of Call]],"DDDD")</f>
        <v>Thursday</v>
      </c>
      <c r="K550" t="str" cm="1">
        <f t="array" ref="K550">_xlfn.IFS(Calls[[#This Row],[Duration]]&lt;10,"Under 10 Mins",Calls[[#This Row],[Duration]]&lt;=30,"10 - 30 Mins",Calls[[#This Row],[Duration]]&lt;=60,"30 - 60 Mins",Calls[[#This Row],[Duration]]&lt;=120,"1 - 2 Hours",TRUE,"More than 2  Hours")</f>
        <v>1 - 2 Hours</v>
      </c>
      <c r="L550">
        <f>ROUND(Calls[[#This Row],[Satisfaction Rating]],0)</f>
        <v>4</v>
      </c>
    </row>
    <row r="551" spans="2:12" x14ac:dyDescent="0.3">
      <c r="B551" s="22" t="s">
        <v>573</v>
      </c>
      <c r="C551" s="4" t="s">
        <v>8</v>
      </c>
      <c r="D551" s="4">
        <v>103</v>
      </c>
      <c r="E551" s="5" t="s">
        <v>6</v>
      </c>
      <c r="F551" s="9">
        <v>45092</v>
      </c>
      <c r="G551" s="4">
        <v>120</v>
      </c>
      <c r="H551" s="23">
        <v>5</v>
      </c>
      <c r="I551">
        <f>IF(MONTH(Calls[[#This Row],[Date of Call]])&lt;6,YEAR(Calls[[#This Row],[Date of Call]]),YEAR(Calls[[#This Row],[Date of Call]])+1)</f>
        <v>2024</v>
      </c>
      <c r="J551" t="str">
        <f>TEXT(Calls[[#This Row],[Date of Call]],"DDDD")</f>
        <v>Thursday</v>
      </c>
      <c r="K551" t="str" cm="1">
        <f t="array" ref="K551">_xlfn.IFS(Calls[[#This Row],[Duration]]&lt;10,"Under 10 Mins",Calls[[#This Row],[Duration]]&lt;=30,"10 - 30 Mins",Calls[[#This Row],[Duration]]&lt;=60,"30 - 60 Mins",Calls[[#This Row],[Duration]]&lt;=120,"1 - 2 Hours",TRUE,"More than 2  Hours")</f>
        <v>1 - 2 Hours</v>
      </c>
      <c r="L551">
        <f>ROUND(Calls[[#This Row],[Satisfaction Rating]],0)</f>
        <v>5</v>
      </c>
    </row>
    <row r="552" spans="2:12" x14ac:dyDescent="0.3">
      <c r="B552" s="22" t="s">
        <v>574</v>
      </c>
      <c r="C552" s="4" t="s">
        <v>23</v>
      </c>
      <c r="D552" s="4">
        <v>108</v>
      </c>
      <c r="E552" s="5" t="s">
        <v>11</v>
      </c>
      <c r="F552" s="9">
        <v>45092</v>
      </c>
      <c r="G552" s="4">
        <v>56</v>
      </c>
      <c r="H552" s="23">
        <v>3.5</v>
      </c>
      <c r="I552">
        <f>IF(MONTH(Calls[[#This Row],[Date of Call]])&lt;6,YEAR(Calls[[#This Row],[Date of Call]]),YEAR(Calls[[#This Row],[Date of Call]])+1)</f>
        <v>2024</v>
      </c>
      <c r="J552" t="str">
        <f>TEXT(Calls[[#This Row],[Date of Call]],"DDDD")</f>
        <v>Thursday</v>
      </c>
      <c r="K552" t="str" cm="1">
        <f t="array" ref="K552">_xlfn.IFS(Calls[[#This Row],[Duration]]&lt;10,"Under 10 Mins",Calls[[#This Row],[Duration]]&lt;=30,"10 - 30 Mins",Calls[[#This Row],[Duration]]&lt;=60,"30 - 60 Mins",Calls[[#This Row],[Duration]]&lt;=120,"1 - 2 Hours",TRUE,"More than 2  Hours")</f>
        <v>1 - 2 Hours</v>
      </c>
      <c r="L552">
        <f>ROUND(Calls[[#This Row],[Satisfaction Rating]],0)</f>
        <v>4</v>
      </c>
    </row>
    <row r="553" spans="2:12" x14ac:dyDescent="0.3">
      <c r="B553" s="22" t="s">
        <v>575</v>
      </c>
      <c r="C553" s="4" t="s">
        <v>23</v>
      </c>
      <c r="D553" s="4">
        <v>44</v>
      </c>
      <c r="E553" s="5" t="s">
        <v>10</v>
      </c>
      <c r="F553" s="9">
        <v>45092</v>
      </c>
      <c r="G553" s="4">
        <v>170</v>
      </c>
      <c r="H553" s="23">
        <v>3.8</v>
      </c>
      <c r="I553">
        <f>IF(MONTH(Calls[[#This Row],[Date of Call]])&lt;6,YEAR(Calls[[#This Row],[Date of Call]]),YEAR(Calls[[#This Row],[Date of Call]])+1)</f>
        <v>2024</v>
      </c>
      <c r="J553" t="str">
        <f>TEXT(Calls[[#This Row],[Date of Call]],"DDDD")</f>
        <v>Thursday</v>
      </c>
      <c r="K553" t="str" cm="1">
        <f t="array" ref="K553">_xlfn.IFS(Calls[[#This Row],[Duration]]&lt;10,"Under 10 Mins",Calls[[#This Row],[Duration]]&lt;=30,"10 - 30 Mins",Calls[[#This Row],[Duration]]&lt;=60,"30 - 60 Mins",Calls[[#This Row],[Duration]]&lt;=120,"1 - 2 Hours",TRUE,"More than 2  Hours")</f>
        <v>30 - 60 Mins</v>
      </c>
      <c r="L553">
        <f>ROUND(Calls[[#This Row],[Satisfaction Rating]],0)</f>
        <v>4</v>
      </c>
    </row>
    <row r="554" spans="2:12" x14ac:dyDescent="0.3">
      <c r="B554" s="22" t="s">
        <v>576</v>
      </c>
      <c r="C554" s="4" t="s">
        <v>16</v>
      </c>
      <c r="D554" s="4">
        <v>127</v>
      </c>
      <c r="E554" s="5" t="s">
        <v>11</v>
      </c>
      <c r="F554" s="9">
        <v>45093</v>
      </c>
      <c r="G554" s="4">
        <v>200</v>
      </c>
      <c r="H554" s="23">
        <v>4.8</v>
      </c>
      <c r="I554">
        <f>IF(MONTH(Calls[[#This Row],[Date of Call]])&lt;6,YEAR(Calls[[#This Row],[Date of Call]]),YEAR(Calls[[#This Row],[Date of Call]])+1)</f>
        <v>2024</v>
      </c>
      <c r="J554" t="str">
        <f>TEXT(Calls[[#This Row],[Date of Call]],"DDDD")</f>
        <v>Friday</v>
      </c>
      <c r="K554" t="str" cm="1">
        <f t="array" ref="K554">_xlfn.IFS(Calls[[#This Row],[Duration]]&lt;10,"Under 10 Mins",Calls[[#This Row],[Duration]]&lt;=30,"10 - 30 Mins",Calls[[#This Row],[Duration]]&lt;=60,"30 - 60 Mins",Calls[[#This Row],[Duration]]&lt;=120,"1 - 2 Hours",TRUE,"More than 2  Hours")</f>
        <v>More than 2  Hours</v>
      </c>
      <c r="L554">
        <f>ROUND(Calls[[#This Row],[Satisfaction Rating]],0)</f>
        <v>5</v>
      </c>
    </row>
    <row r="555" spans="2:12" x14ac:dyDescent="0.3">
      <c r="B555" s="22" t="s">
        <v>577</v>
      </c>
      <c r="C555" s="4" t="s">
        <v>8</v>
      </c>
      <c r="D555" s="4">
        <v>132</v>
      </c>
      <c r="E555" s="5" t="s">
        <v>6</v>
      </c>
      <c r="F555" s="9">
        <v>45094</v>
      </c>
      <c r="G555" s="4">
        <v>50</v>
      </c>
      <c r="H555" s="23">
        <v>4.2</v>
      </c>
      <c r="I555">
        <f>IF(MONTH(Calls[[#This Row],[Date of Call]])&lt;6,YEAR(Calls[[#This Row],[Date of Call]]),YEAR(Calls[[#This Row],[Date of Call]])+1)</f>
        <v>2024</v>
      </c>
      <c r="J555" t="str">
        <f>TEXT(Calls[[#This Row],[Date of Call]],"DDDD")</f>
        <v>Saturday</v>
      </c>
      <c r="K555" t="str" cm="1">
        <f t="array" ref="K555">_xlfn.IFS(Calls[[#This Row],[Duration]]&lt;10,"Under 10 Mins",Calls[[#This Row],[Duration]]&lt;=30,"10 - 30 Mins",Calls[[#This Row],[Duration]]&lt;=60,"30 - 60 Mins",Calls[[#This Row],[Duration]]&lt;=120,"1 - 2 Hours",TRUE,"More than 2  Hours")</f>
        <v>More than 2  Hours</v>
      </c>
      <c r="L555">
        <f>ROUND(Calls[[#This Row],[Satisfaction Rating]],0)</f>
        <v>4</v>
      </c>
    </row>
    <row r="556" spans="2:12" x14ac:dyDescent="0.3">
      <c r="B556" s="22" t="s">
        <v>578</v>
      </c>
      <c r="C556" s="4" t="s">
        <v>20</v>
      </c>
      <c r="D556" s="4">
        <v>106</v>
      </c>
      <c r="E556" s="5" t="s">
        <v>13</v>
      </c>
      <c r="F556" s="9">
        <v>45094</v>
      </c>
      <c r="G556" s="4">
        <v>112</v>
      </c>
      <c r="H556" s="23">
        <v>3.7</v>
      </c>
      <c r="I556">
        <f>IF(MONTH(Calls[[#This Row],[Date of Call]])&lt;6,YEAR(Calls[[#This Row],[Date of Call]]),YEAR(Calls[[#This Row],[Date of Call]])+1)</f>
        <v>2024</v>
      </c>
      <c r="J556" t="str">
        <f>TEXT(Calls[[#This Row],[Date of Call]],"DDDD")</f>
        <v>Saturday</v>
      </c>
      <c r="K556" t="str" cm="1">
        <f t="array" ref="K556">_xlfn.IFS(Calls[[#This Row],[Duration]]&lt;10,"Under 10 Mins",Calls[[#This Row],[Duration]]&lt;=30,"10 - 30 Mins",Calls[[#This Row],[Duration]]&lt;=60,"30 - 60 Mins",Calls[[#This Row],[Duration]]&lt;=120,"1 - 2 Hours",TRUE,"More than 2  Hours")</f>
        <v>1 - 2 Hours</v>
      </c>
      <c r="L556">
        <f>ROUND(Calls[[#This Row],[Satisfaction Rating]],0)</f>
        <v>4</v>
      </c>
    </row>
    <row r="557" spans="2:12" x14ac:dyDescent="0.3">
      <c r="B557" s="22" t="s">
        <v>579</v>
      </c>
      <c r="C557" s="4" t="s">
        <v>5</v>
      </c>
      <c r="D557" s="4">
        <v>107</v>
      </c>
      <c r="E557" s="5" t="s">
        <v>6</v>
      </c>
      <c r="F557" s="9">
        <v>45095</v>
      </c>
      <c r="G557" s="4">
        <v>39</v>
      </c>
      <c r="H557" s="23">
        <v>4.8</v>
      </c>
      <c r="I557">
        <f>IF(MONTH(Calls[[#This Row],[Date of Call]])&lt;6,YEAR(Calls[[#This Row],[Date of Call]]),YEAR(Calls[[#This Row],[Date of Call]])+1)</f>
        <v>2024</v>
      </c>
      <c r="J557" t="str">
        <f>TEXT(Calls[[#This Row],[Date of Call]],"DDDD")</f>
        <v>Sunday</v>
      </c>
      <c r="K557" t="str" cm="1">
        <f t="array" ref="K557">_xlfn.IFS(Calls[[#This Row],[Duration]]&lt;10,"Under 10 Mins",Calls[[#This Row],[Duration]]&lt;=30,"10 - 30 Mins",Calls[[#This Row],[Duration]]&lt;=60,"30 - 60 Mins",Calls[[#This Row],[Duration]]&lt;=120,"1 - 2 Hours",TRUE,"More than 2  Hours")</f>
        <v>1 - 2 Hours</v>
      </c>
      <c r="L557">
        <f>ROUND(Calls[[#This Row],[Satisfaction Rating]],0)</f>
        <v>5</v>
      </c>
    </row>
    <row r="558" spans="2:12" x14ac:dyDescent="0.3">
      <c r="B558" s="22" t="s">
        <v>580</v>
      </c>
      <c r="C558" s="4" t="s">
        <v>18</v>
      </c>
      <c r="D558" s="4">
        <v>85</v>
      </c>
      <c r="E558" s="5" t="s">
        <v>13</v>
      </c>
      <c r="F558" s="9">
        <v>45095</v>
      </c>
      <c r="G558" s="4">
        <v>38</v>
      </c>
      <c r="H558" s="23">
        <v>4.8</v>
      </c>
      <c r="I558">
        <f>IF(MONTH(Calls[[#This Row],[Date of Call]])&lt;6,YEAR(Calls[[#This Row],[Date of Call]]),YEAR(Calls[[#This Row],[Date of Call]])+1)</f>
        <v>2024</v>
      </c>
      <c r="J558" t="str">
        <f>TEXT(Calls[[#This Row],[Date of Call]],"DDDD")</f>
        <v>Sunday</v>
      </c>
      <c r="K558" t="str" cm="1">
        <f t="array" ref="K558">_xlfn.IFS(Calls[[#This Row],[Duration]]&lt;10,"Under 10 Mins",Calls[[#This Row],[Duration]]&lt;=30,"10 - 30 Mins",Calls[[#This Row],[Duration]]&lt;=60,"30 - 60 Mins",Calls[[#This Row],[Duration]]&lt;=120,"1 - 2 Hours",TRUE,"More than 2  Hours")</f>
        <v>1 - 2 Hours</v>
      </c>
      <c r="L558">
        <f>ROUND(Calls[[#This Row],[Satisfaction Rating]],0)</f>
        <v>5</v>
      </c>
    </row>
    <row r="559" spans="2:12" x14ac:dyDescent="0.3">
      <c r="B559" s="22" t="s">
        <v>581</v>
      </c>
      <c r="C559" s="4" t="s">
        <v>15</v>
      </c>
      <c r="D559" s="4">
        <v>49</v>
      </c>
      <c r="E559" s="5" t="s">
        <v>6</v>
      </c>
      <c r="F559" s="9">
        <v>45096</v>
      </c>
      <c r="G559" s="4">
        <v>84</v>
      </c>
      <c r="H559" s="23">
        <v>2.9</v>
      </c>
      <c r="I559">
        <f>IF(MONTH(Calls[[#This Row],[Date of Call]])&lt;6,YEAR(Calls[[#This Row],[Date of Call]]),YEAR(Calls[[#This Row],[Date of Call]])+1)</f>
        <v>2024</v>
      </c>
      <c r="J559" t="str">
        <f>TEXT(Calls[[#This Row],[Date of Call]],"DDDD")</f>
        <v>Monday</v>
      </c>
      <c r="K559" t="str" cm="1">
        <f t="array" ref="K559">_xlfn.IFS(Calls[[#This Row],[Duration]]&lt;10,"Under 10 Mins",Calls[[#This Row],[Duration]]&lt;=30,"10 - 30 Mins",Calls[[#This Row],[Duration]]&lt;=60,"30 - 60 Mins",Calls[[#This Row],[Duration]]&lt;=120,"1 - 2 Hours",TRUE,"More than 2  Hours")</f>
        <v>30 - 60 Mins</v>
      </c>
      <c r="L559">
        <f>ROUND(Calls[[#This Row],[Satisfaction Rating]],0)</f>
        <v>3</v>
      </c>
    </row>
    <row r="560" spans="2:12" x14ac:dyDescent="0.3">
      <c r="B560" s="22" t="s">
        <v>582</v>
      </c>
      <c r="C560" s="4" t="s">
        <v>24</v>
      </c>
      <c r="D560" s="4">
        <v>117</v>
      </c>
      <c r="E560" s="5" t="s">
        <v>11</v>
      </c>
      <c r="F560" s="9">
        <v>45097</v>
      </c>
      <c r="G560" s="4">
        <v>82</v>
      </c>
      <c r="H560" s="23">
        <v>3.5</v>
      </c>
      <c r="I560">
        <f>IF(MONTH(Calls[[#This Row],[Date of Call]])&lt;6,YEAR(Calls[[#This Row],[Date of Call]]),YEAR(Calls[[#This Row],[Date of Call]])+1)</f>
        <v>2024</v>
      </c>
      <c r="J560" t="str">
        <f>TEXT(Calls[[#This Row],[Date of Call]],"DDDD")</f>
        <v>Tuesday</v>
      </c>
      <c r="K560" t="str" cm="1">
        <f t="array" ref="K560">_xlfn.IFS(Calls[[#This Row],[Duration]]&lt;10,"Under 10 Mins",Calls[[#This Row],[Duration]]&lt;=30,"10 - 30 Mins",Calls[[#This Row],[Duration]]&lt;=60,"30 - 60 Mins",Calls[[#This Row],[Duration]]&lt;=120,"1 - 2 Hours",TRUE,"More than 2  Hours")</f>
        <v>1 - 2 Hours</v>
      </c>
      <c r="L560">
        <f>ROUND(Calls[[#This Row],[Satisfaction Rating]],0)</f>
        <v>4</v>
      </c>
    </row>
    <row r="561" spans="2:12" x14ac:dyDescent="0.3">
      <c r="B561" s="22" t="s">
        <v>583</v>
      </c>
      <c r="C561" s="4" t="s">
        <v>5</v>
      </c>
      <c r="D561" s="4">
        <v>136</v>
      </c>
      <c r="E561" s="5" t="s">
        <v>13</v>
      </c>
      <c r="F561" s="9">
        <v>45097</v>
      </c>
      <c r="G561" s="4">
        <v>37</v>
      </c>
      <c r="H561" s="23">
        <v>0.9</v>
      </c>
      <c r="I561">
        <f>IF(MONTH(Calls[[#This Row],[Date of Call]])&lt;6,YEAR(Calls[[#This Row],[Date of Call]]),YEAR(Calls[[#This Row],[Date of Call]])+1)</f>
        <v>2024</v>
      </c>
      <c r="J561" t="str">
        <f>TEXT(Calls[[#This Row],[Date of Call]],"DDDD")</f>
        <v>Tuesday</v>
      </c>
      <c r="K561" t="str" cm="1">
        <f t="array" ref="K561">_xlfn.IFS(Calls[[#This Row],[Duration]]&lt;10,"Under 10 Mins",Calls[[#This Row],[Duration]]&lt;=30,"10 - 30 Mins",Calls[[#This Row],[Duration]]&lt;=60,"30 - 60 Mins",Calls[[#This Row],[Duration]]&lt;=120,"1 - 2 Hours",TRUE,"More than 2  Hours")</f>
        <v>More than 2  Hours</v>
      </c>
      <c r="L561">
        <f>ROUND(Calls[[#This Row],[Satisfaction Rating]],0)</f>
        <v>1</v>
      </c>
    </row>
    <row r="562" spans="2:12" x14ac:dyDescent="0.3">
      <c r="B562" s="22" t="s">
        <v>584</v>
      </c>
      <c r="C562" s="4" t="s">
        <v>23</v>
      </c>
      <c r="D562" s="4">
        <v>130</v>
      </c>
      <c r="E562" s="5" t="s">
        <v>9</v>
      </c>
      <c r="F562" s="9">
        <v>45098</v>
      </c>
      <c r="G562" s="4">
        <v>87</v>
      </c>
      <c r="H562" s="23">
        <v>3.4</v>
      </c>
      <c r="I562">
        <f>IF(MONTH(Calls[[#This Row],[Date of Call]])&lt;6,YEAR(Calls[[#This Row],[Date of Call]]),YEAR(Calls[[#This Row],[Date of Call]])+1)</f>
        <v>2024</v>
      </c>
      <c r="J562" t="str">
        <f>TEXT(Calls[[#This Row],[Date of Call]],"DDDD")</f>
        <v>Wednesday</v>
      </c>
      <c r="K562" t="str" cm="1">
        <f t="array" ref="K562">_xlfn.IFS(Calls[[#This Row],[Duration]]&lt;10,"Under 10 Mins",Calls[[#This Row],[Duration]]&lt;=30,"10 - 30 Mins",Calls[[#This Row],[Duration]]&lt;=60,"30 - 60 Mins",Calls[[#This Row],[Duration]]&lt;=120,"1 - 2 Hours",TRUE,"More than 2  Hours")</f>
        <v>More than 2  Hours</v>
      </c>
      <c r="L562">
        <f>ROUND(Calls[[#This Row],[Satisfaction Rating]],0)</f>
        <v>3</v>
      </c>
    </row>
    <row r="563" spans="2:12" x14ac:dyDescent="0.3">
      <c r="B563" s="22" t="s">
        <v>585</v>
      </c>
      <c r="C563" s="4" t="s">
        <v>23</v>
      </c>
      <c r="D563" s="4">
        <v>73</v>
      </c>
      <c r="E563" s="5" t="s">
        <v>9</v>
      </c>
      <c r="F563" s="9">
        <v>45098</v>
      </c>
      <c r="G563" s="4">
        <v>75</v>
      </c>
      <c r="H563" s="23">
        <v>2.7</v>
      </c>
      <c r="I563">
        <f>IF(MONTH(Calls[[#This Row],[Date of Call]])&lt;6,YEAR(Calls[[#This Row],[Date of Call]]),YEAR(Calls[[#This Row],[Date of Call]])+1)</f>
        <v>2024</v>
      </c>
      <c r="J563" t="str">
        <f>TEXT(Calls[[#This Row],[Date of Call]],"DDDD")</f>
        <v>Wednesday</v>
      </c>
      <c r="K563" t="str" cm="1">
        <f t="array" ref="K563">_xlfn.IFS(Calls[[#This Row],[Duration]]&lt;10,"Under 10 Mins",Calls[[#This Row],[Duration]]&lt;=30,"10 - 30 Mins",Calls[[#This Row],[Duration]]&lt;=60,"30 - 60 Mins",Calls[[#This Row],[Duration]]&lt;=120,"1 - 2 Hours",TRUE,"More than 2  Hours")</f>
        <v>1 - 2 Hours</v>
      </c>
      <c r="L563">
        <f>ROUND(Calls[[#This Row],[Satisfaction Rating]],0)</f>
        <v>3</v>
      </c>
    </row>
    <row r="564" spans="2:12" x14ac:dyDescent="0.3">
      <c r="B564" s="22" t="s">
        <v>586</v>
      </c>
      <c r="C564" s="4" t="s">
        <v>15</v>
      </c>
      <c r="D564" s="4">
        <v>80</v>
      </c>
      <c r="E564" s="5" t="s">
        <v>6</v>
      </c>
      <c r="F564" s="9">
        <v>45098</v>
      </c>
      <c r="G564" s="4">
        <v>32</v>
      </c>
      <c r="H564" s="23">
        <v>4.7</v>
      </c>
      <c r="I564">
        <f>IF(MONTH(Calls[[#This Row],[Date of Call]])&lt;6,YEAR(Calls[[#This Row],[Date of Call]]),YEAR(Calls[[#This Row],[Date of Call]])+1)</f>
        <v>2024</v>
      </c>
      <c r="J564" t="str">
        <f>TEXT(Calls[[#This Row],[Date of Call]],"DDDD")</f>
        <v>Wednesday</v>
      </c>
      <c r="K564" t="str" cm="1">
        <f t="array" ref="K564">_xlfn.IFS(Calls[[#This Row],[Duration]]&lt;10,"Under 10 Mins",Calls[[#This Row],[Duration]]&lt;=30,"10 - 30 Mins",Calls[[#This Row],[Duration]]&lt;=60,"30 - 60 Mins",Calls[[#This Row],[Duration]]&lt;=120,"1 - 2 Hours",TRUE,"More than 2  Hours")</f>
        <v>1 - 2 Hours</v>
      </c>
      <c r="L564">
        <f>ROUND(Calls[[#This Row],[Satisfaction Rating]],0)</f>
        <v>5</v>
      </c>
    </row>
    <row r="565" spans="2:12" x14ac:dyDescent="0.3">
      <c r="B565" s="22" t="s">
        <v>587</v>
      </c>
      <c r="C565" s="4" t="s">
        <v>17</v>
      </c>
      <c r="D565" s="4">
        <v>44</v>
      </c>
      <c r="E565" s="5" t="s">
        <v>11</v>
      </c>
      <c r="F565" s="9">
        <v>45098</v>
      </c>
      <c r="G565" s="4">
        <v>33</v>
      </c>
      <c r="H565" s="23">
        <v>3</v>
      </c>
      <c r="I565">
        <f>IF(MONTH(Calls[[#This Row],[Date of Call]])&lt;6,YEAR(Calls[[#This Row],[Date of Call]]),YEAR(Calls[[#This Row],[Date of Call]])+1)</f>
        <v>2024</v>
      </c>
      <c r="J565" t="str">
        <f>TEXT(Calls[[#This Row],[Date of Call]],"DDDD")</f>
        <v>Wednesday</v>
      </c>
      <c r="K565" t="str" cm="1">
        <f t="array" ref="K565">_xlfn.IFS(Calls[[#This Row],[Duration]]&lt;10,"Under 10 Mins",Calls[[#This Row],[Duration]]&lt;=30,"10 - 30 Mins",Calls[[#This Row],[Duration]]&lt;=60,"30 - 60 Mins",Calls[[#This Row],[Duration]]&lt;=120,"1 - 2 Hours",TRUE,"More than 2  Hours")</f>
        <v>30 - 60 Mins</v>
      </c>
      <c r="L565">
        <f>ROUND(Calls[[#This Row],[Satisfaction Rating]],0)</f>
        <v>3</v>
      </c>
    </row>
    <row r="566" spans="2:12" x14ac:dyDescent="0.3">
      <c r="B566" s="22" t="s">
        <v>588</v>
      </c>
      <c r="C566" s="4" t="s">
        <v>17</v>
      </c>
      <c r="D566" s="4">
        <v>102</v>
      </c>
      <c r="E566" s="5" t="s">
        <v>10</v>
      </c>
      <c r="F566" s="9">
        <v>45098</v>
      </c>
      <c r="G566" s="4">
        <v>76</v>
      </c>
      <c r="H566" s="23">
        <v>4.2</v>
      </c>
      <c r="I566">
        <f>IF(MONTH(Calls[[#This Row],[Date of Call]])&lt;6,YEAR(Calls[[#This Row],[Date of Call]]),YEAR(Calls[[#This Row],[Date of Call]])+1)</f>
        <v>2024</v>
      </c>
      <c r="J566" t="str">
        <f>TEXT(Calls[[#This Row],[Date of Call]],"DDDD")</f>
        <v>Wednesday</v>
      </c>
      <c r="K566" t="str" cm="1">
        <f t="array" ref="K566">_xlfn.IFS(Calls[[#This Row],[Duration]]&lt;10,"Under 10 Mins",Calls[[#This Row],[Duration]]&lt;=30,"10 - 30 Mins",Calls[[#This Row],[Duration]]&lt;=60,"30 - 60 Mins",Calls[[#This Row],[Duration]]&lt;=120,"1 - 2 Hours",TRUE,"More than 2  Hours")</f>
        <v>1 - 2 Hours</v>
      </c>
      <c r="L566">
        <f>ROUND(Calls[[#This Row],[Satisfaction Rating]],0)</f>
        <v>4</v>
      </c>
    </row>
    <row r="567" spans="2:12" x14ac:dyDescent="0.3">
      <c r="B567" s="22" t="s">
        <v>589</v>
      </c>
      <c r="C567" s="4" t="s">
        <v>19</v>
      </c>
      <c r="D567" s="4">
        <v>74</v>
      </c>
      <c r="E567" s="5" t="s">
        <v>10</v>
      </c>
      <c r="F567" s="9">
        <v>45098</v>
      </c>
      <c r="G567" s="4">
        <v>117</v>
      </c>
      <c r="H567" s="23">
        <v>4.8</v>
      </c>
      <c r="I567">
        <f>IF(MONTH(Calls[[#This Row],[Date of Call]])&lt;6,YEAR(Calls[[#This Row],[Date of Call]]),YEAR(Calls[[#This Row],[Date of Call]])+1)</f>
        <v>2024</v>
      </c>
      <c r="J567" t="str">
        <f>TEXT(Calls[[#This Row],[Date of Call]],"DDDD")</f>
        <v>Wednesday</v>
      </c>
      <c r="K567" t="str" cm="1">
        <f t="array" ref="K567">_xlfn.IFS(Calls[[#This Row],[Duration]]&lt;10,"Under 10 Mins",Calls[[#This Row],[Duration]]&lt;=30,"10 - 30 Mins",Calls[[#This Row],[Duration]]&lt;=60,"30 - 60 Mins",Calls[[#This Row],[Duration]]&lt;=120,"1 - 2 Hours",TRUE,"More than 2  Hours")</f>
        <v>1 - 2 Hours</v>
      </c>
      <c r="L567">
        <f>ROUND(Calls[[#This Row],[Satisfaction Rating]],0)</f>
        <v>5</v>
      </c>
    </row>
    <row r="568" spans="2:12" x14ac:dyDescent="0.3">
      <c r="B568" s="22" t="s">
        <v>590</v>
      </c>
      <c r="C568" s="4" t="s">
        <v>15</v>
      </c>
      <c r="D568" s="4">
        <v>52</v>
      </c>
      <c r="E568" s="5" t="s">
        <v>11</v>
      </c>
      <c r="F568" s="9">
        <v>45100</v>
      </c>
      <c r="G568" s="4">
        <v>70</v>
      </c>
      <c r="H568" s="23">
        <v>4.0999999999999996</v>
      </c>
      <c r="I568">
        <f>IF(MONTH(Calls[[#This Row],[Date of Call]])&lt;6,YEAR(Calls[[#This Row],[Date of Call]]),YEAR(Calls[[#This Row],[Date of Call]])+1)</f>
        <v>2024</v>
      </c>
      <c r="J568" t="str">
        <f>TEXT(Calls[[#This Row],[Date of Call]],"DDDD")</f>
        <v>Friday</v>
      </c>
      <c r="K568" t="str" cm="1">
        <f t="array" ref="K568">_xlfn.IFS(Calls[[#This Row],[Duration]]&lt;10,"Under 10 Mins",Calls[[#This Row],[Duration]]&lt;=30,"10 - 30 Mins",Calls[[#This Row],[Duration]]&lt;=60,"30 - 60 Mins",Calls[[#This Row],[Duration]]&lt;=120,"1 - 2 Hours",TRUE,"More than 2  Hours")</f>
        <v>30 - 60 Mins</v>
      </c>
      <c r="L568">
        <f>ROUND(Calls[[#This Row],[Satisfaction Rating]],0)</f>
        <v>4</v>
      </c>
    </row>
    <row r="569" spans="2:12" x14ac:dyDescent="0.3">
      <c r="B569" s="22" t="s">
        <v>591</v>
      </c>
      <c r="C569" s="4" t="s">
        <v>15</v>
      </c>
      <c r="D569" s="4">
        <v>74</v>
      </c>
      <c r="E569" s="5" t="s">
        <v>9</v>
      </c>
      <c r="F569" s="9">
        <v>45100</v>
      </c>
      <c r="G569" s="4">
        <v>37</v>
      </c>
      <c r="H569" s="23">
        <v>2.7</v>
      </c>
      <c r="I569">
        <f>IF(MONTH(Calls[[#This Row],[Date of Call]])&lt;6,YEAR(Calls[[#This Row],[Date of Call]]),YEAR(Calls[[#This Row],[Date of Call]])+1)</f>
        <v>2024</v>
      </c>
      <c r="J569" t="str">
        <f>TEXT(Calls[[#This Row],[Date of Call]],"DDDD")</f>
        <v>Friday</v>
      </c>
      <c r="K569" t="str" cm="1">
        <f t="array" ref="K569">_xlfn.IFS(Calls[[#This Row],[Duration]]&lt;10,"Under 10 Mins",Calls[[#This Row],[Duration]]&lt;=30,"10 - 30 Mins",Calls[[#This Row],[Duration]]&lt;=60,"30 - 60 Mins",Calls[[#This Row],[Duration]]&lt;=120,"1 - 2 Hours",TRUE,"More than 2  Hours")</f>
        <v>1 - 2 Hours</v>
      </c>
      <c r="L569">
        <f>ROUND(Calls[[#This Row],[Satisfaction Rating]],0)</f>
        <v>3</v>
      </c>
    </row>
    <row r="570" spans="2:12" x14ac:dyDescent="0.3">
      <c r="B570" s="22" t="s">
        <v>592</v>
      </c>
      <c r="C570" s="4" t="s">
        <v>23</v>
      </c>
      <c r="D570" s="4">
        <v>96</v>
      </c>
      <c r="E570" s="5" t="s">
        <v>10</v>
      </c>
      <c r="F570" s="9">
        <v>45100</v>
      </c>
      <c r="G570" s="4">
        <v>46</v>
      </c>
      <c r="H570" s="23">
        <v>2.9</v>
      </c>
      <c r="I570">
        <f>IF(MONTH(Calls[[#This Row],[Date of Call]])&lt;6,YEAR(Calls[[#This Row],[Date of Call]]),YEAR(Calls[[#This Row],[Date of Call]])+1)</f>
        <v>2024</v>
      </c>
      <c r="J570" t="str">
        <f>TEXT(Calls[[#This Row],[Date of Call]],"DDDD")</f>
        <v>Friday</v>
      </c>
      <c r="K570" t="str" cm="1">
        <f t="array" ref="K570">_xlfn.IFS(Calls[[#This Row],[Duration]]&lt;10,"Under 10 Mins",Calls[[#This Row],[Duration]]&lt;=30,"10 - 30 Mins",Calls[[#This Row],[Duration]]&lt;=60,"30 - 60 Mins",Calls[[#This Row],[Duration]]&lt;=120,"1 - 2 Hours",TRUE,"More than 2  Hours")</f>
        <v>1 - 2 Hours</v>
      </c>
      <c r="L570">
        <f>ROUND(Calls[[#This Row],[Satisfaction Rating]],0)</f>
        <v>3</v>
      </c>
    </row>
    <row r="571" spans="2:12" x14ac:dyDescent="0.3">
      <c r="B571" s="22" t="s">
        <v>593</v>
      </c>
      <c r="C571" s="4" t="s">
        <v>14</v>
      </c>
      <c r="D571" s="4">
        <v>104</v>
      </c>
      <c r="E571" s="5" t="s">
        <v>6</v>
      </c>
      <c r="F571" s="9">
        <v>45100</v>
      </c>
      <c r="G571" s="4">
        <v>136</v>
      </c>
      <c r="H571" s="23">
        <v>5</v>
      </c>
      <c r="I571">
        <f>IF(MONTH(Calls[[#This Row],[Date of Call]])&lt;6,YEAR(Calls[[#This Row],[Date of Call]]),YEAR(Calls[[#This Row],[Date of Call]])+1)</f>
        <v>2024</v>
      </c>
      <c r="J571" t="str">
        <f>TEXT(Calls[[#This Row],[Date of Call]],"DDDD")</f>
        <v>Friday</v>
      </c>
      <c r="K571" t="str" cm="1">
        <f t="array" ref="K571">_xlfn.IFS(Calls[[#This Row],[Duration]]&lt;10,"Under 10 Mins",Calls[[#This Row],[Duration]]&lt;=30,"10 - 30 Mins",Calls[[#This Row],[Duration]]&lt;=60,"30 - 60 Mins",Calls[[#This Row],[Duration]]&lt;=120,"1 - 2 Hours",TRUE,"More than 2  Hours")</f>
        <v>1 - 2 Hours</v>
      </c>
      <c r="L571">
        <f>ROUND(Calls[[#This Row],[Satisfaction Rating]],0)</f>
        <v>5</v>
      </c>
    </row>
    <row r="572" spans="2:12" x14ac:dyDescent="0.3">
      <c r="B572" s="22" t="s">
        <v>594</v>
      </c>
      <c r="C572" s="4" t="s">
        <v>23</v>
      </c>
      <c r="D572" s="4">
        <v>123</v>
      </c>
      <c r="E572" s="5" t="s">
        <v>10</v>
      </c>
      <c r="F572" s="9">
        <v>45101</v>
      </c>
      <c r="G572" s="4">
        <v>44</v>
      </c>
      <c r="H572" s="23">
        <v>4.5999999999999996</v>
      </c>
      <c r="I572">
        <f>IF(MONTH(Calls[[#This Row],[Date of Call]])&lt;6,YEAR(Calls[[#This Row],[Date of Call]]),YEAR(Calls[[#This Row],[Date of Call]])+1)</f>
        <v>2024</v>
      </c>
      <c r="J572" t="str">
        <f>TEXT(Calls[[#This Row],[Date of Call]],"DDDD")</f>
        <v>Saturday</v>
      </c>
      <c r="K572" t="str" cm="1">
        <f t="array" ref="K572">_xlfn.IFS(Calls[[#This Row],[Duration]]&lt;10,"Under 10 Mins",Calls[[#This Row],[Duration]]&lt;=30,"10 - 30 Mins",Calls[[#This Row],[Duration]]&lt;=60,"30 - 60 Mins",Calls[[#This Row],[Duration]]&lt;=120,"1 - 2 Hours",TRUE,"More than 2  Hours")</f>
        <v>More than 2  Hours</v>
      </c>
      <c r="L572">
        <f>ROUND(Calls[[#This Row],[Satisfaction Rating]],0)</f>
        <v>5</v>
      </c>
    </row>
    <row r="573" spans="2:12" x14ac:dyDescent="0.3">
      <c r="B573" s="22" t="s">
        <v>595</v>
      </c>
      <c r="C573" s="4" t="s">
        <v>22</v>
      </c>
      <c r="D573" s="4">
        <v>100</v>
      </c>
      <c r="E573" s="5" t="s">
        <v>13</v>
      </c>
      <c r="F573" s="9">
        <v>45101</v>
      </c>
      <c r="G573" s="4">
        <v>69</v>
      </c>
      <c r="H573" s="23">
        <v>3</v>
      </c>
      <c r="I573">
        <f>IF(MONTH(Calls[[#This Row],[Date of Call]])&lt;6,YEAR(Calls[[#This Row],[Date of Call]]),YEAR(Calls[[#This Row],[Date of Call]])+1)</f>
        <v>2024</v>
      </c>
      <c r="J573" t="str">
        <f>TEXT(Calls[[#This Row],[Date of Call]],"DDDD")</f>
        <v>Saturday</v>
      </c>
      <c r="K573" t="str" cm="1">
        <f t="array" ref="K573">_xlfn.IFS(Calls[[#This Row],[Duration]]&lt;10,"Under 10 Mins",Calls[[#This Row],[Duration]]&lt;=30,"10 - 30 Mins",Calls[[#This Row],[Duration]]&lt;=60,"30 - 60 Mins",Calls[[#This Row],[Duration]]&lt;=120,"1 - 2 Hours",TRUE,"More than 2  Hours")</f>
        <v>1 - 2 Hours</v>
      </c>
      <c r="L573">
        <f>ROUND(Calls[[#This Row],[Satisfaction Rating]],0)</f>
        <v>3</v>
      </c>
    </row>
    <row r="574" spans="2:12" x14ac:dyDescent="0.3">
      <c r="B574" s="22" t="s">
        <v>596</v>
      </c>
      <c r="C574" s="4" t="s">
        <v>14</v>
      </c>
      <c r="D574" s="4">
        <v>35</v>
      </c>
      <c r="E574" s="5" t="s">
        <v>11</v>
      </c>
      <c r="F574" s="9">
        <v>45102</v>
      </c>
      <c r="G574" s="4">
        <v>86</v>
      </c>
      <c r="H574" s="23">
        <v>4.5999999999999996</v>
      </c>
      <c r="I574">
        <f>IF(MONTH(Calls[[#This Row],[Date of Call]])&lt;6,YEAR(Calls[[#This Row],[Date of Call]]),YEAR(Calls[[#This Row],[Date of Call]])+1)</f>
        <v>2024</v>
      </c>
      <c r="J574" t="str">
        <f>TEXT(Calls[[#This Row],[Date of Call]],"DDDD")</f>
        <v>Sunday</v>
      </c>
      <c r="K574" t="str" cm="1">
        <f t="array" ref="K574">_xlfn.IFS(Calls[[#This Row],[Duration]]&lt;10,"Under 10 Mins",Calls[[#This Row],[Duration]]&lt;=30,"10 - 30 Mins",Calls[[#This Row],[Duration]]&lt;=60,"30 - 60 Mins",Calls[[#This Row],[Duration]]&lt;=120,"1 - 2 Hours",TRUE,"More than 2  Hours")</f>
        <v>30 - 60 Mins</v>
      </c>
      <c r="L574">
        <f>ROUND(Calls[[#This Row],[Satisfaction Rating]],0)</f>
        <v>5</v>
      </c>
    </row>
    <row r="575" spans="2:12" x14ac:dyDescent="0.3">
      <c r="B575" s="22" t="s">
        <v>597</v>
      </c>
      <c r="C575" s="4" t="s">
        <v>15</v>
      </c>
      <c r="D575" s="4">
        <v>123</v>
      </c>
      <c r="E575" s="5" t="s">
        <v>6</v>
      </c>
      <c r="F575" s="9">
        <v>45102</v>
      </c>
      <c r="G575" s="4">
        <v>68</v>
      </c>
      <c r="H575" s="23">
        <v>4.5</v>
      </c>
      <c r="I575">
        <f>IF(MONTH(Calls[[#This Row],[Date of Call]])&lt;6,YEAR(Calls[[#This Row],[Date of Call]]),YEAR(Calls[[#This Row],[Date of Call]])+1)</f>
        <v>2024</v>
      </c>
      <c r="J575" t="str">
        <f>TEXT(Calls[[#This Row],[Date of Call]],"DDDD")</f>
        <v>Sunday</v>
      </c>
      <c r="K575" t="str" cm="1">
        <f t="array" ref="K575">_xlfn.IFS(Calls[[#This Row],[Duration]]&lt;10,"Under 10 Mins",Calls[[#This Row],[Duration]]&lt;=30,"10 - 30 Mins",Calls[[#This Row],[Duration]]&lt;=60,"30 - 60 Mins",Calls[[#This Row],[Duration]]&lt;=120,"1 - 2 Hours",TRUE,"More than 2  Hours")</f>
        <v>More than 2  Hours</v>
      </c>
      <c r="L575">
        <f>ROUND(Calls[[#This Row],[Satisfaction Rating]],0)</f>
        <v>5</v>
      </c>
    </row>
    <row r="576" spans="2:12" x14ac:dyDescent="0.3">
      <c r="B576" s="22" t="s">
        <v>598</v>
      </c>
      <c r="C576" s="4" t="s">
        <v>24</v>
      </c>
      <c r="D576" s="4">
        <v>133</v>
      </c>
      <c r="E576" s="5" t="s">
        <v>11</v>
      </c>
      <c r="F576" s="9">
        <v>45103</v>
      </c>
      <c r="G576" s="4">
        <v>21</v>
      </c>
      <c r="H576" s="23">
        <v>3.7</v>
      </c>
      <c r="I576">
        <f>IF(MONTH(Calls[[#This Row],[Date of Call]])&lt;6,YEAR(Calls[[#This Row],[Date of Call]]),YEAR(Calls[[#This Row],[Date of Call]])+1)</f>
        <v>2024</v>
      </c>
      <c r="J576" t="str">
        <f>TEXT(Calls[[#This Row],[Date of Call]],"DDDD")</f>
        <v>Monday</v>
      </c>
      <c r="K576" t="str" cm="1">
        <f t="array" ref="K576">_xlfn.IFS(Calls[[#This Row],[Duration]]&lt;10,"Under 10 Mins",Calls[[#This Row],[Duration]]&lt;=30,"10 - 30 Mins",Calls[[#This Row],[Duration]]&lt;=60,"30 - 60 Mins",Calls[[#This Row],[Duration]]&lt;=120,"1 - 2 Hours",TRUE,"More than 2  Hours")</f>
        <v>More than 2  Hours</v>
      </c>
      <c r="L576">
        <f>ROUND(Calls[[#This Row],[Satisfaction Rating]],0)</f>
        <v>4</v>
      </c>
    </row>
    <row r="577" spans="2:12" x14ac:dyDescent="0.3">
      <c r="B577" s="22" t="s">
        <v>599</v>
      </c>
      <c r="C577" s="4" t="s">
        <v>23</v>
      </c>
      <c r="D577" s="4">
        <v>126</v>
      </c>
      <c r="E577" s="5" t="s">
        <v>9</v>
      </c>
      <c r="F577" s="9">
        <v>45103</v>
      </c>
      <c r="G577" s="4">
        <v>190</v>
      </c>
      <c r="H577" s="23">
        <v>2.4</v>
      </c>
      <c r="I577">
        <f>IF(MONTH(Calls[[#This Row],[Date of Call]])&lt;6,YEAR(Calls[[#This Row],[Date of Call]]),YEAR(Calls[[#This Row],[Date of Call]])+1)</f>
        <v>2024</v>
      </c>
      <c r="J577" t="str">
        <f>TEXT(Calls[[#This Row],[Date of Call]],"DDDD")</f>
        <v>Monday</v>
      </c>
      <c r="K577" t="str" cm="1">
        <f t="array" ref="K577">_xlfn.IFS(Calls[[#This Row],[Duration]]&lt;10,"Under 10 Mins",Calls[[#This Row],[Duration]]&lt;=30,"10 - 30 Mins",Calls[[#This Row],[Duration]]&lt;=60,"30 - 60 Mins",Calls[[#This Row],[Duration]]&lt;=120,"1 - 2 Hours",TRUE,"More than 2  Hours")</f>
        <v>More than 2  Hours</v>
      </c>
      <c r="L577">
        <f>ROUND(Calls[[#This Row],[Satisfaction Rating]],0)</f>
        <v>2</v>
      </c>
    </row>
    <row r="578" spans="2:12" x14ac:dyDescent="0.3">
      <c r="B578" s="22" t="s">
        <v>600</v>
      </c>
      <c r="C578" s="4" t="s">
        <v>15</v>
      </c>
      <c r="D578" s="4">
        <v>39</v>
      </c>
      <c r="E578" s="5" t="s">
        <v>10</v>
      </c>
      <c r="F578" s="9">
        <v>45103</v>
      </c>
      <c r="G578" s="4">
        <v>176</v>
      </c>
      <c r="H578" s="23">
        <v>4.3</v>
      </c>
      <c r="I578">
        <f>IF(MONTH(Calls[[#This Row],[Date of Call]])&lt;6,YEAR(Calls[[#This Row],[Date of Call]]),YEAR(Calls[[#This Row],[Date of Call]])+1)</f>
        <v>2024</v>
      </c>
      <c r="J578" t="str">
        <f>TEXT(Calls[[#This Row],[Date of Call]],"DDDD")</f>
        <v>Monday</v>
      </c>
      <c r="K578" t="str" cm="1">
        <f t="array" ref="K578">_xlfn.IFS(Calls[[#This Row],[Duration]]&lt;10,"Under 10 Mins",Calls[[#This Row],[Duration]]&lt;=30,"10 - 30 Mins",Calls[[#This Row],[Duration]]&lt;=60,"30 - 60 Mins",Calls[[#This Row],[Duration]]&lt;=120,"1 - 2 Hours",TRUE,"More than 2  Hours")</f>
        <v>30 - 60 Mins</v>
      </c>
      <c r="L578">
        <f>ROUND(Calls[[#This Row],[Satisfaction Rating]],0)</f>
        <v>4</v>
      </c>
    </row>
    <row r="579" spans="2:12" x14ac:dyDescent="0.3">
      <c r="B579" s="22" t="s">
        <v>601</v>
      </c>
      <c r="C579" s="4" t="s">
        <v>19</v>
      </c>
      <c r="D579" s="4">
        <v>31</v>
      </c>
      <c r="E579" s="5" t="s">
        <v>6</v>
      </c>
      <c r="F579" s="9">
        <v>45103</v>
      </c>
      <c r="G579" s="4">
        <v>172</v>
      </c>
      <c r="H579" s="23">
        <v>3.9</v>
      </c>
      <c r="I579">
        <f>IF(MONTH(Calls[[#This Row],[Date of Call]])&lt;6,YEAR(Calls[[#This Row],[Date of Call]]),YEAR(Calls[[#This Row],[Date of Call]])+1)</f>
        <v>2024</v>
      </c>
      <c r="J579" t="str">
        <f>TEXT(Calls[[#This Row],[Date of Call]],"DDDD")</f>
        <v>Monday</v>
      </c>
      <c r="K579" t="str" cm="1">
        <f t="array" ref="K579">_xlfn.IFS(Calls[[#This Row],[Duration]]&lt;10,"Under 10 Mins",Calls[[#This Row],[Duration]]&lt;=30,"10 - 30 Mins",Calls[[#This Row],[Duration]]&lt;=60,"30 - 60 Mins",Calls[[#This Row],[Duration]]&lt;=120,"1 - 2 Hours",TRUE,"More than 2  Hours")</f>
        <v>30 - 60 Mins</v>
      </c>
      <c r="L579">
        <f>ROUND(Calls[[#This Row],[Satisfaction Rating]],0)</f>
        <v>4</v>
      </c>
    </row>
    <row r="580" spans="2:12" x14ac:dyDescent="0.3">
      <c r="B580" s="22" t="s">
        <v>602</v>
      </c>
      <c r="C580" s="4" t="s">
        <v>8</v>
      </c>
      <c r="D580" s="4">
        <v>25</v>
      </c>
      <c r="E580" s="5" t="s">
        <v>11</v>
      </c>
      <c r="F580" s="9">
        <v>45103</v>
      </c>
      <c r="G580" s="4">
        <v>84</v>
      </c>
      <c r="H580" s="23">
        <v>4.5</v>
      </c>
      <c r="I580">
        <f>IF(MONTH(Calls[[#This Row],[Date of Call]])&lt;6,YEAR(Calls[[#This Row],[Date of Call]]),YEAR(Calls[[#This Row],[Date of Call]])+1)</f>
        <v>2024</v>
      </c>
      <c r="J580" t="str">
        <f>TEXT(Calls[[#This Row],[Date of Call]],"DDDD")</f>
        <v>Monday</v>
      </c>
      <c r="K580" t="str" cm="1">
        <f t="array" ref="K580">_xlfn.IFS(Calls[[#This Row],[Duration]]&lt;10,"Under 10 Mins",Calls[[#This Row],[Duration]]&lt;=30,"10 - 30 Mins",Calls[[#This Row],[Duration]]&lt;=60,"30 - 60 Mins",Calls[[#This Row],[Duration]]&lt;=120,"1 - 2 Hours",TRUE,"More than 2  Hours")</f>
        <v>10 - 30 Mins</v>
      </c>
      <c r="L580">
        <f>ROUND(Calls[[#This Row],[Satisfaction Rating]],0)</f>
        <v>5</v>
      </c>
    </row>
    <row r="581" spans="2:12" x14ac:dyDescent="0.3">
      <c r="B581" s="22" t="s">
        <v>603</v>
      </c>
      <c r="C581" s="4" t="s">
        <v>12</v>
      </c>
      <c r="D581" s="4">
        <v>132</v>
      </c>
      <c r="E581" s="5" t="s">
        <v>13</v>
      </c>
      <c r="F581" s="9">
        <v>45104</v>
      </c>
      <c r="G581" s="4">
        <v>42</v>
      </c>
      <c r="H581" s="23">
        <v>5</v>
      </c>
      <c r="I581">
        <f>IF(MONTH(Calls[[#This Row],[Date of Call]])&lt;6,YEAR(Calls[[#This Row],[Date of Call]]),YEAR(Calls[[#This Row],[Date of Call]])+1)</f>
        <v>2024</v>
      </c>
      <c r="J581" t="str">
        <f>TEXT(Calls[[#This Row],[Date of Call]],"DDDD")</f>
        <v>Tuesday</v>
      </c>
      <c r="K581" t="str" cm="1">
        <f t="array" ref="K581">_xlfn.IFS(Calls[[#This Row],[Duration]]&lt;10,"Under 10 Mins",Calls[[#This Row],[Duration]]&lt;=30,"10 - 30 Mins",Calls[[#This Row],[Duration]]&lt;=60,"30 - 60 Mins",Calls[[#This Row],[Duration]]&lt;=120,"1 - 2 Hours",TRUE,"More than 2  Hours")</f>
        <v>More than 2  Hours</v>
      </c>
      <c r="L581">
        <f>ROUND(Calls[[#This Row],[Satisfaction Rating]],0)</f>
        <v>5</v>
      </c>
    </row>
    <row r="582" spans="2:12" x14ac:dyDescent="0.3">
      <c r="B582" s="22" t="s">
        <v>604</v>
      </c>
      <c r="C582" s="4" t="s">
        <v>14</v>
      </c>
      <c r="D582" s="4">
        <v>63</v>
      </c>
      <c r="E582" s="5" t="s">
        <v>9</v>
      </c>
      <c r="F582" s="9">
        <v>45104</v>
      </c>
      <c r="G582" s="4">
        <v>70</v>
      </c>
      <c r="H582" s="23">
        <v>1.6</v>
      </c>
      <c r="I582">
        <f>IF(MONTH(Calls[[#This Row],[Date of Call]])&lt;6,YEAR(Calls[[#This Row],[Date of Call]]),YEAR(Calls[[#This Row],[Date of Call]])+1)</f>
        <v>2024</v>
      </c>
      <c r="J582" t="str">
        <f>TEXT(Calls[[#This Row],[Date of Call]],"DDDD")</f>
        <v>Tuesday</v>
      </c>
      <c r="K582" t="str" cm="1">
        <f t="array" ref="K582">_xlfn.IFS(Calls[[#This Row],[Duration]]&lt;10,"Under 10 Mins",Calls[[#This Row],[Duration]]&lt;=30,"10 - 30 Mins",Calls[[#This Row],[Duration]]&lt;=60,"30 - 60 Mins",Calls[[#This Row],[Duration]]&lt;=120,"1 - 2 Hours",TRUE,"More than 2  Hours")</f>
        <v>1 - 2 Hours</v>
      </c>
      <c r="L582">
        <f>ROUND(Calls[[#This Row],[Satisfaction Rating]],0)</f>
        <v>2</v>
      </c>
    </row>
    <row r="583" spans="2:12" x14ac:dyDescent="0.3">
      <c r="B583" s="22" t="s">
        <v>605</v>
      </c>
      <c r="C583" s="4" t="s">
        <v>22</v>
      </c>
      <c r="D583" s="4">
        <v>135</v>
      </c>
      <c r="E583" s="5" t="s">
        <v>13</v>
      </c>
      <c r="F583" s="9">
        <v>45104</v>
      </c>
      <c r="G583" s="4">
        <v>60</v>
      </c>
      <c r="H583" s="23">
        <v>4.3</v>
      </c>
      <c r="I583">
        <f>IF(MONTH(Calls[[#This Row],[Date of Call]])&lt;6,YEAR(Calls[[#This Row],[Date of Call]]),YEAR(Calls[[#This Row],[Date of Call]])+1)</f>
        <v>2024</v>
      </c>
      <c r="J583" t="str">
        <f>TEXT(Calls[[#This Row],[Date of Call]],"DDDD")</f>
        <v>Tuesday</v>
      </c>
      <c r="K583" t="str" cm="1">
        <f t="array" ref="K583">_xlfn.IFS(Calls[[#This Row],[Duration]]&lt;10,"Under 10 Mins",Calls[[#This Row],[Duration]]&lt;=30,"10 - 30 Mins",Calls[[#This Row],[Duration]]&lt;=60,"30 - 60 Mins",Calls[[#This Row],[Duration]]&lt;=120,"1 - 2 Hours",TRUE,"More than 2  Hours")</f>
        <v>More than 2  Hours</v>
      </c>
      <c r="L583">
        <f>ROUND(Calls[[#This Row],[Satisfaction Rating]],0)</f>
        <v>4</v>
      </c>
    </row>
    <row r="584" spans="2:12" x14ac:dyDescent="0.3">
      <c r="B584" s="22" t="s">
        <v>606</v>
      </c>
      <c r="C584" s="4" t="s">
        <v>18</v>
      </c>
      <c r="D584" s="4">
        <v>101</v>
      </c>
      <c r="E584" s="5" t="s">
        <v>9</v>
      </c>
      <c r="F584" s="9">
        <v>45104</v>
      </c>
      <c r="G584" s="4">
        <v>84</v>
      </c>
      <c r="H584" s="23">
        <v>3.5</v>
      </c>
      <c r="I584">
        <f>IF(MONTH(Calls[[#This Row],[Date of Call]])&lt;6,YEAR(Calls[[#This Row],[Date of Call]]),YEAR(Calls[[#This Row],[Date of Call]])+1)</f>
        <v>2024</v>
      </c>
      <c r="J584" t="str">
        <f>TEXT(Calls[[#This Row],[Date of Call]],"DDDD")</f>
        <v>Tuesday</v>
      </c>
      <c r="K584" t="str" cm="1">
        <f t="array" ref="K584">_xlfn.IFS(Calls[[#This Row],[Duration]]&lt;10,"Under 10 Mins",Calls[[#This Row],[Duration]]&lt;=30,"10 - 30 Mins",Calls[[#This Row],[Duration]]&lt;=60,"30 - 60 Mins",Calls[[#This Row],[Duration]]&lt;=120,"1 - 2 Hours",TRUE,"More than 2  Hours")</f>
        <v>1 - 2 Hours</v>
      </c>
      <c r="L584">
        <f>ROUND(Calls[[#This Row],[Satisfaction Rating]],0)</f>
        <v>4</v>
      </c>
    </row>
    <row r="585" spans="2:12" x14ac:dyDescent="0.3">
      <c r="B585" s="22" t="s">
        <v>607</v>
      </c>
      <c r="C585" s="4" t="s">
        <v>24</v>
      </c>
      <c r="D585" s="4">
        <v>80</v>
      </c>
      <c r="E585" s="5" t="s">
        <v>10</v>
      </c>
      <c r="F585" s="9">
        <v>45105</v>
      </c>
      <c r="G585" s="4">
        <v>68</v>
      </c>
      <c r="H585" s="23">
        <v>3.1</v>
      </c>
      <c r="I585">
        <f>IF(MONTH(Calls[[#This Row],[Date of Call]])&lt;6,YEAR(Calls[[#This Row],[Date of Call]]),YEAR(Calls[[#This Row],[Date of Call]])+1)</f>
        <v>2024</v>
      </c>
      <c r="J585" t="str">
        <f>TEXT(Calls[[#This Row],[Date of Call]],"DDDD")</f>
        <v>Wednesday</v>
      </c>
      <c r="K585" t="str" cm="1">
        <f t="array" ref="K585">_xlfn.IFS(Calls[[#This Row],[Duration]]&lt;10,"Under 10 Mins",Calls[[#This Row],[Duration]]&lt;=30,"10 - 30 Mins",Calls[[#This Row],[Duration]]&lt;=60,"30 - 60 Mins",Calls[[#This Row],[Duration]]&lt;=120,"1 - 2 Hours",TRUE,"More than 2  Hours")</f>
        <v>1 - 2 Hours</v>
      </c>
      <c r="L585">
        <f>ROUND(Calls[[#This Row],[Satisfaction Rating]],0)</f>
        <v>3</v>
      </c>
    </row>
    <row r="586" spans="2:12" x14ac:dyDescent="0.3">
      <c r="B586" s="22" t="s">
        <v>608</v>
      </c>
      <c r="C586" s="4" t="s">
        <v>17</v>
      </c>
      <c r="D586" s="4">
        <v>28</v>
      </c>
      <c r="E586" s="5" t="s">
        <v>10</v>
      </c>
      <c r="F586" s="9">
        <v>45105</v>
      </c>
      <c r="G586" s="4">
        <v>44</v>
      </c>
      <c r="H586" s="23">
        <v>2.9</v>
      </c>
      <c r="I586">
        <f>IF(MONTH(Calls[[#This Row],[Date of Call]])&lt;6,YEAR(Calls[[#This Row],[Date of Call]]),YEAR(Calls[[#This Row],[Date of Call]])+1)</f>
        <v>2024</v>
      </c>
      <c r="J586" t="str">
        <f>TEXT(Calls[[#This Row],[Date of Call]],"DDDD")</f>
        <v>Wednesday</v>
      </c>
      <c r="K586" t="str" cm="1">
        <f t="array" ref="K586">_xlfn.IFS(Calls[[#This Row],[Duration]]&lt;10,"Under 10 Mins",Calls[[#This Row],[Duration]]&lt;=30,"10 - 30 Mins",Calls[[#This Row],[Duration]]&lt;=60,"30 - 60 Mins",Calls[[#This Row],[Duration]]&lt;=120,"1 - 2 Hours",TRUE,"More than 2  Hours")</f>
        <v>10 - 30 Mins</v>
      </c>
      <c r="L586">
        <f>ROUND(Calls[[#This Row],[Satisfaction Rating]],0)</f>
        <v>3</v>
      </c>
    </row>
    <row r="587" spans="2:12" x14ac:dyDescent="0.3">
      <c r="B587" s="22" t="s">
        <v>609</v>
      </c>
      <c r="C587" s="4" t="s">
        <v>18</v>
      </c>
      <c r="D587" s="4">
        <v>102</v>
      </c>
      <c r="E587" s="5" t="s">
        <v>13</v>
      </c>
      <c r="F587" s="9">
        <v>45106</v>
      </c>
      <c r="G587" s="4">
        <v>99</v>
      </c>
      <c r="H587" s="23">
        <v>3.2</v>
      </c>
      <c r="I587">
        <f>IF(MONTH(Calls[[#This Row],[Date of Call]])&lt;6,YEAR(Calls[[#This Row],[Date of Call]]),YEAR(Calls[[#This Row],[Date of Call]])+1)</f>
        <v>2024</v>
      </c>
      <c r="J587" t="str">
        <f>TEXT(Calls[[#This Row],[Date of Call]],"DDDD")</f>
        <v>Thursday</v>
      </c>
      <c r="K587" t="str" cm="1">
        <f t="array" ref="K587">_xlfn.IFS(Calls[[#This Row],[Duration]]&lt;10,"Under 10 Mins",Calls[[#This Row],[Duration]]&lt;=30,"10 - 30 Mins",Calls[[#This Row],[Duration]]&lt;=60,"30 - 60 Mins",Calls[[#This Row],[Duration]]&lt;=120,"1 - 2 Hours",TRUE,"More than 2  Hours")</f>
        <v>1 - 2 Hours</v>
      </c>
      <c r="L587">
        <f>ROUND(Calls[[#This Row],[Satisfaction Rating]],0)</f>
        <v>3</v>
      </c>
    </row>
    <row r="588" spans="2:12" x14ac:dyDescent="0.3">
      <c r="B588" s="22" t="s">
        <v>610</v>
      </c>
      <c r="C588" s="4" t="s">
        <v>14</v>
      </c>
      <c r="D588" s="4">
        <v>60</v>
      </c>
      <c r="E588" s="5" t="s">
        <v>13</v>
      </c>
      <c r="F588" s="9">
        <v>45107</v>
      </c>
      <c r="G588" s="4">
        <v>66</v>
      </c>
      <c r="H588" s="23">
        <v>3.2</v>
      </c>
      <c r="I588">
        <f>IF(MONTH(Calls[[#This Row],[Date of Call]])&lt;6,YEAR(Calls[[#This Row],[Date of Call]]),YEAR(Calls[[#This Row],[Date of Call]])+1)</f>
        <v>2024</v>
      </c>
      <c r="J588" t="str">
        <f>TEXT(Calls[[#This Row],[Date of Call]],"DDDD")</f>
        <v>Friday</v>
      </c>
      <c r="K588" t="str" cm="1">
        <f t="array" ref="K588">_xlfn.IFS(Calls[[#This Row],[Duration]]&lt;10,"Under 10 Mins",Calls[[#This Row],[Duration]]&lt;=30,"10 - 30 Mins",Calls[[#This Row],[Duration]]&lt;=60,"30 - 60 Mins",Calls[[#This Row],[Duration]]&lt;=120,"1 - 2 Hours",TRUE,"More than 2  Hours")</f>
        <v>30 - 60 Mins</v>
      </c>
      <c r="L588">
        <f>ROUND(Calls[[#This Row],[Satisfaction Rating]],0)</f>
        <v>3</v>
      </c>
    </row>
    <row r="589" spans="2:12" x14ac:dyDescent="0.3">
      <c r="B589" s="22" t="s">
        <v>611</v>
      </c>
      <c r="C589" s="4" t="s">
        <v>21</v>
      </c>
      <c r="D589" s="4">
        <v>103</v>
      </c>
      <c r="E589" s="5" t="s">
        <v>13</v>
      </c>
      <c r="F589" s="9">
        <v>45107</v>
      </c>
      <c r="G589" s="4">
        <v>102</v>
      </c>
      <c r="H589" s="23">
        <v>4.5</v>
      </c>
      <c r="I589">
        <f>IF(MONTH(Calls[[#This Row],[Date of Call]])&lt;6,YEAR(Calls[[#This Row],[Date of Call]]),YEAR(Calls[[#This Row],[Date of Call]])+1)</f>
        <v>2024</v>
      </c>
      <c r="J589" t="str">
        <f>TEXT(Calls[[#This Row],[Date of Call]],"DDDD")</f>
        <v>Friday</v>
      </c>
      <c r="K589" t="str" cm="1">
        <f t="array" ref="K589">_xlfn.IFS(Calls[[#This Row],[Duration]]&lt;10,"Under 10 Mins",Calls[[#This Row],[Duration]]&lt;=30,"10 - 30 Mins",Calls[[#This Row],[Duration]]&lt;=60,"30 - 60 Mins",Calls[[#This Row],[Duration]]&lt;=120,"1 - 2 Hours",TRUE,"More than 2  Hours")</f>
        <v>1 - 2 Hours</v>
      </c>
      <c r="L589">
        <f>ROUND(Calls[[#This Row],[Satisfaction Rating]],0)</f>
        <v>5</v>
      </c>
    </row>
    <row r="590" spans="2:12" x14ac:dyDescent="0.3">
      <c r="B590" s="22" t="s">
        <v>612</v>
      </c>
      <c r="C590" s="4" t="s">
        <v>24</v>
      </c>
      <c r="D590" s="4">
        <v>90</v>
      </c>
      <c r="E590" s="5" t="s">
        <v>10</v>
      </c>
      <c r="F590" s="9">
        <v>45108</v>
      </c>
      <c r="G590" s="4">
        <v>129</v>
      </c>
      <c r="H590" s="23">
        <v>3.9</v>
      </c>
      <c r="I590">
        <f>IF(MONTH(Calls[[#This Row],[Date of Call]])&lt;6,YEAR(Calls[[#This Row],[Date of Call]]),YEAR(Calls[[#This Row],[Date of Call]])+1)</f>
        <v>2024</v>
      </c>
      <c r="J590" t="str">
        <f>TEXT(Calls[[#This Row],[Date of Call]],"DDDD")</f>
        <v>Saturday</v>
      </c>
      <c r="K590" t="str" cm="1">
        <f t="array" ref="K590">_xlfn.IFS(Calls[[#This Row],[Duration]]&lt;10,"Under 10 Mins",Calls[[#This Row],[Duration]]&lt;=30,"10 - 30 Mins",Calls[[#This Row],[Duration]]&lt;=60,"30 - 60 Mins",Calls[[#This Row],[Duration]]&lt;=120,"1 - 2 Hours",TRUE,"More than 2  Hours")</f>
        <v>1 - 2 Hours</v>
      </c>
      <c r="L590">
        <f>ROUND(Calls[[#This Row],[Satisfaction Rating]],0)</f>
        <v>4</v>
      </c>
    </row>
    <row r="591" spans="2:12" x14ac:dyDescent="0.3">
      <c r="B591" s="22" t="s">
        <v>613</v>
      </c>
      <c r="C591" s="4" t="s">
        <v>16</v>
      </c>
      <c r="D591" s="4">
        <v>88</v>
      </c>
      <c r="E591" s="5" t="s">
        <v>13</v>
      </c>
      <c r="F591" s="9">
        <v>45108</v>
      </c>
      <c r="G591" s="4">
        <v>80</v>
      </c>
      <c r="H591" s="23">
        <v>4.2</v>
      </c>
      <c r="I591">
        <f>IF(MONTH(Calls[[#This Row],[Date of Call]])&lt;6,YEAR(Calls[[#This Row],[Date of Call]]),YEAR(Calls[[#This Row],[Date of Call]])+1)</f>
        <v>2024</v>
      </c>
      <c r="J591" t="str">
        <f>TEXT(Calls[[#This Row],[Date of Call]],"DDDD")</f>
        <v>Saturday</v>
      </c>
      <c r="K591" t="str" cm="1">
        <f t="array" ref="K591">_xlfn.IFS(Calls[[#This Row],[Duration]]&lt;10,"Under 10 Mins",Calls[[#This Row],[Duration]]&lt;=30,"10 - 30 Mins",Calls[[#This Row],[Duration]]&lt;=60,"30 - 60 Mins",Calls[[#This Row],[Duration]]&lt;=120,"1 - 2 Hours",TRUE,"More than 2  Hours")</f>
        <v>1 - 2 Hours</v>
      </c>
      <c r="L591">
        <f>ROUND(Calls[[#This Row],[Satisfaction Rating]],0)</f>
        <v>4</v>
      </c>
    </row>
    <row r="592" spans="2:12" x14ac:dyDescent="0.3">
      <c r="B592" s="22" t="s">
        <v>614</v>
      </c>
      <c r="C592" s="4" t="s">
        <v>21</v>
      </c>
      <c r="D592" s="4">
        <v>37</v>
      </c>
      <c r="E592" s="5" t="s">
        <v>13</v>
      </c>
      <c r="F592" s="9">
        <v>45108</v>
      </c>
      <c r="G592" s="4">
        <v>54</v>
      </c>
      <c r="H592" s="23">
        <v>1.8</v>
      </c>
      <c r="I592">
        <f>IF(MONTH(Calls[[#This Row],[Date of Call]])&lt;6,YEAR(Calls[[#This Row],[Date of Call]]),YEAR(Calls[[#This Row],[Date of Call]])+1)</f>
        <v>2024</v>
      </c>
      <c r="J592" t="str">
        <f>TEXT(Calls[[#This Row],[Date of Call]],"DDDD")</f>
        <v>Saturday</v>
      </c>
      <c r="K592" t="str" cm="1">
        <f t="array" ref="K592">_xlfn.IFS(Calls[[#This Row],[Duration]]&lt;10,"Under 10 Mins",Calls[[#This Row],[Duration]]&lt;=30,"10 - 30 Mins",Calls[[#This Row],[Duration]]&lt;=60,"30 - 60 Mins",Calls[[#This Row],[Duration]]&lt;=120,"1 - 2 Hours",TRUE,"More than 2  Hours")</f>
        <v>30 - 60 Mins</v>
      </c>
      <c r="L592">
        <f>ROUND(Calls[[#This Row],[Satisfaction Rating]],0)</f>
        <v>2</v>
      </c>
    </row>
    <row r="593" spans="2:12" x14ac:dyDescent="0.3">
      <c r="B593" s="22" t="s">
        <v>615</v>
      </c>
      <c r="C593" s="4" t="s">
        <v>17</v>
      </c>
      <c r="D593" s="4">
        <v>142</v>
      </c>
      <c r="E593" s="5" t="s">
        <v>10</v>
      </c>
      <c r="F593" s="9">
        <v>45108</v>
      </c>
      <c r="G593" s="4">
        <v>116</v>
      </c>
      <c r="H593" s="23">
        <v>4.2</v>
      </c>
      <c r="I593">
        <f>IF(MONTH(Calls[[#This Row],[Date of Call]])&lt;6,YEAR(Calls[[#This Row],[Date of Call]]),YEAR(Calls[[#This Row],[Date of Call]])+1)</f>
        <v>2024</v>
      </c>
      <c r="J593" t="str">
        <f>TEXT(Calls[[#This Row],[Date of Call]],"DDDD")</f>
        <v>Saturday</v>
      </c>
      <c r="K593" t="str" cm="1">
        <f t="array" ref="K593">_xlfn.IFS(Calls[[#This Row],[Duration]]&lt;10,"Under 10 Mins",Calls[[#This Row],[Duration]]&lt;=30,"10 - 30 Mins",Calls[[#This Row],[Duration]]&lt;=60,"30 - 60 Mins",Calls[[#This Row],[Duration]]&lt;=120,"1 - 2 Hours",TRUE,"More than 2  Hours")</f>
        <v>More than 2  Hours</v>
      </c>
      <c r="L593">
        <f>ROUND(Calls[[#This Row],[Satisfaction Rating]],0)</f>
        <v>4</v>
      </c>
    </row>
    <row r="594" spans="2:12" x14ac:dyDescent="0.3">
      <c r="B594" s="22" t="s">
        <v>616</v>
      </c>
      <c r="C594" s="4" t="s">
        <v>17</v>
      </c>
      <c r="D594" s="4">
        <v>153</v>
      </c>
      <c r="E594" s="5" t="s">
        <v>11</v>
      </c>
      <c r="F594" s="9">
        <v>45108</v>
      </c>
      <c r="G594" s="4">
        <v>102</v>
      </c>
      <c r="H594" s="23">
        <v>3.1</v>
      </c>
      <c r="I594">
        <f>IF(MONTH(Calls[[#This Row],[Date of Call]])&lt;6,YEAR(Calls[[#This Row],[Date of Call]]),YEAR(Calls[[#This Row],[Date of Call]])+1)</f>
        <v>2024</v>
      </c>
      <c r="J594" t="str">
        <f>TEXT(Calls[[#This Row],[Date of Call]],"DDDD")</f>
        <v>Saturday</v>
      </c>
      <c r="K594" t="str" cm="1">
        <f t="array" ref="K594">_xlfn.IFS(Calls[[#This Row],[Duration]]&lt;10,"Under 10 Mins",Calls[[#This Row],[Duration]]&lt;=30,"10 - 30 Mins",Calls[[#This Row],[Duration]]&lt;=60,"30 - 60 Mins",Calls[[#This Row],[Duration]]&lt;=120,"1 - 2 Hours",TRUE,"More than 2  Hours")</f>
        <v>More than 2  Hours</v>
      </c>
      <c r="L594">
        <f>ROUND(Calls[[#This Row],[Satisfaction Rating]],0)</f>
        <v>3</v>
      </c>
    </row>
    <row r="595" spans="2:12" x14ac:dyDescent="0.3">
      <c r="B595" s="22" t="s">
        <v>617</v>
      </c>
      <c r="C595" s="4" t="s">
        <v>7</v>
      </c>
      <c r="D595" s="4">
        <v>128</v>
      </c>
      <c r="E595" s="5" t="s">
        <v>9</v>
      </c>
      <c r="F595" s="9">
        <v>45108</v>
      </c>
      <c r="G595" s="4">
        <v>140</v>
      </c>
      <c r="H595" s="23">
        <v>4.3</v>
      </c>
      <c r="I595">
        <f>IF(MONTH(Calls[[#This Row],[Date of Call]])&lt;6,YEAR(Calls[[#This Row],[Date of Call]]),YEAR(Calls[[#This Row],[Date of Call]])+1)</f>
        <v>2024</v>
      </c>
      <c r="J595" t="str">
        <f>TEXT(Calls[[#This Row],[Date of Call]],"DDDD")</f>
        <v>Saturday</v>
      </c>
      <c r="K595" t="str" cm="1">
        <f t="array" ref="K595">_xlfn.IFS(Calls[[#This Row],[Duration]]&lt;10,"Under 10 Mins",Calls[[#This Row],[Duration]]&lt;=30,"10 - 30 Mins",Calls[[#This Row],[Duration]]&lt;=60,"30 - 60 Mins",Calls[[#This Row],[Duration]]&lt;=120,"1 - 2 Hours",TRUE,"More than 2  Hours")</f>
        <v>More than 2  Hours</v>
      </c>
      <c r="L595">
        <f>ROUND(Calls[[#This Row],[Satisfaction Rating]],0)</f>
        <v>4</v>
      </c>
    </row>
    <row r="596" spans="2:12" x14ac:dyDescent="0.3">
      <c r="B596" s="22" t="s">
        <v>618</v>
      </c>
      <c r="C596" s="4" t="s">
        <v>14</v>
      </c>
      <c r="D596" s="4">
        <v>110</v>
      </c>
      <c r="E596" s="5" t="s">
        <v>9</v>
      </c>
      <c r="F596" s="9">
        <v>45109</v>
      </c>
      <c r="G596" s="4">
        <v>104</v>
      </c>
      <c r="H596" s="23">
        <v>4.4000000000000004</v>
      </c>
      <c r="I596">
        <f>IF(MONTH(Calls[[#This Row],[Date of Call]])&lt;6,YEAR(Calls[[#This Row],[Date of Call]]),YEAR(Calls[[#This Row],[Date of Call]])+1)</f>
        <v>2024</v>
      </c>
      <c r="J596" t="str">
        <f>TEXT(Calls[[#This Row],[Date of Call]],"DDDD")</f>
        <v>Sunday</v>
      </c>
      <c r="K596" t="str" cm="1">
        <f t="array" ref="K596">_xlfn.IFS(Calls[[#This Row],[Duration]]&lt;10,"Under 10 Mins",Calls[[#This Row],[Duration]]&lt;=30,"10 - 30 Mins",Calls[[#This Row],[Duration]]&lt;=60,"30 - 60 Mins",Calls[[#This Row],[Duration]]&lt;=120,"1 - 2 Hours",TRUE,"More than 2  Hours")</f>
        <v>1 - 2 Hours</v>
      </c>
      <c r="L596">
        <f>ROUND(Calls[[#This Row],[Satisfaction Rating]],0)</f>
        <v>4</v>
      </c>
    </row>
    <row r="597" spans="2:12" x14ac:dyDescent="0.3">
      <c r="B597" s="22" t="s">
        <v>619</v>
      </c>
      <c r="C597" s="4" t="s">
        <v>7</v>
      </c>
      <c r="D597" s="4">
        <v>139</v>
      </c>
      <c r="E597" s="5" t="s">
        <v>13</v>
      </c>
      <c r="F597" s="9">
        <v>45109</v>
      </c>
      <c r="G597" s="4">
        <v>81</v>
      </c>
      <c r="H597" s="23">
        <v>4.4000000000000004</v>
      </c>
      <c r="I597">
        <f>IF(MONTH(Calls[[#This Row],[Date of Call]])&lt;6,YEAR(Calls[[#This Row],[Date of Call]]),YEAR(Calls[[#This Row],[Date of Call]])+1)</f>
        <v>2024</v>
      </c>
      <c r="J597" t="str">
        <f>TEXT(Calls[[#This Row],[Date of Call]],"DDDD")</f>
        <v>Sunday</v>
      </c>
      <c r="K597" t="str" cm="1">
        <f t="array" ref="K597">_xlfn.IFS(Calls[[#This Row],[Duration]]&lt;10,"Under 10 Mins",Calls[[#This Row],[Duration]]&lt;=30,"10 - 30 Mins",Calls[[#This Row],[Duration]]&lt;=60,"30 - 60 Mins",Calls[[#This Row],[Duration]]&lt;=120,"1 - 2 Hours",TRUE,"More than 2  Hours")</f>
        <v>More than 2  Hours</v>
      </c>
      <c r="L597">
        <f>ROUND(Calls[[#This Row],[Satisfaction Rating]],0)</f>
        <v>4</v>
      </c>
    </row>
    <row r="598" spans="2:12" x14ac:dyDescent="0.3">
      <c r="B598" s="22" t="s">
        <v>620</v>
      </c>
      <c r="C598" s="4" t="s">
        <v>18</v>
      </c>
      <c r="D598" s="4">
        <v>109</v>
      </c>
      <c r="E598" s="5" t="s">
        <v>6</v>
      </c>
      <c r="F598" s="9">
        <v>45111</v>
      </c>
      <c r="G598" s="4">
        <v>140</v>
      </c>
      <c r="H598" s="23">
        <v>2.4</v>
      </c>
      <c r="I598">
        <f>IF(MONTH(Calls[[#This Row],[Date of Call]])&lt;6,YEAR(Calls[[#This Row],[Date of Call]]),YEAR(Calls[[#This Row],[Date of Call]])+1)</f>
        <v>2024</v>
      </c>
      <c r="J598" t="str">
        <f>TEXT(Calls[[#This Row],[Date of Call]],"DDDD")</f>
        <v>Tuesday</v>
      </c>
      <c r="K598" t="str" cm="1">
        <f t="array" ref="K598">_xlfn.IFS(Calls[[#This Row],[Duration]]&lt;10,"Under 10 Mins",Calls[[#This Row],[Duration]]&lt;=30,"10 - 30 Mins",Calls[[#This Row],[Duration]]&lt;=60,"30 - 60 Mins",Calls[[#This Row],[Duration]]&lt;=120,"1 - 2 Hours",TRUE,"More than 2  Hours")</f>
        <v>1 - 2 Hours</v>
      </c>
      <c r="L598">
        <f>ROUND(Calls[[#This Row],[Satisfaction Rating]],0)</f>
        <v>2</v>
      </c>
    </row>
    <row r="599" spans="2:12" x14ac:dyDescent="0.3">
      <c r="B599" s="22" t="s">
        <v>621</v>
      </c>
      <c r="C599" s="4" t="s">
        <v>12</v>
      </c>
      <c r="D599" s="4">
        <v>57</v>
      </c>
      <c r="E599" s="5" t="s">
        <v>10</v>
      </c>
      <c r="F599" s="9">
        <v>45112</v>
      </c>
      <c r="G599" s="4">
        <v>120</v>
      </c>
      <c r="H599" s="23">
        <v>3.5</v>
      </c>
      <c r="I599">
        <f>IF(MONTH(Calls[[#This Row],[Date of Call]])&lt;6,YEAR(Calls[[#This Row],[Date of Call]]),YEAR(Calls[[#This Row],[Date of Call]])+1)</f>
        <v>2024</v>
      </c>
      <c r="J599" t="str">
        <f>TEXT(Calls[[#This Row],[Date of Call]],"DDDD")</f>
        <v>Wednesday</v>
      </c>
      <c r="K599" t="str" cm="1">
        <f t="array" ref="K599">_xlfn.IFS(Calls[[#This Row],[Duration]]&lt;10,"Under 10 Mins",Calls[[#This Row],[Duration]]&lt;=30,"10 - 30 Mins",Calls[[#This Row],[Duration]]&lt;=60,"30 - 60 Mins",Calls[[#This Row],[Duration]]&lt;=120,"1 - 2 Hours",TRUE,"More than 2  Hours")</f>
        <v>30 - 60 Mins</v>
      </c>
      <c r="L599">
        <f>ROUND(Calls[[#This Row],[Satisfaction Rating]],0)</f>
        <v>4</v>
      </c>
    </row>
    <row r="600" spans="2:12" x14ac:dyDescent="0.3">
      <c r="B600" s="22" t="s">
        <v>622</v>
      </c>
      <c r="C600" s="4" t="s">
        <v>18</v>
      </c>
      <c r="D600" s="4">
        <v>68</v>
      </c>
      <c r="E600" s="5" t="s">
        <v>13</v>
      </c>
      <c r="F600" s="9">
        <v>45112</v>
      </c>
      <c r="G600" s="4">
        <v>41</v>
      </c>
      <c r="H600" s="23">
        <v>3.1</v>
      </c>
      <c r="I600">
        <f>IF(MONTH(Calls[[#This Row],[Date of Call]])&lt;6,YEAR(Calls[[#This Row],[Date of Call]]),YEAR(Calls[[#This Row],[Date of Call]])+1)</f>
        <v>2024</v>
      </c>
      <c r="J600" t="str">
        <f>TEXT(Calls[[#This Row],[Date of Call]],"DDDD")</f>
        <v>Wednesday</v>
      </c>
      <c r="K600" t="str" cm="1">
        <f t="array" ref="K600">_xlfn.IFS(Calls[[#This Row],[Duration]]&lt;10,"Under 10 Mins",Calls[[#This Row],[Duration]]&lt;=30,"10 - 30 Mins",Calls[[#This Row],[Duration]]&lt;=60,"30 - 60 Mins",Calls[[#This Row],[Duration]]&lt;=120,"1 - 2 Hours",TRUE,"More than 2  Hours")</f>
        <v>1 - 2 Hours</v>
      </c>
      <c r="L600">
        <f>ROUND(Calls[[#This Row],[Satisfaction Rating]],0)</f>
        <v>3</v>
      </c>
    </row>
    <row r="601" spans="2:12" x14ac:dyDescent="0.3">
      <c r="B601" s="22" t="s">
        <v>623</v>
      </c>
      <c r="C601" s="4" t="s">
        <v>8</v>
      </c>
      <c r="D601" s="4">
        <v>128</v>
      </c>
      <c r="E601" s="5" t="s">
        <v>13</v>
      </c>
      <c r="F601" s="9">
        <v>45112</v>
      </c>
      <c r="G601" s="4">
        <v>116</v>
      </c>
      <c r="H601" s="23">
        <v>2.2999999999999998</v>
      </c>
      <c r="I601">
        <f>IF(MONTH(Calls[[#This Row],[Date of Call]])&lt;6,YEAR(Calls[[#This Row],[Date of Call]]),YEAR(Calls[[#This Row],[Date of Call]])+1)</f>
        <v>2024</v>
      </c>
      <c r="J601" t="str">
        <f>TEXT(Calls[[#This Row],[Date of Call]],"DDDD")</f>
        <v>Wednesday</v>
      </c>
      <c r="K601" t="str" cm="1">
        <f t="array" ref="K601">_xlfn.IFS(Calls[[#This Row],[Duration]]&lt;10,"Under 10 Mins",Calls[[#This Row],[Duration]]&lt;=30,"10 - 30 Mins",Calls[[#This Row],[Duration]]&lt;=60,"30 - 60 Mins",Calls[[#This Row],[Duration]]&lt;=120,"1 - 2 Hours",TRUE,"More than 2  Hours")</f>
        <v>More than 2  Hours</v>
      </c>
      <c r="L601">
        <f>ROUND(Calls[[#This Row],[Satisfaction Rating]],0)</f>
        <v>2</v>
      </c>
    </row>
    <row r="602" spans="2:12" x14ac:dyDescent="0.3">
      <c r="B602" s="22" t="s">
        <v>624</v>
      </c>
      <c r="C602" s="4" t="s">
        <v>20</v>
      </c>
      <c r="D602" s="4">
        <v>102</v>
      </c>
      <c r="E602" s="5" t="s">
        <v>10</v>
      </c>
      <c r="F602" s="9">
        <v>45113</v>
      </c>
      <c r="G602" s="4">
        <v>70</v>
      </c>
      <c r="H602" s="23">
        <v>2.8</v>
      </c>
      <c r="I602">
        <f>IF(MONTH(Calls[[#This Row],[Date of Call]])&lt;6,YEAR(Calls[[#This Row],[Date of Call]]),YEAR(Calls[[#This Row],[Date of Call]])+1)</f>
        <v>2024</v>
      </c>
      <c r="J602" t="str">
        <f>TEXT(Calls[[#This Row],[Date of Call]],"DDDD")</f>
        <v>Thursday</v>
      </c>
      <c r="K602" t="str" cm="1">
        <f t="array" ref="K602">_xlfn.IFS(Calls[[#This Row],[Duration]]&lt;10,"Under 10 Mins",Calls[[#This Row],[Duration]]&lt;=30,"10 - 30 Mins",Calls[[#This Row],[Duration]]&lt;=60,"30 - 60 Mins",Calls[[#This Row],[Duration]]&lt;=120,"1 - 2 Hours",TRUE,"More than 2  Hours")</f>
        <v>1 - 2 Hours</v>
      </c>
      <c r="L602">
        <f>ROUND(Calls[[#This Row],[Satisfaction Rating]],0)</f>
        <v>3</v>
      </c>
    </row>
    <row r="603" spans="2:12" x14ac:dyDescent="0.3">
      <c r="B603" s="22" t="s">
        <v>625</v>
      </c>
      <c r="C603" s="4" t="s">
        <v>7</v>
      </c>
      <c r="D603" s="4">
        <v>52</v>
      </c>
      <c r="E603" s="5" t="s">
        <v>11</v>
      </c>
      <c r="F603" s="9">
        <v>45113</v>
      </c>
      <c r="G603" s="4">
        <v>42</v>
      </c>
      <c r="H603" s="23">
        <v>4.5</v>
      </c>
      <c r="I603">
        <f>IF(MONTH(Calls[[#This Row],[Date of Call]])&lt;6,YEAR(Calls[[#This Row],[Date of Call]]),YEAR(Calls[[#This Row],[Date of Call]])+1)</f>
        <v>2024</v>
      </c>
      <c r="J603" t="str">
        <f>TEXT(Calls[[#This Row],[Date of Call]],"DDDD")</f>
        <v>Thursday</v>
      </c>
      <c r="K603" t="str" cm="1">
        <f t="array" ref="K603">_xlfn.IFS(Calls[[#This Row],[Duration]]&lt;10,"Under 10 Mins",Calls[[#This Row],[Duration]]&lt;=30,"10 - 30 Mins",Calls[[#This Row],[Duration]]&lt;=60,"30 - 60 Mins",Calls[[#This Row],[Duration]]&lt;=120,"1 - 2 Hours",TRUE,"More than 2  Hours")</f>
        <v>30 - 60 Mins</v>
      </c>
      <c r="L603">
        <f>ROUND(Calls[[#This Row],[Satisfaction Rating]],0)</f>
        <v>5</v>
      </c>
    </row>
    <row r="604" spans="2:12" x14ac:dyDescent="0.3">
      <c r="B604" s="22" t="s">
        <v>626</v>
      </c>
      <c r="C604" s="4" t="s">
        <v>8</v>
      </c>
      <c r="D604" s="4">
        <v>55</v>
      </c>
      <c r="E604" s="5" t="s">
        <v>9</v>
      </c>
      <c r="F604" s="9">
        <v>45114</v>
      </c>
      <c r="G604" s="4">
        <v>112</v>
      </c>
      <c r="H604" s="23">
        <v>4.5</v>
      </c>
      <c r="I604">
        <f>IF(MONTH(Calls[[#This Row],[Date of Call]])&lt;6,YEAR(Calls[[#This Row],[Date of Call]]),YEAR(Calls[[#This Row],[Date of Call]])+1)</f>
        <v>2024</v>
      </c>
      <c r="J604" t="str">
        <f>TEXT(Calls[[#This Row],[Date of Call]],"DDDD")</f>
        <v>Friday</v>
      </c>
      <c r="K604" t="str" cm="1">
        <f t="array" ref="K604">_xlfn.IFS(Calls[[#This Row],[Duration]]&lt;10,"Under 10 Mins",Calls[[#This Row],[Duration]]&lt;=30,"10 - 30 Mins",Calls[[#This Row],[Duration]]&lt;=60,"30 - 60 Mins",Calls[[#This Row],[Duration]]&lt;=120,"1 - 2 Hours",TRUE,"More than 2  Hours")</f>
        <v>30 - 60 Mins</v>
      </c>
      <c r="L604">
        <f>ROUND(Calls[[#This Row],[Satisfaction Rating]],0)</f>
        <v>5</v>
      </c>
    </row>
    <row r="605" spans="2:12" x14ac:dyDescent="0.3">
      <c r="B605" s="22" t="s">
        <v>627</v>
      </c>
      <c r="C605" s="4" t="s">
        <v>21</v>
      </c>
      <c r="D605" s="4">
        <v>107</v>
      </c>
      <c r="E605" s="5" t="s">
        <v>13</v>
      </c>
      <c r="F605" s="9">
        <v>45114</v>
      </c>
      <c r="G605" s="4">
        <v>20</v>
      </c>
      <c r="H605" s="23">
        <v>4.5</v>
      </c>
      <c r="I605">
        <f>IF(MONTH(Calls[[#This Row],[Date of Call]])&lt;6,YEAR(Calls[[#This Row],[Date of Call]]),YEAR(Calls[[#This Row],[Date of Call]])+1)</f>
        <v>2024</v>
      </c>
      <c r="J605" t="str">
        <f>TEXT(Calls[[#This Row],[Date of Call]],"DDDD")</f>
        <v>Friday</v>
      </c>
      <c r="K605" t="str" cm="1">
        <f t="array" ref="K605">_xlfn.IFS(Calls[[#This Row],[Duration]]&lt;10,"Under 10 Mins",Calls[[#This Row],[Duration]]&lt;=30,"10 - 30 Mins",Calls[[#This Row],[Duration]]&lt;=60,"30 - 60 Mins",Calls[[#This Row],[Duration]]&lt;=120,"1 - 2 Hours",TRUE,"More than 2  Hours")</f>
        <v>1 - 2 Hours</v>
      </c>
      <c r="L605">
        <f>ROUND(Calls[[#This Row],[Satisfaction Rating]],0)</f>
        <v>5</v>
      </c>
    </row>
    <row r="606" spans="2:12" x14ac:dyDescent="0.3">
      <c r="B606" s="22" t="s">
        <v>628</v>
      </c>
      <c r="C606" s="4" t="s">
        <v>24</v>
      </c>
      <c r="D606" s="4">
        <v>88</v>
      </c>
      <c r="E606" s="5" t="s">
        <v>11</v>
      </c>
      <c r="F606" s="9">
        <v>45115</v>
      </c>
      <c r="G606" s="4">
        <v>110</v>
      </c>
      <c r="H606" s="23">
        <v>4.8</v>
      </c>
      <c r="I606">
        <f>IF(MONTH(Calls[[#This Row],[Date of Call]])&lt;6,YEAR(Calls[[#This Row],[Date of Call]]),YEAR(Calls[[#This Row],[Date of Call]])+1)</f>
        <v>2024</v>
      </c>
      <c r="J606" t="str">
        <f>TEXT(Calls[[#This Row],[Date of Call]],"DDDD")</f>
        <v>Saturday</v>
      </c>
      <c r="K606" t="str" cm="1">
        <f t="array" ref="K606">_xlfn.IFS(Calls[[#This Row],[Duration]]&lt;10,"Under 10 Mins",Calls[[#This Row],[Duration]]&lt;=30,"10 - 30 Mins",Calls[[#This Row],[Duration]]&lt;=60,"30 - 60 Mins",Calls[[#This Row],[Duration]]&lt;=120,"1 - 2 Hours",TRUE,"More than 2  Hours")</f>
        <v>1 - 2 Hours</v>
      </c>
      <c r="L606">
        <f>ROUND(Calls[[#This Row],[Satisfaction Rating]],0)</f>
        <v>5</v>
      </c>
    </row>
    <row r="607" spans="2:12" x14ac:dyDescent="0.3">
      <c r="B607" s="22" t="s">
        <v>629</v>
      </c>
      <c r="C607" s="4" t="s">
        <v>15</v>
      </c>
      <c r="D607" s="4">
        <v>49</v>
      </c>
      <c r="E607" s="5" t="s">
        <v>11</v>
      </c>
      <c r="F607" s="9">
        <v>45115</v>
      </c>
      <c r="G607" s="4">
        <v>39</v>
      </c>
      <c r="H607" s="23">
        <v>4.5999999999999996</v>
      </c>
      <c r="I607">
        <f>IF(MONTH(Calls[[#This Row],[Date of Call]])&lt;6,YEAR(Calls[[#This Row],[Date of Call]]),YEAR(Calls[[#This Row],[Date of Call]])+1)</f>
        <v>2024</v>
      </c>
      <c r="J607" t="str">
        <f>TEXT(Calls[[#This Row],[Date of Call]],"DDDD")</f>
        <v>Saturday</v>
      </c>
      <c r="K607" t="str" cm="1">
        <f t="array" ref="K607">_xlfn.IFS(Calls[[#This Row],[Duration]]&lt;10,"Under 10 Mins",Calls[[#This Row],[Duration]]&lt;=30,"10 - 30 Mins",Calls[[#This Row],[Duration]]&lt;=60,"30 - 60 Mins",Calls[[#This Row],[Duration]]&lt;=120,"1 - 2 Hours",TRUE,"More than 2  Hours")</f>
        <v>30 - 60 Mins</v>
      </c>
      <c r="L607">
        <f>ROUND(Calls[[#This Row],[Satisfaction Rating]],0)</f>
        <v>5</v>
      </c>
    </row>
    <row r="608" spans="2:12" x14ac:dyDescent="0.3">
      <c r="B608" s="22" t="s">
        <v>630</v>
      </c>
      <c r="C608" s="4" t="s">
        <v>24</v>
      </c>
      <c r="D608" s="4">
        <v>72</v>
      </c>
      <c r="E608" s="5" t="s">
        <v>10</v>
      </c>
      <c r="F608" s="9">
        <v>45115</v>
      </c>
      <c r="G608" s="4">
        <v>76</v>
      </c>
      <c r="H608" s="23">
        <v>4.5</v>
      </c>
      <c r="I608">
        <f>IF(MONTH(Calls[[#This Row],[Date of Call]])&lt;6,YEAR(Calls[[#This Row],[Date of Call]]),YEAR(Calls[[#This Row],[Date of Call]])+1)</f>
        <v>2024</v>
      </c>
      <c r="J608" t="str">
        <f>TEXT(Calls[[#This Row],[Date of Call]],"DDDD")</f>
        <v>Saturday</v>
      </c>
      <c r="K608" t="str" cm="1">
        <f t="array" ref="K608">_xlfn.IFS(Calls[[#This Row],[Duration]]&lt;10,"Under 10 Mins",Calls[[#This Row],[Duration]]&lt;=30,"10 - 30 Mins",Calls[[#This Row],[Duration]]&lt;=60,"30 - 60 Mins",Calls[[#This Row],[Duration]]&lt;=120,"1 - 2 Hours",TRUE,"More than 2  Hours")</f>
        <v>1 - 2 Hours</v>
      </c>
      <c r="L608">
        <f>ROUND(Calls[[#This Row],[Satisfaction Rating]],0)</f>
        <v>5</v>
      </c>
    </row>
    <row r="609" spans="2:12" x14ac:dyDescent="0.3">
      <c r="B609" s="22" t="s">
        <v>631</v>
      </c>
      <c r="C609" s="4" t="s">
        <v>12</v>
      </c>
      <c r="D609" s="4">
        <v>50</v>
      </c>
      <c r="E609" s="5" t="s">
        <v>10</v>
      </c>
      <c r="F609" s="9">
        <v>45115</v>
      </c>
      <c r="G609" s="4">
        <v>40</v>
      </c>
      <c r="H609" s="23">
        <v>5</v>
      </c>
      <c r="I609">
        <f>IF(MONTH(Calls[[#This Row],[Date of Call]])&lt;6,YEAR(Calls[[#This Row],[Date of Call]]),YEAR(Calls[[#This Row],[Date of Call]])+1)</f>
        <v>2024</v>
      </c>
      <c r="J609" t="str">
        <f>TEXT(Calls[[#This Row],[Date of Call]],"DDDD")</f>
        <v>Saturday</v>
      </c>
      <c r="K609" t="str" cm="1">
        <f t="array" ref="K609">_xlfn.IFS(Calls[[#This Row],[Duration]]&lt;10,"Under 10 Mins",Calls[[#This Row],[Duration]]&lt;=30,"10 - 30 Mins",Calls[[#This Row],[Duration]]&lt;=60,"30 - 60 Mins",Calls[[#This Row],[Duration]]&lt;=120,"1 - 2 Hours",TRUE,"More than 2  Hours")</f>
        <v>30 - 60 Mins</v>
      </c>
      <c r="L609">
        <f>ROUND(Calls[[#This Row],[Satisfaction Rating]],0)</f>
        <v>5</v>
      </c>
    </row>
    <row r="610" spans="2:12" x14ac:dyDescent="0.3">
      <c r="B610" s="22" t="s">
        <v>632</v>
      </c>
      <c r="C610" s="4" t="s">
        <v>24</v>
      </c>
      <c r="D610" s="4">
        <v>52</v>
      </c>
      <c r="E610" s="5" t="s">
        <v>13</v>
      </c>
      <c r="F610" s="9">
        <v>45115</v>
      </c>
      <c r="G610" s="4">
        <v>42</v>
      </c>
      <c r="H610" s="23">
        <v>4.8</v>
      </c>
      <c r="I610">
        <f>IF(MONTH(Calls[[#This Row],[Date of Call]])&lt;6,YEAR(Calls[[#This Row],[Date of Call]]),YEAR(Calls[[#This Row],[Date of Call]])+1)</f>
        <v>2024</v>
      </c>
      <c r="J610" t="str">
        <f>TEXT(Calls[[#This Row],[Date of Call]],"DDDD")</f>
        <v>Saturday</v>
      </c>
      <c r="K610" t="str" cm="1">
        <f t="array" ref="K610">_xlfn.IFS(Calls[[#This Row],[Duration]]&lt;10,"Under 10 Mins",Calls[[#This Row],[Duration]]&lt;=30,"10 - 30 Mins",Calls[[#This Row],[Duration]]&lt;=60,"30 - 60 Mins",Calls[[#This Row],[Duration]]&lt;=120,"1 - 2 Hours",TRUE,"More than 2  Hours")</f>
        <v>30 - 60 Mins</v>
      </c>
      <c r="L610">
        <f>ROUND(Calls[[#This Row],[Satisfaction Rating]],0)</f>
        <v>5</v>
      </c>
    </row>
    <row r="611" spans="2:12" x14ac:dyDescent="0.3">
      <c r="B611" s="22" t="s">
        <v>633</v>
      </c>
      <c r="C611" s="4" t="s">
        <v>23</v>
      </c>
      <c r="D611" s="4">
        <v>85</v>
      </c>
      <c r="E611" s="5" t="s">
        <v>6</v>
      </c>
      <c r="F611" s="9">
        <v>45116</v>
      </c>
      <c r="G611" s="4">
        <v>215</v>
      </c>
      <c r="H611" s="23">
        <v>3.5</v>
      </c>
      <c r="I611">
        <f>IF(MONTH(Calls[[#This Row],[Date of Call]])&lt;6,YEAR(Calls[[#This Row],[Date of Call]]),YEAR(Calls[[#This Row],[Date of Call]])+1)</f>
        <v>2024</v>
      </c>
      <c r="J611" t="str">
        <f>TEXT(Calls[[#This Row],[Date of Call]],"DDDD")</f>
        <v>Sunday</v>
      </c>
      <c r="K611" t="str" cm="1">
        <f t="array" ref="K611">_xlfn.IFS(Calls[[#This Row],[Duration]]&lt;10,"Under 10 Mins",Calls[[#This Row],[Duration]]&lt;=30,"10 - 30 Mins",Calls[[#This Row],[Duration]]&lt;=60,"30 - 60 Mins",Calls[[#This Row],[Duration]]&lt;=120,"1 - 2 Hours",TRUE,"More than 2  Hours")</f>
        <v>1 - 2 Hours</v>
      </c>
      <c r="L611">
        <f>ROUND(Calls[[#This Row],[Satisfaction Rating]],0)</f>
        <v>4</v>
      </c>
    </row>
    <row r="612" spans="2:12" x14ac:dyDescent="0.3">
      <c r="B612" s="22" t="s">
        <v>634</v>
      </c>
      <c r="C612" s="4" t="s">
        <v>22</v>
      </c>
      <c r="D612" s="4">
        <v>98</v>
      </c>
      <c r="E612" s="5" t="s">
        <v>6</v>
      </c>
      <c r="F612" s="9">
        <v>45117</v>
      </c>
      <c r="G612" s="4">
        <v>130</v>
      </c>
      <c r="H612" s="23">
        <v>3.4</v>
      </c>
      <c r="I612">
        <f>IF(MONTH(Calls[[#This Row],[Date of Call]])&lt;6,YEAR(Calls[[#This Row],[Date of Call]]),YEAR(Calls[[#This Row],[Date of Call]])+1)</f>
        <v>2024</v>
      </c>
      <c r="J612" t="str">
        <f>TEXT(Calls[[#This Row],[Date of Call]],"DDDD")</f>
        <v>Monday</v>
      </c>
      <c r="K612" t="str" cm="1">
        <f t="array" ref="K612">_xlfn.IFS(Calls[[#This Row],[Duration]]&lt;10,"Under 10 Mins",Calls[[#This Row],[Duration]]&lt;=30,"10 - 30 Mins",Calls[[#This Row],[Duration]]&lt;=60,"30 - 60 Mins",Calls[[#This Row],[Duration]]&lt;=120,"1 - 2 Hours",TRUE,"More than 2  Hours")</f>
        <v>1 - 2 Hours</v>
      </c>
      <c r="L612">
        <f>ROUND(Calls[[#This Row],[Satisfaction Rating]],0)</f>
        <v>3</v>
      </c>
    </row>
    <row r="613" spans="2:12" x14ac:dyDescent="0.3">
      <c r="B613" s="22" t="s">
        <v>635</v>
      </c>
      <c r="C613" s="4" t="s">
        <v>19</v>
      </c>
      <c r="D613" s="4">
        <v>52</v>
      </c>
      <c r="E613" s="5" t="s">
        <v>6</v>
      </c>
      <c r="F613" s="9">
        <v>45117</v>
      </c>
      <c r="G613" s="4">
        <v>190</v>
      </c>
      <c r="H613" s="23">
        <v>3.3</v>
      </c>
      <c r="I613">
        <f>IF(MONTH(Calls[[#This Row],[Date of Call]])&lt;6,YEAR(Calls[[#This Row],[Date of Call]]),YEAR(Calls[[#This Row],[Date of Call]])+1)</f>
        <v>2024</v>
      </c>
      <c r="J613" t="str">
        <f>TEXT(Calls[[#This Row],[Date of Call]],"DDDD")</f>
        <v>Monday</v>
      </c>
      <c r="K613" t="str" cm="1">
        <f t="array" ref="K613">_xlfn.IFS(Calls[[#This Row],[Duration]]&lt;10,"Under 10 Mins",Calls[[#This Row],[Duration]]&lt;=30,"10 - 30 Mins",Calls[[#This Row],[Duration]]&lt;=60,"30 - 60 Mins",Calls[[#This Row],[Duration]]&lt;=120,"1 - 2 Hours",TRUE,"More than 2  Hours")</f>
        <v>30 - 60 Mins</v>
      </c>
      <c r="L613">
        <f>ROUND(Calls[[#This Row],[Satisfaction Rating]],0)</f>
        <v>3</v>
      </c>
    </row>
    <row r="614" spans="2:12" x14ac:dyDescent="0.3">
      <c r="B614" s="22" t="s">
        <v>636</v>
      </c>
      <c r="C614" s="4" t="s">
        <v>8</v>
      </c>
      <c r="D614" s="4">
        <v>154</v>
      </c>
      <c r="E614" s="5" t="s">
        <v>11</v>
      </c>
      <c r="F614" s="9">
        <v>45117</v>
      </c>
      <c r="G614" s="4">
        <v>164</v>
      </c>
      <c r="H614" s="23">
        <v>4.9000000000000004</v>
      </c>
      <c r="I614">
        <f>IF(MONTH(Calls[[#This Row],[Date of Call]])&lt;6,YEAR(Calls[[#This Row],[Date of Call]]),YEAR(Calls[[#This Row],[Date of Call]])+1)</f>
        <v>2024</v>
      </c>
      <c r="J614" t="str">
        <f>TEXT(Calls[[#This Row],[Date of Call]],"DDDD")</f>
        <v>Monday</v>
      </c>
      <c r="K614" t="str" cm="1">
        <f t="array" ref="K614">_xlfn.IFS(Calls[[#This Row],[Duration]]&lt;10,"Under 10 Mins",Calls[[#This Row],[Duration]]&lt;=30,"10 - 30 Mins",Calls[[#This Row],[Duration]]&lt;=60,"30 - 60 Mins",Calls[[#This Row],[Duration]]&lt;=120,"1 - 2 Hours",TRUE,"More than 2  Hours")</f>
        <v>More than 2  Hours</v>
      </c>
      <c r="L614">
        <f>ROUND(Calls[[#This Row],[Satisfaction Rating]],0)</f>
        <v>5</v>
      </c>
    </row>
    <row r="615" spans="2:12" x14ac:dyDescent="0.3">
      <c r="B615" s="22" t="s">
        <v>637</v>
      </c>
      <c r="C615" s="4" t="s">
        <v>5</v>
      </c>
      <c r="D615" s="4">
        <v>131</v>
      </c>
      <c r="E615" s="5" t="s">
        <v>9</v>
      </c>
      <c r="F615" s="9">
        <v>45118</v>
      </c>
      <c r="G615" s="4">
        <v>76</v>
      </c>
      <c r="H615" s="23">
        <v>4.5</v>
      </c>
      <c r="I615">
        <f>IF(MONTH(Calls[[#This Row],[Date of Call]])&lt;6,YEAR(Calls[[#This Row],[Date of Call]]),YEAR(Calls[[#This Row],[Date of Call]])+1)</f>
        <v>2024</v>
      </c>
      <c r="J615" t="str">
        <f>TEXT(Calls[[#This Row],[Date of Call]],"DDDD")</f>
        <v>Tuesday</v>
      </c>
      <c r="K615" t="str" cm="1">
        <f t="array" ref="K615">_xlfn.IFS(Calls[[#This Row],[Duration]]&lt;10,"Under 10 Mins",Calls[[#This Row],[Duration]]&lt;=30,"10 - 30 Mins",Calls[[#This Row],[Duration]]&lt;=60,"30 - 60 Mins",Calls[[#This Row],[Duration]]&lt;=120,"1 - 2 Hours",TRUE,"More than 2  Hours")</f>
        <v>More than 2  Hours</v>
      </c>
      <c r="L615">
        <f>ROUND(Calls[[#This Row],[Satisfaction Rating]],0)</f>
        <v>5</v>
      </c>
    </row>
    <row r="616" spans="2:12" x14ac:dyDescent="0.3">
      <c r="B616" s="22" t="s">
        <v>638</v>
      </c>
      <c r="C616" s="4" t="s">
        <v>23</v>
      </c>
      <c r="D616" s="4">
        <v>73</v>
      </c>
      <c r="E616" s="5" t="s">
        <v>9</v>
      </c>
      <c r="F616" s="9">
        <v>45119</v>
      </c>
      <c r="G616" s="4">
        <v>87</v>
      </c>
      <c r="H616" s="23">
        <v>4.8</v>
      </c>
      <c r="I616">
        <f>IF(MONTH(Calls[[#This Row],[Date of Call]])&lt;6,YEAR(Calls[[#This Row],[Date of Call]]),YEAR(Calls[[#This Row],[Date of Call]])+1)</f>
        <v>2024</v>
      </c>
      <c r="J616" t="str">
        <f>TEXT(Calls[[#This Row],[Date of Call]],"DDDD")</f>
        <v>Wednesday</v>
      </c>
      <c r="K616" t="str" cm="1">
        <f t="array" ref="K616">_xlfn.IFS(Calls[[#This Row],[Duration]]&lt;10,"Under 10 Mins",Calls[[#This Row],[Duration]]&lt;=30,"10 - 30 Mins",Calls[[#This Row],[Duration]]&lt;=60,"30 - 60 Mins",Calls[[#This Row],[Duration]]&lt;=120,"1 - 2 Hours",TRUE,"More than 2  Hours")</f>
        <v>1 - 2 Hours</v>
      </c>
      <c r="L616">
        <f>ROUND(Calls[[#This Row],[Satisfaction Rating]],0)</f>
        <v>5</v>
      </c>
    </row>
    <row r="617" spans="2:12" x14ac:dyDescent="0.3">
      <c r="B617" s="22" t="s">
        <v>639</v>
      </c>
      <c r="C617" s="4" t="s">
        <v>14</v>
      </c>
      <c r="D617" s="4">
        <v>45</v>
      </c>
      <c r="E617" s="5" t="s">
        <v>6</v>
      </c>
      <c r="F617" s="9">
        <v>45119</v>
      </c>
      <c r="G617" s="4">
        <v>84</v>
      </c>
      <c r="H617" s="23">
        <v>4.8</v>
      </c>
      <c r="I617">
        <f>IF(MONTH(Calls[[#This Row],[Date of Call]])&lt;6,YEAR(Calls[[#This Row],[Date of Call]]),YEAR(Calls[[#This Row],[Date of Call]])+1)</f>
        <v>2024</v>
      </c>
      <c r="J617" t="str">
        <f>TEXT(Calls[[#This Row],[Date of Call]],"DDDD")</f>
        <v>Wednesday</v>
      </c>
      <c r="K617" t="str" cm="1">
        <f t="array" ref="K617">_xlfn.IFS(Calls[[#This Row],[Duration]]&lt;10,"Under 10 Mins",Calls[[#This Row],[Duration]]&lt;=30,"10 - 30 Mins",Calls[[#This Row],[Duration]]&lt;=60,"30 - 60 Mins",Calls[[#This Row],[Duration]]&lt;=120,"1 - 2 Hours",TRUE,"More than 2  Hours")</f>
        <v>30 - 60 Mins</v>
      </c>
      <c r="L617">
        <f>ROUND(Calls[[#This Row],[Satisfaction Rating]],0)</f>
        <v>5</v>
      </c>
    </row>
    <row r="618" spans="2:12" x14ac:dyDescent="0.3">
      <c r="B618" s="22" t="s">
        <v>640</v>
      </c>
      <c r="C618" s="4" t="s">
        <v>7</v>
      </c>
      <c r="D618" s="4">
        <v>114</v>
      </c>
      <c r="E618" s="5" t="s">
        <v>13</v>
      </c>
      <c r="F618" s="9">
        <v>45119</v>
      </c>
      <c r="G618" s="4">
        <v>114</v>
      </c>
      <c r="H618" s="23">
        <v>3.9</v>
      </c>
      <c r="I618">
        <f>IF(MONTH(Calls[[#This Row],[Date of Call]])&lt;6,YEAR(Calls[[#This Row],[Date of Call]]),YEAR(Calls[[#This Row],[Date of Call]])+1)</f>
        <v>2024</v>
      </c>
      <c r="J618" t="str">
        <f>TEXT(Calls[[#This Row],[Date of Call]],"DDDD")</f>
        <v>Wednesday</v>
      </c>
      <c r="K618" t="str" cm="1">
        <f t="array" ref="K618">_xlfn.IFS(Calls[[#This Row],[Duration]]&lt;10,"Under 10 Mins",Calls[[#This Row],[Duration]]&lt;=30,"10 - 30 Mins",Calls[[#This Row],[Duration]]&lt;=60,"30 - 60 Mins",Calls[[#This Row],[Duration]]&lt;=120,"1 - 2 Hours",TRUE,"More than 2  Hours")</f>
        <v>1 - 2 Hours</v>
      </c>
      <c r="L618">
        <f>ROUND(Calls[[#This Row],[Satisfaction Rating]],0)</f>
        <v>4</v>
      </c>
    </row>
    <row r="619" spans="2:12" x14ac:dyDescent="0.3">
      <c r="B619" s="22" t="s">
        <v>641</v>
      </c>
      <c r="C619" s="4" t="s">
        <v>22</v>
      </c>
      <c r="D619" s="4">
        <v>69</v>
      </c>
      <c r="E619" s="5" t="s">
        <v>9</v>
      </c>
      <c r="F619" s="9">
        <v>45120</v>
      </c>
      <c r="G619" s="4">
        <v>56</v>
      </c>
      <c r="H619" s="23">
        <v>3.9</v>
      </c>
      <c r="I619">
        <f>IF(MONTH(Calls[[#This Row],[Date of Call]])&lt;6,YEAR(Calls[[#This Row],[Date of Call]]),YEAR(Calls[[#This Row],[Date of Call]])+1)</f>
        <v>2024</v>
      </c>
      <c r="J619" t="str">
        <f>TEXT(Calls[[#This Row],[Date of Call]],"DDDD")</f>
        <v>Thursday</v>
      </c>
      <c r="K619" t="str" cm="1">
        <f t="array" ref="K619">_xlfn.IFS(Calls[[#This Row],[Duration]]&lt;10,"Under 10 Mins",Calls[[#This Row],[Duration]]&lt;=30,"10 - 30 Mins",Calls[[#This Row],[Duration]]&lt;=60,"30 - 60 Mins",Calls[[#This Row],[Duration]]&lt;=120,"1 - 2 Hours",TRUE,"More than 2  Hours")</f>
        <v>1 - 2 Hours</v>
      </c>
      <c r="L619">
        <f>ROUND(Calls[[#This Row],[Satisfaction Rating]],0)</f>
        <v>4</v>
      </c>
    </row>
    <row r="620" spans="2:12" x14ac:dyDescent="0.3">
      <c r="B620" s="22" t="s">
        <v>642</v>
      </c>
      <c r="C620" s="4" t="s">
        <v>5</v>
      </c>
      <c r="D620" s="4">
        <v>33</v>
      </c>
      <c r="E620" s="5" t="s">
        <v>11</v>
      </c>
      <c r="F620" s="9">
        <v>45120</v>
      </c>
      <c r="G620" s="4">
        <v>27</v>
      </c>
      <c r="H620" s="23">
        <v>3.7</v>
      </c>
      <c r="I620">
        <f>IF(MONTH(Calls[[#This Row],[Date of Call]])&lt;6,YEAR(Calls[[#This Row],[Date of Call]]),YEAR(Calls[[#This Row],[Date of Call]])+1)</f>
        <v>2024</v>
      </c>
      <c r="J620" t="str">
        <f>TEXT(Calls[[#This Row],[Date of Call]],"DDDD")</f>
        <v>Thursday</v>
      </c>
      <c r="K620" t="str" cm="1">
        <f t="array" ref="K620">_xlfn.IFS(Calls[[#This Row],[Duration]]&lt;10,"Under 10 Mins",Calls[[#This Row],[Duration]]&lt;=30,"10 - 30 Mins",Calls[[#This Row],[Duration]]&lt;=60,"30 - 60 Mins",Calls[[#This Row],[Duration]]&lt;=120,"1 - 2 Hours",TRUE,"More than 2  Hours")</f>
        <v>30 - 60 Mins</v>
      </c>
      <c r="L620">
        <f>ROUND(Calls[[#This Row],[Satisfaction Rating]],0)</f>
        <v>4</v>
      </c>
    </row>
    <row r="621" spans="2:12" x14ac:dyDescent="0.3">
      <c r="B621" s="22" t="s">
        <v>643</v>
      </c>
      <c r="C621" s="4" t="s">
        <v>12</v>
      </c>
      <c r="D621" s="4">
        <v>31</v>
      </c>
      <c r="E621" s="5" t="s">
        <v>10</v>
      </c>
      <c r="F621" s="9">
        <v>45121</v>
      </c>
      <c r="G621" s="4">
        <v>84</v>
      </c>
      <c r="H621" s="23">
        <v>4.8</v>
      </c>
      <c r="I621">
        <f>IF(MONTH(Calls[[#This Row],[Date of Call]])&lt;6,YEAR(Calls[[#This Row],[Date of Call]]),YEAR(Calls[[#This Row],[Date of Call]])+1)</f>
        <v>2024</v>
      </c>
      <c r="J621" t="str">
        <f>TEXT(Calls[[#This Row],[Date of Call]],"DDDD")</f>
        <v>Friday</v>
      </c>
      <c r="K621" t="str" cm="1">
        <f t="array" ref="K621">_xlfn.IFS(Calls[[#This Row],[Duration]]&lt;10,"Under 10 Mins",Calls[[#This Row],[Duration]]&lt;=30,"10 - 30 Mins",Calls[[#This Row],[Duration]]&lt;=60,"30 - 60 Mins",Calls[[#This Row],[Duration]]&lt;=120,"1 - 2 Hours",TRUE,"More than 2  Hours")</f>
        <v>30 - 60 Mins</v>
      </c>
      <c r="L621">
        <f>ROUND(Calls[[#This Row],[Satisfaction Rating]],0)</f>
        <v>5</v>
      </c>
    </row>
    <row r="622" spans="2:12" x14ac:dyDescent="0.3">
      <c r="B622" s="22" t="s">
        <v>644</v>
      </c>
      <c r="C622" s="4" t="s">
        <v>14</v>
      </c>
      <c r="D622" s="4">
        <v>168</v>
      </c>
      <c r="E622" s="5" t="s">
        <v>11</v>
      </c>
      <c r="F622" s="9">
        <v>45121</v>
      </c>
      <c r="G622" s="4">
        <v>72</v>
      </c>
      <c r="H622" s="23">
        <v>3.5</v>
      </c>
      <c r="I622">
        <f>IF(MONTH(Calls[[#This Row],[Date of Call]])&lt;6,YEAR(Calls[[#This Row],[Date of Call]]),YEAR(Calls[[#This Row],[Date of Call]])+1)</f>
        <v>2024</v>
      </c>
      <c r="J622" t="str">
        <f>TEXT(Calls[[#This Row],[Date of Call]],"DDDD")</f>
        <v>Friday</v>
      </c>
      <c r="K622" t="str" cm="1">
        <f t="array" ref="K622">_xlfn.IFS(Calls[[#This Row],[Duration]]&lt;10,"Under 10 Mins",Calls[[#This Row],[Duration]]&lt;=30,"10 - 30 Mins",Calls[[#This Row],[Duration]]&lt;=60,"30 - 60 Mins",Calls[[#This Row],[Duration]]&lt;=120,"1 - 2 Hours",TRUE,"More than 2  Hours")</f>
        <v>More than 2  Hours</v>
      </c>
      <c r="L622">
        <f>ROUND(Calls[[#This Row],[Satisfaction Rating]],0)</f>
        <v>4</v>
      </c>
    </row>
    <row r="623" spans="2:12" x14ac:dyDescent="0.3">
      <c r="B623" s="22" t="s">
        <v>645</v>
      </c>
      <c r="C623" s="4" t="s">
        <v>23</v>
      </c>
      <c r="D623" s="4">
        <v>111</v>
      </c>
      <c r="E623" s="5" t="s">
        <v>13</v>
      </c>
      <c r="F623" s="9">
        <v>45122</v>
      </c>
      <c r="G623" s="4">
        <v>126</v>
      </c>
      <c r="H623" s="23">
        <v>4.2</v>
      </c>
      <c r="I623">
        <f>IF(MONTH(Calls[[#This Row],[Date of Call]])&lt;6,YEAR(Calls[[#This Row],[Date of Call]]),YEAR(Calls[[#This Row],[Date of Call]])+1)</f>
        <v>2024</v>
      </c>
      <c r="J623" t="str">
        <f>TEXT(Calls[[#This Row],[Date of Call]],"DDDD")</f>
        <v>Saturday</v>
      </c>
      <c r="K623" t="str" cm="1">
        <f t="array" ref="K623">_xlfn.IFS(Calls[[#This Row],[Duration]]&lt;10,"Under 10 Mins",Calls[[#This Row],[Duration]]&lt;=30,"10 - 30 Mins",Calls[[#This Row],[Duration]]&lt;=60,"30 - 60 Mins",Calls[[#This Row],[Duration]]&lt;=120,"1 - 2 Hours",TRUE,"More than 2  Hours")</f>
        <v>1 - 2 Hours</v>
      </c>
      <c r="L623">
        <f>ROUND(Calls[[#This Row],[Satisfaction Rating]],0)</f>
        <v>4</v>
      </c>
    </row>
    <row r="624" spans="2:12" x14ac:dyDescent="0.3">
      <c r="B624" s="22" t="s">
        <v>646</v>
      </c>
      <c r="C624" s="4" t="s">
        <v>12</v>
      </c>
      <c r="D624" s="4">
        <v>80</v>
      </c>
      <c r="E624" s="5" t="s">
        <v>11</v>
      </c>
      <c r="F624" s="9">
        <v>45123</v>
      </c>
      <c r="G624" s="4">
        <v>88</v>
      </c>
      <c r="H624" s="23">
        <v>4.9000000000000004</v>
      </c>
      <c r="I624">
        <f>IF(MONTH(Calls[[#This Row],[Date of Call]])&lt;6,YEAR(Calls[[#This Row],[Date of Call]]),YEAR(Calls[[#This Row],[Date of Call]])+1)</f>
        <v>2024</v>
      </c>
      <c r="J624" t="str">
        <f>TEXT(Calls[[#This Row],[Date of Call]],"DDDD")</f>
        <v>Sunday</v>
      </c>
      <c r="K624" t="str" cm="1">
        <f t="array" ref="K624">_xlfn.IFS(Calls[[#This Row],[Duration]]&lt;10,"Under 10 Mins",Calls[[#This Row],[Duration]]&lt;=30,"10 - 30 Mins",Calls[[#This Row],[Duration]]&lt;=60,"30 - 60 Mins",Calls[[#This Row],[Duration]]&lt;=120,"1 - 2 Hours",TRUE,"More than 2  Hours")</f>
        <v>1 - 2 Hours</v>
      </c>
      <c r="L624">
        <f>ROUND(Calls[[#This Row],[Satisfaction Rating]],0)</f>
        <v>5</v>
      </c>
    </row>
    <row r="625" spans="2:12" x14ac:dyDescent="0.3">
      <c r="B625" s="22" t="s">
        <v>647</v>
      </c>
      <c r="C625" s="4" t="s">
        <v>20</v>
      </c>
      <c r="D625" s="4">
        <v>37</v>
      </c>
      <c r="E625" s="5" t="s">
        <v>11</v>
      </c>
      <c r="F625" s="9">
        <v>45123</v>
      </c>
      <c r="G625" s="4">
        <v>124</v>
      </c>
      <c r="H625" s="23">
        <v>4.5999999999999996</v>
      </c>
      <c r="I625">
        <f>IF(MONTH(Calls[[#This Row],[Date of Call]])&lt;6,YEAR(Calls[[#This Row],[Date of Call]]),YEAR(Calls[[#This Row],[Date of Call]])+1)</f>
        <v>2024</v>
      </c>
      <c r="J625" t="str">
        <f>TEXT(Calls[[#This Row],[Date of Call]],"DDDD")</f>
        <v>Sunday</v>
      </c>
      <c r="K625" t="str" cm="1">
        <f t="array" ref="K625">_xlfn.IFS(Calls[[#This Row],[Duration]]&lt;10,"Under 10 Mins",Calls[[#This Row],[Duration]]&lt;=30,"10 - 30 Mins",Calls[[#This Row],[Duration]]&lt;=60,"30 - 60 Mins",Calls[[#This Row],[Duration]]&lt;=120,"1 - 2 Hours",TRUE,"More than 2  Hours")</f>
        <v>30 - 60 Mins</v>
      </c>
      <c r="L625">
        <f>ROUND(Calls[[#This Row],[Satisfaction Rating]],0)</f>
        <v>5</v>
      </c>
    </row>
    <row r="626" spans="2:12" x14ac:dyDescent="0.3">
      <c r="B626" s="22" t="s">
        <v>648</v>
      </c>
      <c r="C626" s="4" t="s">
        <v>17</v>
      </c>
      <c r="D626" s="4">
        <v>137</v>
      </c>
      <c r="E626" s="5" t="s">
        <v>11</v>
      </c>
      <c r="F626" s="9">
        <v>45124</v>
      </c>
      <c r="G626" s="4">
        <v>84</v>
      </c>
      <c r="H626" s="23">
        <v>2.6</v>
      </c>
      <c r="I626">
        <f>IF(MONTH(Calls[[#This Row],[Date of Call]])&lt;6,YEAR(Calls[[#This Row],[Date of Call]]),YEAR(Calls[[#This Row],[Date of Call]])+1)</f>
        <v>2024</v>
      </c>
      <c r="J626" t="str">
        <f>TEXT(Calls[[#This Row],[Date of Call]],"DDDD")</f>
        <v>Monday</v>
      </c>
      <c r="K626" t="str" cm="1">
        <f t="array" ref="K626">_xlfn.IFS(Calls[[#This Row],[Duration]]&lt;10,"Under 10 Mins",Calls[[#This Row],[Duration]]&lt;=30,"10 - 30 Mins",Calls[[#This Row],[Duration]]&lt;=60,"30 - 60 Mins",Calls[[#This Row],[Duration]]&lt;=120,"1 - 2 Hours",TRUE,"More than 2  Hours")</f>
        <v>More than 2  Hours</v>
      </c>
      <c r="L626">
        <f>ROUND(Calls[[#This Row],[Satisfaction Rating]],0)</f>
        <v>3</v>
      </c>
    </row>
    <row r="627" spans="2:12" x14ac:dyDescent="0.3">
      <c r="B627" s="22" t="s">
        <v>649</v>
      </c>
      <c r="C627" s="4" t="s">
        <v>22</v>
      </c>
      <c r="D627" s="4">
        <v>123</v>
      </c>
      <c r="E627" s="5" t="s">
        <v>13</v>
      </c>
      <c r="F627" s="9">
        <v>45124</v>
      </c>
      <c r="G627" s="4">
        <v>80</v>
      </c>
      <c r="H627" s="23">
        <v>2.7</v>
      </c>
      <c r="I627">
        <f>IF(MONTH(Calls[[#This Row],[Date of Call]])&lt;6,YEAR(Calls[[#This Row],[Date of Call]]),YEAR(Calls[[#This Row],[Date of Call]])+1)</f>
        <v>2024</v>
      </c>
      <c r="J627" t="str">
        <f>TEXT(Calls[[#This Row],[Date of Call]],"DDDD")</f>
        <v>Monday</v>
      </c>
      <c r="K627" t="str" cm="1">
        <f t="array" ref="K627">_xlfn.IFS(Calls[[#This Row],[Duration]]&lt;10,"Under 10 Mins",Calls[[#This Row],[Duration]]&lt;=30,"10 - 30 Mins",Calls[[#This Row],[Duration]]&lt;=60,"30 - 60 Mins",Calls[[#This Row],[Duration]]&lt;=120,"1 - 2 Hours",TRUE,"More than 2  Hours")</f>
        <v>More than 2  Hours</v>
      </c>
      <c r="L627">
        <f>ROUND(Calls[[#This Row],[Satisfaction Rating]],0)</f>
        <v>3</v>
      </c>
    </row>
    <row r="628" spans="2:12" x14ac:dyDescent="0.3">
      <c r="B628" s="22" t="s">
        <v>650</v>
      </c>
      <c r="C628" s="4" t="s">
        <v>16</v>
      </c>
      <c r="D628" s="4">
        <v>105</v>
      </c>
      <c r="E628" s="5" t="s">
        <v>13</v>
      </c>
      <c r="F628" s="9">
        <v>45125</v>
      </c>
      <c r="G628" s="4">
        <v>176</v>
      </c>
      <c r="H628" s="23">
        <v>4.7</v>
      </c>
      <c r="I628">
        <f>IF(MONTH(Calls[[#This Row],[Date of Call]])&lt;6,YEAR(Calls[[#This Row],[Date of Call]]),YEAR(Calls[[#This Row],[Date of Call]])+1)</f>
        <v>2024</v>
      </c>
      <c r="J628" t="str">
        <f>TEXT(Calls[[#This Row],[Date of Call]],"DDDD")</f>
        <v>Tuesday</v>
      </c>
      <c r="K628" t="str" cm="1">
        <f t="array" ref="K628">_xlfn.IFS(Calls[[#This Row],[Duration]]&lt;10,"Under 10 Mins",Calls[[#This Row],[Duration]]&lt;=30,"10 - 30 Mins",Calls[[#This Row],[Duration]]&lt;=60,"30 - 60 Mins",Calls[[#This Row],[Duration]]&lt;=120,"1 - 2 Hours",TRUE,"More than 2  Hours")</f>
        <v>1 - 2 Hours</v>
      </c>
      <c r="L628">
        <f>ROUND(Calls[[#This Row],[Satisfaction Rating]],0)</f>
        <v>5</v>
      </c>
    </row>
    <row r="629" spans="2:12" x14ac:dyDescent="0.3">
      <c r="B629" s="22" t="s">
        <v>651</v>
      </c>
      <c r="C629" s="4" t="s">
        <v>20</v>
      </c>
      <c r="D629" s="4">
        <v>76</v>
      </c>
      <c r="E629" s="5" t="s">
        <v>6</v>
      </c>
      <c r="F629" s="9">
        <v>45126</v>
      </c>
      <c r="G629" s="4">
        <v>84</v>
      </c>
      <c r="H629" s="23">
        <v>3.9</v>
      </c>
      <c r="I629">
        <f>IF(MONTH(Calls[[#This Row],[Date of Call]])&lt;6,YEAR(Calls[[#This Row],[Date of Call]]),YEAR(Calls[[#This Row],[Date of Call]])+1)</f>
        <v>2024</v>
      </c>
      <c r="J629" t="str">
        <f>TEXT(Calls[[#This Row],[Date of Call]],"DDDD")</f>
        <v>Wednesday</v>
      </c>
      <c r="K629" t="str" cm="1">
        <f t="array" ref="K629">_xlfn.IFS(Calls[[#This Row],[Duration]]&lt;10,"Under 10 Mins",Calls[[#This Row],[Duration]]&lt;=30,"10 - 30 Mins",Calls[[#This Row],[Duration]]&lt;=60,"30 - 60 Mins",Calls[[#This Row],[Duration]]&lt;=120,"1 - 2 Hours",TRUE,"More than 2  Hours")</f>
        <v>1 - 2 Hours</v>
      </c>
      <c r="L629">
        <f>ROUND(Calls[[#This Row],[Satisfaction Rating]],0)</f>
        <v>4</v>
      </c>
    </row>
    <row r="630" spans="2:12" x14ac:dyDescent="0.3">
      <c r="B630" s="22" t="s">
        <v>652</v>
      </c>
      <c r="C630" s="4" t="s">
        <v>12</v>
      </c>
      <c r="D630" s="4">
        <v>144</v>
      </c>
      <c r="E630" s="5" t="s">
        <v>6</v>
      </c>
      <c r="F630" s="9">
        <v>45126</v>
      </c>
      <c r="G630" s="4">
        <v>164</v>
      </c>
      <c r="H630" s="23">
        <v>2.8</v>
      </c>
      <c r="I630">
        <f>IF(MONTH(Calls[[#This Row],[Date of Call]])&lt;6,YEAR(Calls[[#This Row],[Date of Call]]),YEAR(Calls[[#This Row],[Date of Call]])+1)</f>
        <v>2024</v>
      </c>
      <c r="J630" t="str">
        <f>TEXT(Calls[[#This Row],[Date of Call]],"DDDD")</f>
        <v>Wednesday</v>
      </c>
      <c r="K630" t="str" cm="1">
        <f t="array" ref="K630">_xlfn.IFS(Calls[[#This Row],[Duration]]&lt;10,"Under 10 Mins",Calls[[#This Row],[Duration]]&lt;=30,"10 - 30 Mins",Calls[[#This Row],[Duration]]&lt;=60,"30 - 60 Mins",Calls[[#This Row],[Duration]]&lt;=120,"1 - 2 Hours",TRUE,"More than 2  Hours")</f>
        <v>More than 2  Hours</v>
      </c>
      <c r="L630">
        <f>ROUND(Calls[[#This Row],[Satisfaction Rating]],0)</f>
        <v>3</v>
      </c>
    </row>
    <row r="631" spans="2:12" x14ac:dyDescent="0.3">
      <c r="B631" s="22" t="s">
        <v>653</v>
      </c>
      <c r="C631" s="4" t="s">
        <v>5</v>
      </c>
      <c r="D631" s="4">
        <v>109</v>
      </c>
      <c r="E631" s="5" t="s">
        <v>10</v>
      </c>
      <c r="F631" s="9">
        <v>45126</v>
      </c>
      <c r="G631" s="4">
        <v>132</v>
      </c>
      <c r="H631" s="23">
        <v>3.1</v>
      </c>
      <c r="I631">
        <f>IF(MONTH(Calls[[#This Row],[Date of Call]])&lt;6,YEAR(Calls[[#This Row],[Date of Call]]),YEAR(Calls[[#This Row],[Date of Call]])+1)</f>
        <v>2024</v>
      </c>
      <c r="J631" t="str">
        <f>TEXT(Calls[[#This Row],[Date of Call]],"DDDD")</f>
        <v>Wednesday</v>
      </c>
      <c r="K631" t="str" cm="1">
        <f t="array" ref="K631">_xlfn.IFS(Calls[[#This Row],[Duration]]&lt;10,"Under 10 Mins",Calls[[#This Row],[Duration]]&lt;=30,"10 - 30 Mins",Calls[[#This Row],[Duration]]&lt;=60,"30 - 60 Mins",Calls[[#This Row],[Duration]]&lt;=120,"1 - 2 Hours",TRUE,"More than 2  Hours")</f>
        <v>1 - 2 Hours</v>
      </c>
      <c r="L631">
        <f>ROUND(Calls[[#This Row],[Satisfaction Rating]],0)</f>
        <v>3</v>
      </c>
    </row>
    <row r="632" spans="2:12" x14ac:dyDescent="0.3">
      <c r="B632" s="22" t="s">
        <v>654</v>
      </c>
      <c r="C632" s="4" t="s">
        <v>22</v>
      </c>
      <c r="D632" s="4">
        <v>172</v>
      </c>
      <c r="E632" s="5" t="s">
        <v>11</v>
      </c>
      <c r="F632" s="9">
        <v>45127</v>
      </c>
      <c r="G632" s="4">
        <v>27</v>
      </c>
      <c r="H632" s="23">
        <v>4.2</v>
      </c>
      <c r="I632">
        <f>IF(MONTH(Calls[[#This Row],[Date of Call]])&lt;6,YEAR(Calls[[#This Row],[Date of Call]]),YEAR(Calls[[#This Row],[Date of Call]])+1)</f>
        <v>2024</v>
      </c>
      <c r="J632" t="str">
        <f>TEXT(Calls[[#This Row],[Date of Call]],"DDDD")</f>
        <v>Thursday</v>
      </c>
      <c r="K632" t="str" cm="1">
        <f t="array" ref="K632">_xlfn.IFS(Calls[[#This Row],[Duration]]&lt;10,"Under 10 Mins",Calls[[#This Row],[Duration]]&lt;=30,"10 - 30 Mins",Calls[[#This Row],[Duration]]&lt;=60,"30 - 60 Mins",Calls[[#This Row],[Duration]]&lt;=120,"1 - 2 Hours",TRUE,"More than 2  Hours")</f>
        <v>More than 2  Hours</v>
      </c>
      <c r="L632">
        <f>ROUND(Calls[[#This Row],[Satisfaction Rating]],0)</f>
        <v>4</v>
      </c>
    </row>
    <row r="633" spans="2:12" x14ac:dyDescent="0.3">
      <c r="B633" s="22" t="s">
        <v>655</v>
      </c>
      <c r="C633" s="4" t="s">
        <v>12</v>
      </c>
      <c r="D633" s="4">
        <v>56</v>
      </c>
      <c r="E633" s="5" t="s">
        <v>13</v>
      </c>
      <c r="F633" s="9">
        <v>45127</v>
      </c>
      <c r="G633" s="4">
        <v>27</v>
      </c>
      <c r="H633" s="23">
        <v>4.3</v>
      </c>
      <c r="I633">
        <f>IF(MONTH(Calls[[#This Row],[Date of Call]])&lt;6,YEAR(Calls[[#This Row],[Date of Call]]),YEAR(Calls[[#This Row],[Date of Call]])+1)</f>
        <v>2024</v>
      </c>
      <c r="J633" t="str">
        <f>TEXT(Calls[[#This Row],[Date of Call]],"DDDD")</f>
        <v>Thursday</v>
      </c>
      <c r="K633" t="str" cm="1">
        <f t="array" ref="K633">_xlfn.IFS(Calls[[#This Row],[Duration]]&lt;10,"Under 10 Mins",Calls[[#This Row],[Duration]]&lt;=30,"10 - 30 Mins",Calls[[#This Row],[Duration]]&lt;=60,"30 - 60 Mins",Calls[[#This Row],[Duration]]&lt;=120,"1 - 2 Hours",TRUE,"More than 2  Hours")</f>
        <v>30 - 60 Mins</v>
      </c>
      <c r="L633">
        <f>ROUND(Calls[[#This Row],[Satisfaction Rating]],0)</f>
        <v>4</v>
      </c>
    </row>
    <row r="634" spans="2:12" x14ac:dyDescent="0.3">
      <c r="B634" s="22" t="s">
        <v>656</v>
      </c>
      <c r="C634" s="4" t="s">
        <v>12</v>
      </c>
      <c r="D634" s="4">
        <v>121</v>
      </c>
      <c r="E634" s="5" t="s">
        <v>9</v>
      </c>
      <c r="F634" s="9">
        <v>45127</v>
      </c>
      <c r="G634" s="4">
        <v>20</v>
      </c>
      <c r="H634" s="23">
        <v>2.7</v>
      </c>
      <c r="I634">
        <f>IF(MONTH(Calls[[#This Row],[Date of Call]])&lt;6,YEAR(Calls[[#This Row],[Date of Call]]),YEAR(Calls[[#This Row],[Date of Call]])+1)</f>
        <v>2024</v>
      </c>
      <c r="J634" t="str">
        <f>TEXT(Calls[[#This Row],[Date of Call]],"DDDD")</f>
        <v>Thursday</v>
      </c>
      <c r="K634" t="str" cm="1">
        <f t="array" ref="K634">_xlfn.IFS(Calls[[#This Row],[Duration]]&lt;10,"Under 10 Mins",Calls[[#This Row],[Duration]]&lt;=30,"10 - 30 Mins",Calls[[#This Row],[Duration]]&lt;=60,"30 - 60 Mins",Calls[[#This Row],[Duration]]&lt;=120,"1 - 2 Hours",TRUE,"More than 2  Hours")</f>
        <v>More than 2  Hours</v>
      </c>
      <c r="L634">
        <f>ROUND(Calls[[#This Row],[Satisfaction Rating]],0)</f>
        <v>3</v>
      </c>
    </row>
    <row r="635" spans="2:12" x14ac:dyDescent="0.3">
      <c r="B635" s="22" t="s">
        <v>657</v>
      </c>
      <c r="C635" s="4" t="s">
        <v>22</v>
      </c>
      <c r="D635" s="4">
        <v>41</v>
      </c>
      <c r="E635" s="5" t="s">
        <v>13</v>
      </c>
      <c r="F635" s="9">
        <v>45128</v>
      </c>
      <c r="G635" s="4">
        <v>112</v>
      </c>
      <c r="H635" s="23">
        <v>2.2999999999999998</v>
      </c>
      <c r="I635">
        <f>IF(MONTH(Calls[[#This Row],[Date of Call]])&lt;6,YEAR(Calls[[#This Row],[Date of Call]]),YEAR(Calls[[#This Row],[Date of Call]])+1)</f>
        <v>2024</v>
      </c>
      <c r="J635" t="str">
        <f>TEXT(Calls[[#This Row],[Date of Call]],"DDDD")</f>
        <v>Friday</v>
      </c>
      <c r="K635" t="str" cm="1">
        <f t="array" ref="K635">_xlfn.IFS(Calls[[#This Row],[Duration]]&lt;10,"Under 10 Mins",Calls[[#This Row],[Duration]]&lt;=30,"10 - 30 Mins",Calls[[#This Row],[Duration]]&lt;=60,"30 - 60 Mins",Calls[[#This Row],[Duration]]&lt;=120,"1 - 2 Hours",TRUE,"More than 2  Hours")</f>
        <v>30 - 60 Mins</v>
      </c>
      <c r="L635">
        <f>ROUND(Calls[[#This Row],[Satisfaction Rating]],0)</f>
        <v>2</v>
      </c>
    </row>
    <row r="636" spans="2:12" x14ac:dyDescent="0.3">
      <c r="B636" s="22" t="s">
        <v>658</v>
      </c>
      <c r="C636" s="4" t="s">
        <v>21</v>
      </c>
      <c r="D636" s="4">
        <v>60</v>
      </c>
      <c r="E636" s="5" t="s">
        <v>11</v>
      </c>
      <c r="F636" s="9">
        <v>45128</v>
      </c>
      <c r="G636" s="4">
        <v>60</v>
      </c>
      <c r="H636" s="23">
        <v>2.2999999999999998</v>
      </c>
      <c r="I636">
        <f>IF(MONTH(Calls[[#This Row],[Date of Call]])&lt;6,YEAR(Calls[[#This Row],[Date of Call]]),YEAR(Calls[[#This Row],[Date of Call]])+1)</f>
        <v>2024</v>
      </c>
      <c r="J636" t="str">
        <f>TEXT(Calls[[#This Row],[Date of Call]],"DDDD")</f>
        <v>Friday</v>
      </c>
      <c r="K636" t="str" cm="1">
        <f t="array" ref="K636">_xlfn.IFS(Calls[[#This Row],[Duration]]&lt;10,"Under 10 Mins",Calls[[#This Row],[Duration]]&lt;=30,"10 - 30 Mins",Calls[[#This Row],[Duration]]&lt;=60,"30 - 60 Mins",Calls[[#This Row],[Duration]]&lt;=120,"1 - 2 Hours",TRUE,"More than 2  Hours")</f>
        <v>30 - 60 Mins</v>
      </c>
      <c r="L636">
        <f>ROUND(Calls[[#This Row],[Satisfaction Rating]],0)</f>
        <v>2</v>
      </c>
    </row>
    <row r="637" spans="2:12" x14ac:dyDescent="0.3">
      <c r="B637" s="22" t="s">
        <v>659</v>
      </c>
      <c r="C637" s="4" t="s">
        <v>21</v>
      </c>
      <c r="D637" s="4">
        <v>144</v>
      </c>
      <c r="E637" s="5" t="s">
        <v>11</v>
      </c>
      <c r="F637" s="9">
        <v>45129</v>
      </c>
      <c r="G637" s="4">
        <v>102</v>
      </c>
      <c r="H637" s="23">
        <v>2.9</v>
      </c>
      <c r="I637">
        <f>IF(MONTH(Calls[[#This Row],[Date of Call]])&lt;6,YEAR(Calls[[#This Row],[Date of Call]]),YEAR(Calls[[#This Row],[Date of Call]])+1)</f>
        <v>2024</v>
      </c>
      <c r="J637" t="str">
        <f>TEXT(Calls[[#This Row],[Date of Call]],"DDDD")</f>
        <v>Saturday</v>
      </c>
      <c r="K637" t="str" cm="1">
        <f t="array" ref="K637">_xlfn.IFS(Calls[[#This Row],[Duration]]&lt;10,"Under 10 Mins",Calls[[#This Row],[Duration]]&lt;=30,"10 - 30 Mins",Calls[[#This Row],[Duration]]&lt;=60,"30 - 60 Mins",Calls[[#This Row],[Duration]]&lt;=120,"1 - 2 Hours",TRUE,"More than 2  Hours")</f>
        <v>More than 2  Hours</v>
      </c>
      <c r="L637">
        <f>ROUND(Calls[[#This Row],[Satisfaction Rating]],0)</f>
        <v>3</v>
      </c>
    </row>
    <row r="638" spans="2:12" x14ac:dyDescent="0.3">
      <c r="B638" s="22" t="s">
        <v>660</v>
      </c>
      <c r="C638" s="4" t="s">
        <v>8</v>
      </c>
      <c r="D638" s="4">
        <v>67</v>
      </c>
      <c r="E638" s="5" t="s">
        <v>11</v>
      </c>
      <c r="F638" s="9">
        <v>45129</v>
      </c>
      <c r="G638" s="4">
        <v>38</v>
      </c>
      <c r="H638" s="23">
        <v>4.2</v>
      </c>
      <c r="I638">
        <f>IF(MONTH(Calls[[#This Row],[Date of Call]])&lt;6,YEAR(Calls[[#This Row],[Date of Call]]),YEAR(Calls[[#This Row],[Date of Call]])+1)</f>
        <v>2024</v>
      </c>
      <c r="J638" t="str">
        <f>TEXT(Calls[[#This Row],[Date of Call]],"DDDD")</f>
        <v>Saturday</v>
      </c>
      <c r="K638" t="str" cm="1">
        <f t="array" ref="K638">_xlfn.IFS(Calls[[#This Row],[Duration]]&lt;10,"Under 10 Mins",Calls[[#This Row],[Duration]]&lt;=30,"10 - 30 Mins",Calls[[#This Row],[Duration]]&lt;=60,"30 - 60 Mins",Calls[[#This Row],[Duration]]&lt;=120,"1 - 2 Hours",TRUE,"More than 2  Hours")</f>
        <v>1 - 2 Hours</v>
      </c>
      <c r="L638">
        <f>ROUND(Calls[[#This Row],[Satisfaction Rating]],0)</f>
        <v>4</v>
      </c>
    </row>
    <row r="639" spans="2:12" x14ac:dyDescent="0.3">
      <c r="B639" s="22" t="s">
        <v>661</v>
      </c>
      <c r="C639" s="4" t="s">
        <v>22</v>
      </c>
      <c r="D639" s="4">
        <v>162</v>
      </c>
      <c r="E639" s="5" t="s">
        <v>10</v>
      </c>
      <c r="F639" s="9">
        <v>45129</v>
      </c>
      <c r="G639" s="4">
        <v>82</v>
      </c>
      <c r="H639" s="23">
        <v>4.5999999999999996</v>
      </c>
      <c r="I639">
        <f>IF(MONTH(Calls[[#This Row],[Date of Call]])&lt;6,YEAR(Calls[[#This Row],[Date of Call]]),YEAR(Calls[[#This Row],[Date of Call]])+1)</f>
        <v>2024</v>
      </c>
      <c r="J639" t="str">
        <f>TEXT(Calls[[#This Row],[Date of Call]],"DDDD")</f>
        <v>Saturday</v>
      </c>
      <c r="K639" t="str" cm="1">
        <f t="array" ref="K639">_xlfn.IFS(Calls[[#This Row],[Duration]]&lt;10,"Under 10 Mins",Calls[[#This Row],[Duration]]&lt;=30,"10 - 30 Mins",Calls[[#This Row],[Duration]]&lt;=60,"30 - 60 Mins",Calls[[#This Row],[Duration]]&lt;=120,"1 - 2 Hours",TRUE,"More than 2  Hours")</f>
        <v>More than 2  Hours</v>
      </c>
      <c r="L639">
        <f>ROUND(Calls[[#This Row],[Satisfaction Rating]],0)</f>
        <v>5</v>
      </c>
    </row>
    <row r="640" spans="2:12" x14ac:dyDescent="0.3">
      <c r="B640" s="22" t="s">
        <v>662</v>
      </c>
      <c r="C640" s="4" t="s">
        <v>21</v>
      </c>
      <c r="D640" s="4">
        <v>87</v>
      </c>
      <c r="E640" s="5" t="s">
        <v>9</v>
      </c>
      <c r="F640" s="9">
        <v>45132</v>
      </c>
      <c r="G640" s="4">
        <v>125</v>
      </c>
      <c r="H640" s="23">
        <v>4.5</v>
      </c>
      <c r="I640">
        <f>IF(MONTH(Calls[[#This Row],[Date of Call]])&lt;6,YEAR(Calls[[#This Row],[Date of Call]]),YEAR(Calls[[#This Row],[Date of Call]])+1)</f>
        <v>2024</v>
      </c>
      <c r="J640" t="str">
        <f>TEXT(Calls[[#This Row],[Date of Call]],"DDDD")</f>
        <v>Tuesday</v>
      </c>
      <c r="K640" t="str" cm="1">
        <f t="array" ref="K640">_xlfn.IFS(Calls[[#This Row],[Duration]]&lt;10,"Under 10 Mins",Calls[[#This Row],[Duration]]&lt;=30,"10 - 30 Mins",Calls[[#This Row],[Duration]]&lt;=60,"30 - 60 Mins",Calls[[#This Row],[Duration]]&lt;=120,"1 - 2 Hours",TRUE,"More than 2  Hours")</f>
        <v>1 - 2 Hours</v>
      </c>
      <c r="L640">
        <f>ROUND(Calls[[#This Row],[Satisfaction Rating]],0)</f>
        <v>5</v>
      </c>
    </row>
    <row r="641" spans="2:12" x14ac:dyDescent="0.3">
      <c r="B641" s="22" t="s">
        <v>663</v>
      </c>
      <c r="C641" s="4" t="s">
        <v>19</v>
      </c>
      <c r="D641" s="4">
        <v>10</v>
      </c>
      <c r="E641" s="5" t="s">
        <v>6</v>
      </c>
      <c r="F641" s="9">
        <v>45133</v>
      </c>
      <c r="G641" s="4">
        <v>72</v>
      </c>
      <c r="H641" s="23">
        <v>3.7</v>
      </c>
      <c r="I641">
        <f>IF(MONTH(Calls[[#This Row],[Date of Call]])&lt;6,YEAR(Calls[[#This Row],[Date of Call]]),YEAR(Calls[[#This Row],[Date of Call]])+1)</f>
        <v>2024</v>
      </c>
      <c r="J641" t="str">
        <f>TEXT(Calls[[#This Row],[Date of Call]],"DDDD")</f>
        <v>Wednesday</v>
      </c>
      <c r="K641" t="str" cm="1">
        <f t="array" ref="K641">_xlfn.IFS(Calls[[#This Row],[Duration]]&lt;10,"Under 10 Mins",Calls[[#This Row],[Duration]]&lt;=30,"10 - 30 Mins",Calls[[#This Row],[Duration]]&lt;=60,"30 - 60 Mins",Calls[[#This Row],[Duration]]&lt;=120,"1 - 2 Hours",TRUE,"More than 2  Hours")</f>
        <v>10 - 30 Mins</v>
      </c>
      <c r="L641">
        <f>ROUND(Calls[[#This Row],[Satisfaction Rating]],0)</f>
        <v>4</v>
      </c>
    </row>
    <row r="642" spans="2:12" x14ac:dyDescent="0.3">
      <c r="B642" s="22" t="s">
        <v>664</v>
      </c>
      <c r="C642" s="4" t="s">
        <v>12</v>
      </c>
      <c r="D642" s="4">
        <v>138</v>
      </c>
      <c r="E642" s="5" t="s">
        <v>6</v>
      </c>
      <c r="F642" s="9">
        <v>45133</v>
      </c>
      <c r="G642" s="4">
        <v>195</v>
      </c>
      <c r="H642" s="23">
        <v>4.0999999999999996</v>
      </c>
      <c r="I642">
        <f>IF(MONTH(Calls[[#This Row],[Date of Call]])&lt;6,YEAR(Calls[[#This Row],[Date of Call]]),YEAR(Calls[[#This Row],[Date of Call]])+1)</f>
        <v>2024</v>
      </c>
      <c r="J642" t="str">
        <f>TEXT(Calls[[#This Row],[Date of Call]],"DDDD")</f>
        <v>Wednesday</v>
      </c>
      <c r="K642" t="str" cm="1">
        <f t="array" ref="K642">_xlfn.IFS(Calls[[#This Row],[Duration]]&lt;10,"Under 10 Mins",Calls[[#This Row],[Duration]]&lt;=30,"10 - 30 Mins",Calls[[#This Row],[Duration]]&lt;=60,"30 - 60 Mins",Calls[[#This Row],[Duration]]&lt;=120,"1 - 2 Hours",TRUE,"More than 2  Hours")</f>
        <v>More than 2  Hours</v>
      </c>
      <c r="L642">
        <f>ROUND(Calls[[#This Row],[Satisfaction Rating]],0)</f>
        <v>4</v>
      </c>
    </row>
    <row r="643" spans="2:12" x14ac:dyDescent="0.3">
      <c r="B643" s="22" t="s">
        <v>665</v>
      </c>
      <c r="C643" s="4" t="s">
        <v>22</v>
      </c>
      <c r="D643" s="4">
        <v>31</v>
      </c>
      <c r="E643" s="5" t="s">
        <v>6</v>
      </c>
      <c r="F643" s="9">
        <v>45134</v>
      </c>
      <c r="G643" s="4">
        <v>160</v>
      </c>
      <c r="H643" s="23">
        <v>3.4</v>
      </c>
      <c r="I643">
        <f>IF(MONTH(Calls[[#This Row],[Date of Call]])&lt;6,YEAR(Calls[[#This Row],[Date of Call]]),YEAR(Calls[[#This Row],[Date of Call]])+1)</f>
        <v>2024</v>
      </c>
      <c r="J643" t="str">
        <f>TEXT(Calls[[#This Row],[Date of Call]],"DDDD")</f>
        <v>Thursday</v>
      </c>
      <c r="K643" t="str" cm="1">
        <f t="array" ref="K643">_xlfn.IFS(Calls[[#This Row],[Duration]]&lt;10,"Under 10 Mins",Calls[[#This Row],[Duration]]&lt;=30,"10 - 30 Mins",Calls[[#This Row],[Duration]]&lt;=60,"30 - 60 Mins",Calls[[#This Row],[Duration]]&lt;=120,"1 - 2 Hours",TRUE,"More than 2  Hours")</f>
        <v>30 - 60 Mins</v>
      </c>
      <c r="L643">
        <f>ROUND(Calls[[#This Row],[Satisfaction Rating]],0)</f>
        <v>3</v>
      </c>
    </row>
    <row r="644" spans="2:12" x14ac:dyDescent="0.3">
      <c r="B644" s="22" t="s">
        <v>666</v>
      </c>
      <c r="C644" s="4" t="s">
        <v>16</v>
      </c>
      <c r="D644" s="4">
        <v>75</v>
      </c>
      <c r="E644" s="5" t="s">
        <v>10</v>
      </c>
      <c r="F644" s="9">
        <v>45134</v>
      </c>
      <c r="G644" s="4">
        <v>78</v>
      </c>
      <c r="H644" s="23">
        <v>3.3</v>
      </c>
      <c r="I644">
        <f>IF(MONTH(Calls[[#This Row],[Date of Call]])&lt;6,YEAR(Calls[[#This Row],[Date of Call]]),YEAR(Calls[[#This Row],[Date of Call]])+1)</f>
        <v>2024</v>
      </c>
      <c r="J644" t="str">
        <f>TEXT(Calls[[#This Row],[Date of Call]],"DDDD")</f>
        <v>Thursday</v>
      </c>
      <c r="K644" t="str" cm="1">
        <f t="array" ref="K644">_xlfn.IFS(Calls[[#This Row],[Duration]]&lt;10,"Under 10 Mins",Calls[[#This Row],[Duration]]&lt;=30,"10 - 30 Mins",Calls[[#This Row],[Duration]]&lt;=60,"30 - 60 Mins",Calls[[#This Row],[Duration]]&lt;=120,"1 - 2 Hours",TRUE,"More than 2  Hours")</f>
        <v>1 - 2 Hours</v>
      </c>
      <c r="L644">
        <f>ROUND(Calls[[#This Row],[Satisfaction Rating]],0)</f>
        <v>3</v>
      </c>
    </row>
    <row r="645" spans="2:12" x14ac:dyDescent="0.3">
      <c r="B645" s="22" t="s">
        <v>667</v>
      </c>
      <c r="C645" s="4" t="s">
        <v>20</v>
      </c>
      <c r="D645" s="4">
        <v>65</v>
      </c>
      <c r="E645" s="5" t="s">
        <v>10</v>
      </c>
      <c r="F645" s="9">
        <v>45135</v>
      </c>
      <c r="G645" s="4">
        <v>70</v>
      </c>
      <c r="H645" s="23">
        <v>4.4000000000000004</v>
      </c>
      <c r="I645">
        <f>IF(MONTH(Calls[[#This Row],[Date of Call]])&lt;6,YEAR(Calls[[#This Row],[Date of Call]]),YEAR(Calls[[#This Row],[Date of Call]])+1)</f>
        <v>2024</v>
      </c>
      <c r="J645" t="str">
        <f>TEXT(Calls[[#This Row],[Date of Call]],"DDDD")</f>
        <v>Friday</v>
      </c>
      <c r="K645" t="str" cm="1">
        <f t="array" ref="K645">_xlfn.IFS(Calls[[#This Row],[Duration]]&lt;10,"Under 10 Mins",Calls[[#This Row],[Duration]]&lt;=30,"10 - 30 Mins",Calls[[#This Row],[Duration]]&lt;=60,"30 - 60 Mins",Calls[[#This Row],[Duration]]&lt;=120,"1 - 2 Hours",TRUE,"More than 2  Hours")</f>
        <v>1 - 2 Hours</v>
      </c>
      <c r="L645">
        <f>ROUND(Calls[[#This Row],[Satisfaction Rating]],0)</f>
        <v>4</v>
      </c>
    </row>
    <row r="646" spans="2:12" x14ac:dyDescent="0.3">
      <c r="B646" s="22" t="s">
        <v>668</v>
      </c>
      <c r="C646" s="4" t="s">
        <v>23</v>
      </c>
      <c r="D646" s="4">
        <v>106</v>
      </c>
      <c r="E646" s="5" t="s">
        <v>13</v>
      </c>
      <c r="F646" s="9">
        <v>45135</v>
      </c>
      <c r="G646" s="4">
        <v>105</v>
      </c>
      <c r="H646" s="23">
        <v>4.2</v>
      </c>
      <c r="I646">
        <f>IF(MONTH(Calls[[#This Row],[Date of Call]])&lt;6,YEAR(Calls[[#This Row],[Date of Call]]),YEAR(Calls[[#This Row],[Date of Call]])+1)</f>
        <v>2024</v>
      </c>
      <c r="J646" t="str">
        <f>TEXT(Calls[[#This Row],[Date of Call]],"DDDD")</f>
        <v>Friday</v>
      </c>
      <c r="K646" t="str" cm="1">
        <f t="array" ref="K646">_xlfn.IFS(Calls[[#This Row],[Duration]]&lt;10,"Under 10 Mins",Calls[[#This Row],[Duration]]&lt;=30,"10 - 30 Mins",Calls[[#This Row],[Duration]]&lt;=60,"30 - 60 Mins",Calls[[#This Row],[Duration]]&lt;=120,"1 - 2 Hours",TRUE,"More than 2  Hours")</f>
        <v>1 - 2 Hours</v>
      </c>
      <c r="L646">
        <f>ROUND(Calls[[#This Row],[Satisfaction Rating]],0)</f>
        <v>4</v>
      </c>
    </row>
    <row r="647" spans="2:12" x14ac:dyDescent="0.3">
      <c r="B647" s="22" t="s">
        <v>669</v>
      </c>
      <c r="C647" s="4" t="s">
        <v>20</v>
      </c>
      <c r="D647" s="4">
        <v>107</v>
      </c>
      <c r="E647" s="5" t="s">
        <v>13</v>
      </c>
      <c r="F647" s="9">
        <v>45136</v>
      </c>
      <c r="G647" s="4">
        <v>78</v>
      </c>
      <c r="H647" s="23">
        <v>3.4</v>
      </c>
      <c r="I647">
        <f>IF(MONTH(Calls[[#This Row],[Date of Call]])&lt;6,YEAR(Calls[[#This Row],[Date of Call]]),YEAR(Calls[[#This Row],[Date of Call]])+1)</f>
        <v>2024</v>
      </c>
      <c r="J647" t="str">
        <f>TEXT(Calls[[#This Row],[Date of Call]],"DDDD")</f>
        <v>Saturday</v>
      </c>
      <c r="K647" t="str" cm="1">
        <f t="array" ref="K647">_xlfn.IFS(Calls[[#This Row],[Duration]]&lt;10,"Under 10 Mins",Calls[[#This Row],[Duration]]&lt;=30,"10 - 30 Mins",Calls[[#This Row],[Duration]]&lt;=60,"30 - 60 Mins",Calls[[#This Row],[Duration]]&lt;=120,"1 - 2 Hours",TRUE,"More than 2  Hours")</f>
        <v>1 - 2 Hours</v>
      </c>
      <c r="L647">
        <f>ROUND(Calls[[#This Row],[Satisfaction Rating]],0)</f>
        <v>3</v>
      </c>
    </row>
    <row r="648" spans="2:12" x14ac:dyDescent="0.3">
      <c r="B648" s="22" t="s">
        <v>670</v>
      </c>
      <c r="C648" s="4" t="s">
        <v>17</v>
      </c>
      <c r="D648" s="4">
        <v>78</v>
      </c>
      <c r="E648" s="5" t="s">
        <v>13</v>
      </c>
      <c r="F648" s="9">
        <v>45138</v>
      </c>
      <c r="G648" s="4">
        <v>205</v>
      </c>
      <c r="H648" s="23">
        <v>4.4000000000000004</v>
      </c>
      <c r="I648">
        <f>IF(MONTH(Calls[[#This Row],[Date of Call]])&lt;6,YEAR(Calls[[#This Row],[Date of Call]]),YEAR(Calls[[#This Row],[Date of Call]])+1)</f>
        <v>2024</v>
      </c>
      <c r="J648" t="str">
        <f>TEXT(Calls[[#This Row],[Date of Call]],"DDDD")</f>
        <v>Monday</v>
      </c>
      <c r="K648" t="str" cm="1">
        <f t="array" ref="K648">_xlfn.IFS(Calls[[#This Row],[Duration]]&lt;10,"Under 10 Mins",Calls[[#This Row],[Duration]]&lt;=30,"10 - 30 Mins",Calls[[#This Row],[Duration]]&lt;=60,"30 - 60 Mins",Calls[[#This Row],[Duration]]&lt;=120,"1 - 2 Hours",TRUE,"More than 2  Hours")</f>
        <v>1 - 2 Hours</v>
      </c>
      <c r="L648">
        <f>ROUND(Calls[[#This Row],[Satisfaction Rating]],0)</f>
        <v>4</v>
      </c>
    </row>
    <row r="649" spans="2:12" x14ac:dyDescent="0.3">
      <c r="B649" s="22" t="s">
        <v>671</v>
      </c>
      <c r="C649" s="4" t="s">
        <v>24</v>
      </c>
      <c r="D649" s="4">
        <v>122</v>
      </c>
      <c r="E649" s="5" t="s">
        <v>13</v>
      </c>
      <c r="F649" s="9">
        <v>45138</v>
      </c>
      <c r="G649" s="4">
        <v>78</v>
      </c>
      <c r="H649" s="23">
        <v>2.7</v>
      </c>
      <c r="I649">
        <f>IF(MONTH(Calls[[#This Row],[Date of Call]])&lt;6,YEAR(Calls[[#This Row],[Date of Call]]),YEAR(Calls[[#This Row],[Date of Call]])+1)</f>
        <v>2024</v>
      </c>
      <c r="J649" t="str">
        <f>TEXT(Calls[[#This Row],[Date of Call]],"DDDD")</f>
        <v>Monday</v>
      </c>
      <c r="K649" t="str" cm="1">
        <f t="array" ref="K649">_xlfn.IFS(Calls[[#This Row],[Duration]]&lt;10,"Under 10 Mins",Calls[[#This Row],[Duration]]&lt;=30,"10 - 30 Mins",Calls[[#This Row],[Duration]]&lt;=60,"30 - 60 Mins",Calls[[#This Row],[Duration]]&lt;=120,"1 - 2 Hours",TRUE,"More than 2  Hours")</f>
        <v>More than 2  Hours</v>
      </c>
      <c r="L649">
        <f>ROUND(Calls[[#This Row],[Satisfaction Rating]],0)</f>
        <v>3</v>
      </c>
    </row>
    <row r="650" spans="2:12" x14ac:dyDescent="0.3">
      <c r="B650" s="22" t="s">
        <v>672</v>
      </c>
      <c r="C650" s="4" t="s">
        <v>12</v>
      </c>
      <c r="D650" s="4">
        <v>58</v>
      </c>
      <c r="E650" s="5" t="s">
        <v>6</v>
      </c>
      <c r="F650" s="9">
        <v>45138</v>
      </c>
      <c r="G650" s="4">
        <v>38</v>
      </c>
      <c r="H650" s="23">
        <v>4.5</v>
      </c>
      <c r="I650">
        <f>IF(MONTH(Calls[[#This Row],[Date of Call]])&lt;6,YEAR(Calls[[#This Row],[Date of Call]]),YEAR(Calls[[#This Row],[Date of Call]])+1)</f>
        <v>2024</v>
      </c>
      <c r="J650" t="str">
        <f>TEXT(Calls[[#This Row],[Date of Call]],"DDDD")</f>
        <v>Monday</v>
      </c>
      <c r="K650" t="str" cm="1">
        <f t="array" ref="K650">_xlfn.IFS(Calls[[#This Row],[Duration]]&lt;10,"Under 10 Mins",Calls[[#This Row],[Duration]]&lt;=30,"10 - 30 Mins",Calls[[#This Row],[Duration]]&lt;=60,"30 - 60 Mins",Calls[[#This Row],[Duration]]&lt;=120,"1 - 2 Hours",TRUE,"More than 2  Hours")</f>
        <v>30 - 60 Mins</v>
      </c>
      <c r="L650">
        <f>ROUND(Calls[[#This Row],[Satisfaction Rating]],0)</f>
        <v>5</v>
      </c>
    </row>
    <row r="651" spans="2:12" x14ac:dyDescent="0.3">
      <c r="B651" s="22" t="s">
        <v>673</v>
      </c>
      <c r="C651" s="4" t="s">
        <v>17</v>
      </c>
      <c r="D651" s="4">
        <v>33</v>
      </c>
      <c r="E651" s="5" t="s">
        <v>11</v>
      </c>
      <c r="F651" s="9">
        <v>45138</v>
      </c>
      <c r="G651" s="4">
        <v>92</v>
      </c>
      <c r="H651" s="23">
        <v>1.7</v>
      </c>
      <c r="I651">
        <f>IF(MONTH(Calls[[#This Row],[Date of Call]])&lt;6,YEAR(Calls[[#This Row],[Date of Call]]),YEAR(Calls[[#This Row],[Date of Call]])+1)</f>
        <v>2024</v>
      </c>
      <c r="J651" t="str">
        <f>TEXT(Calls[[#This Row],[Date of Call]],"DDDD")</f>
        <v>Monday</v>
      </c>
      <c r="K651" t="str" cm="1">
        <f t="array" ref="K651">_xlfn.IFS(Calls[[#This Row],[Duration]]&lt;10,"Under 10 Mins",Calls[[#This Row],[Duration]]&lt;=30,"10 - 30 Mins",Calls[[#This Row],[Duration]]&lt;=60,"30 - 60 Mins",Calls[[#This Row],[Duration]]&lt;=120,"1 - 2 Hours",TRUE,"More than 2  Hours")</f>
        <v>30 - 60 Mins</v>
      </c>
      <c r="L651">
        <f>ROUND(Calls[[#This Row],[Satisfaction Rating]],0)</f>
        <v>2</v>
      </c>
    </row>
    <row r="652" spans="2:12" x14ac:dyDescent="0.3">
      <c r="B652" s="22" t="s">
        <v>674</v>
      </c>
      <c r="C652" s="4" t="s">
        <v>5</v>
      </c>
      <c r="D652" s="4">
        <v>164</v>
      </c>
      <c r="E652" s="5" t="s">
        <v>10</v>
      </c>
      <c r="F652" s="9">
        <v>45138</v>
      </c>
      <c r="G652" s="4">
        <v>36</v>
      </c>
      <c r="H652" s="23">
        <v>4.7</v>
      </c>
      <c r="I652">
        <f>IF(MONTH(Calls[[#This Row],[Date of Call]])&lt;6,YEAR(Calls[[#This Row],[Date of Call]]),YEAR(Calls[[#This Row],[Date of Call]])+1)</f>
        <v>2024</v>
      </c>
      <c r="J652" t="str">
        <f>TEXT(Calls[[#This Row],[Date of Call]],"DDDD")</f>
        <v>Monday</v>
      </c>
      <c r="K652" t="str" cm="1">
        <f t="array" ref="K652">_xlfn.IFS(Calls[[#This Row],[Duration]]&lt;10,"Under 10 Mins",Calls[[#This Row],[Duration]]&lt;=30,"10 - 30 Mins",Calls[[#This Row],[Duration]]&lt;=60,"30 - 60 Mins",Calls[[#This Row],[Duration]]&lt;=120,"1 - 2 Hours",TRUE,"More than 2  Hours")</f>
        <v>More than 2  Hours</v>
      </c>
      <c r="L652">
        <f>ROUND(Calls[[#This Row],[Satisfaction Rating]],0)</f>
        <v>5</v>
      </c>
    </row>
    <row r="653" spans="2:12" x14ac:dyDescent="0.3">
      <c r="B653" s="22" t="s">
        <v>675</v>
      </c>
      <c r="C653" s="4" t="s">
        <v>16</v>
      </c>
      <c r="D653" s="4">
        <v>163</v>
      </c>
      <c r="E653" s="5" t="s">
        <v>9</v>
      </c>
      <c r="F653" s="9">
        <v>45138</v>
      </c>
      <c r="G653" s="4">
        <v>76</v>
      </c>
      <c r="H653" s="23">
        <v>4.4000000000000004</v>
      </c>
      <c r="I653">
        <f>IF(MONTH(Calls[[#This Row],[Date of Call]])&lt;6,YEAR(Calls[[#This Row],[Date of Call]]),YEAR(Calls[[#This Row],[Date of Call]])+1)</f>
        <v>2024</v>
      </c>
      <c r="J653" t="str">
        <f>TEXT(Calls[[#This Row],[Date of Call]],"DDDD")</f>
        <v>Monday</v>
      </c>
      <c r="K653" t="str" cm="1">
        <f t="array" ref="K653">_xlfn.IFS(Calls[[#This Row],[Duration]]&lt;10,"Under 10 Mins",Calls[[#This Row],[Duration]]&lt;=30,"10 - 30 Mins",Calls[[#This Row],[Duration]]&lt;=60,"30 - 60 Mins",Calls[[#This Row],[Duration]]&lt;=120,"1 - 2 Hours",TRUE,"More than 2  Hours")</f>
        <v>More than 2  Hours</v>
      </c>
      <c r="L653">
        <f>ROUND(Calls[[#This Row],[Satisfaction Rating]],0)</f>
        <v>4</v>
      </c>
    </row>
    <row r="654" spans="2:12" x14ac:dyDescent="0.3">
      <c r="B654" s="22" t="s">
        <v>676</v>
      </c>
      <c r="C654" s="4" t="s">
        <v>15</v>
      </c>
      <c r="D654" s="4">
        <v>71</v>
      </c>
      <c r="E654" s="5" t="s">
        <v>10</v>
      </c>
      <c r="F654" s="9">
        <v>45140</v>
      </c>
      <c r="G654" s="4">
        <v>170</v>
      </c>
      <c r="H654" s="23">
        <v>3.5</v>
      </c>
      <c r="I654">
        <f>IF(MONTH(Calls[[#This Row],[Date of Call]])&lt;6,YEAR(Calls[[#This Row],[Date of Call]]),YEAR(Calls[[#This Row],[Date of Call]])+1)</f>
        <v>2024</v>
      </c>
      <c r="J654" t="str">
        <f>TEXT(Calls[[#This Row],[Date of Call]],"DDDD")</f>
        <v>Wednesday</v>
      </c>
      <c r="K654" t="str" cm="1">
        <f t="array" ref="K654">_xlfn.IFS(Calls[[#This Row],[Duration]]&lt;10,"Under 10 Mins",Calls[[#This Row],[Duration]]&lt;=30,"10 - 30 Mins",Calls[[#This Row],[Duration]]&lt;=60,"30 - 60 Mins",Calls[[#This Row],[Duration]]&lt;=120,"1 - 2 Hours",TRUE,"More than 2  Hours")</f>
        <v>1 - 2 Hours</v>
      </c>
      <c r="L654">
        <f>ROUND(Calls[[#This Row],[Satisfaction Rating]],0)</f>
        <v>4</v>
      </c>
    </row>
    <row r="655" spans="2:12" x14ac:dyDescent="0.3">
      <c r="B655" s="22" t="s">
        <v>677</v>
      </c>
      <c r="C655" s="4" t="s">
        <v>17</v>
      </c>
      <c r="D655" s="4">
        <v>103</v>
      </c>
      <c r="E655" s="5" t="s">
        <v>6</v>
      </c>
      <c r="F655" s="9">
        <v>45141</v>
      </c>
      <c r="G655" s="4">
        <v>117</v>
      </c>
      <c r="H655" s="23">
        <v>4.7</v>
      </c>
      <c r="I655">
        <f>IF(MONTH(Calls[[#This Row],[Date of Call]])&lt;6,YEAR(Calls[[#This Row],[Date of Call]]),YEAR(Calls[[#This Row],[Date of Call]])+1)</f>
        <v>2024</v>
      </c>
      <c r="J655" t="str">
        <f>TEXT(Calls[[#This Row],[Date of Call]],"DDDD")</f>
        <v>Thursday</v>
      </c>
      <c r="K655" t="str" cm="1">
        <f t="array" ref="K655">_xlfn.IFS(Calls[[#This Row],[Duration]]&lt;10,"Under 10 Mins",Calls[[#This Row],[Duration]]&lt;=30,"10 - 30 Mins",Calls[[#This Row],[Duration]]&lt;=60,"30 - 60 Mins",Calls[[#This Row],[Duration]]&lt;=120,"1 - 2 Hours",TRUE,"More than 2  Hours")</f>
        <v>1 - 2 Hours</v>
      </c>
      <c r="L655">
        <f>ROUND(Calls[[#This Row],[Satisfaction Rating]],0)</f>
        <v>5</v>
      </c>
    </row>
    <row r="656" spans="2:12" x14ac:dyDescent="0.3">
      <c r="B656" s="22" t="s">
        <v>678</v>
      </c>
      <c r="C656" s="4" t="s">
        <v>7</v>
      </c>
      <c r="D656" s="4">
        <v>69</v>
      </c>
      <c r="E656" s="5" t="s">
        <v>9</v>
      </c>
      <c r="F656" s="9">
        <v>45141</v>
      </c>
      <c r="G656" s="4">
        <v>20</v>
      </c>
      <c r="H656" s="23">
        <v>4.3</v>
      </c>
      <c r="I656">
        <f>IF(MONTH(Calls[[#This Row],[Date of Call]])&lt;6,YEAR(Calls[[#This Row],[Date of Call]]),YEAR(Calls[[#This Row],[Date of Call]])+1)</f>
        <v>2024</v>
      </c>
      <c r="J656" t="str">
        <f>TEXT(Calls[[#This Row],[Date of Call]],"DDDD")</f>
        <v>Thursday</v>
      </c>
      <c r="K656" t="str" cm="1">
        <f t="array" ref="K656">_xlfn.IFS(Calls[[#This Row],[Duration]]&lt;10,"Under 10 Mins",Calls[[#This Row],[Duration]]&lt;=30,"10 - 30 Mins",Calls[[#This Row],[Duration]]&lt;=60,"30 - 60 Mins",Calls[[#This Row],[Duration]]&lt;=120,"1 - 2 Hours",TRUE,"More than 2  Hours")</f>
        <v>1 - 2 Hours</v>
      </c>
      <c r="L656">
        <f>ROUND(Calls[[#This Row],[Satisfaction Rating]],0)</f>
        <v>4</v>
      </c>
    </row>
    <row r="657" spans="2:12" x14ac:dyDescent="0.3">
      <c r="B657" s="22" t="s">
        <v>679</v>
      </c>
      <c r="C657" s="4" t="s">
        <v>16</v>
      </c>
      <c r="D657" s="4">
        <v>111</v>
      </c>
      <c r="E657" s="5" t="s">
        <v>6</v>
      </c>
      <c r="F657" s="9">
        <v>45141</v>
      </c>
      <c r="G657" s="4">
        <v>99</v>
      </c>
      <c r="H657" s="23">
        <v>4.0999999999999996</v>
      </c>
      <c r="I657">
        <f>IF(MONTH(Calls[[#This Row],[Date of Call]])&lt;6,YEAR(Calls[[#This Row],[Date of Call]]),YEAR(Calls[[#This Row],[Date of Call]])+1)</f>
        <v>2024</v>
      </c>
      <c r="J657" t="str">
        <f>TEXT(Calls[[#This Row],[Date of Call]],"DDDD")</f>
        <v>Thursday</v>
      </c>
      <c r="K657" t="str" cm="1">
        <f t="array" ref="K657">_xlfn.IFS(Calls[[#This Row],[Duration]]&lt;10,"Under 10 Mins",Calls[[#This Row],[Duration]]&lt;=30,"10 - 30 Mins",Calls[[#This Row],[Duration]]&lt;=60,"30 - 60 Mins",Calls[[#This Row],[Duration]]&lt;=120,"1 - 2 Hours",TRUE,"More than 2  Hours")</f>
        <v>1 - 2 Hours</v>
      </c>
      <c r="L657">
        <f>ROUND(Calls[[#This Row],[Satisfaction Rating]],0)</f>
        <v>4</v>
      </c>
    </row>
    <row r="658" spans="2:12" x14ac:dyDescent="0.3">
      <c r="B658" s="22" t="s">
        <v>680</v>
      </c>
      <c r="C658" s="4" t="s">
        <v>18</v>
      </c>
      <c r="D658" s="4">
        <v>97</v>
      </c>
      <c r="E658" s="5" t="s">
        <v>9</v>
      </c>
      <c r="F658" s="9">
        <v>45142</v>
      </c>
      <c r="G658" s="4">
        <v>105</v>
      </c>
      <c r="H658" s="23">
        <v>2.9</v>
      </c>
      <c r="I658">
        <f>IF(MONTH(Calls[[#This Row],[Date of Call]])&lt;6,YEAR(Calls[[#This Row],[Date of Call]]),YEAR(Calls[[#This Row],[Date of Call]])+1)</f>
        <v>2024</v>
      </c>
      <c r="J658" t="str">
        <f>TEXT(Calls[[#This Row],[Date of Call]],"DDDD")</f>
        <v>Friday</v>
      </c>
      <c r="K658" t="str" cm="1">
        <f t="array" ref="K658">_xlfn.IFS(Calls[[#This Row],[Duration]]&lt;10,"Under 10 Mins",Calls[[#This Row],[Duration]]&lt;=30,"10 - 30 Mins",Calls[[#This Row],[Duration]]&lt;=60,"30 - 60 Mins",Calls[[#This Row],[Duration]]&lt;=120,"1 - 2 Hours",TRUE,"More than 2  Hours")</f>
        <v>1 - 2 Hours</v>
      </c>
      <c r="L658">
        <f>ROUND(Calls[[#This Row],[Satisfaction Rating]],0)</f>
        <v>3</v>
      </c>
    </row>
    <row r="659" spans="2:12" x14ac:dyDescent="0.3">
      <c r="B659" s="22" t="s">
        <v>681</v>
      </c>
      <c r="C659" s="4" t="s">
        <v>14</v>
      </c>
      <c r="D659" s="4">
        <v>144</v>
      </c>
      <c r="E659" s="5" t="s">
        <v>13</v>
      </c>
      <c r="F659" s="9">
        <v>45142</v>
      </c>
      <c r="G659" s="4">
        <v>195</v>
      </c>
      <c r="H659" s="23">
        <v>3.4</v>
      </c>
      <c r="I659">
        <f>IF(MONTH(Calls[[#This Row],[Date of Call]])&lt;6,YEAR(Calls[[#This Row],[Date of Call]]),YEAR(Calls[[#This Row],[Date of Call]])+1)</f>
        <v>2024</v>
      </c>
      <c r="J659" t="str">
        <f>TEXT(Calls[[#This Row],[Date of Call]],"DDDD")</f>
        <v>Friday</v>
      </c>
      <c r="K659" t="str" cm="1">
        <f t="array" ref="K659">_xlfn.IFS(Calls[[#This Row],[Duration]]&lt;10,"Under 10 Mins",Calls[[#This Row],[Duration]]&lt;=30,"10 - 30 Mins",Calls[[#This Row],[Duration]]&lt;=60,"30 - 60 Mins",Calls[[#This Row],[Duration]]&lt;=120,"1 - 2 Hours",TRUE,"More than 2  Hours")</f>
        <v>More than 2  Hours</v>
      </c>
      <c r="L659">
        <f>ROUND(Calls[[#This Row],[Satisfaction Rating]],0)</f>
        <v>3</v>
      </c>
    </row>
    <row r="660" spans="2:12" x14ac:dyDescent="0.3">
      <c r="B660" s="22" t="s">
        <v>682</v>
      </c>
      <c r="C660" s="4" t="s">
        <v>23</v>
      </c>
      <c r="D660" s="4">
        <v>56</v>
      </c>
      <c r="E660" s="5" t="s">
        <v>9</v>
      </c>
      <c r="F660" s="9">
        <v>45143</v>
      </c>
      <c r="G660" s="4">
        <v>152</v>
      </c>
      <c r="H660" s="23">
        <v>4.5999999999999996</v>
      </c>
      <c r="I660">
        <f>IF(MONTH(Calls[[#This Row],[Date of Call]])&lt;6,YEAR(Calls[[#This Row],[Date of Call]]),YEAR(Calls[[#This Row],[Date of Call]])+1)</f>
        <v>2024</v>
      </c>
      <c r="J660" t="str">
        <f>TEXT(Calls[[#This Row],[Date of Call]],"DDDD")</f>
        <v>Saturday</v>
      </c>
      <c r="K660" t="str" cm="1">
        <f t="array" ref="K660">_xlfn.IFS(Calls[[#This Row],[Duration]]&lt;10,"Under 10 Mins",Calls[[#This Row],[Duration]]&lt;=30,"10 - 30 Mins",Calls[[#This Row],[Duration]]&lt;=60,"30 - 60 Mins",Calls[[#This Row],[Duration]]&lt;=120,"1 - 2 Hours",TRUE,"More than 2  Hours")</f>
        <v>30 - 60 Mins</v>
      </c>
      <c r="L660">
        <f>ROUND(Calls[[#This Row],[Satisfaction Rating]],0)</f>
        <v>5</v>
      </c>
    </row>
    <row r="661" spans="2:12" x14ac:dyDescent="0.3">
      <c r="B661" s="22" t="s">
        <v>683</v>
      </c>
      <c r="C661" s="4" t="s">
        <v>14</v>
      </c>
      <c r="D661" s="4">
        <v>132</v>
      </c>
      <c r="E661" s="5" t="s">
        <v>13</v>
      </c>
      <c r="F661" s="9">
        <v>45144</v>
      </c>
      <c r="G661" s="4">
        <v>195</v>
      </c>
      <c r="H661" s="23">
        <v>4.9000000000000004</v>
      </c>
      <c r="I661">
        <f>IF(MONTH(Calls[[#This Row],[Date of Call]])&lt;6,YEAR(Calls[[#This Row],[Date of Call]]),YEAR(Calls[[#This Row],[Date of Call]])+1)</f>
        <v>2024</v>
      </c>
      <c r="J661" t="str">
        <f>TEXT(Calls[[#This Row],[Date of Call]],"DDDD")</f>
        <v>Sunday</v>
      </c>
      <c r="K661" t="str" cm="1">
        <f t="array" ref="K661">_xlfn.IFS(Calls[[#This Row],[Duration]]&lt;10,"Under 10 Mins",Calls[[#This Row],[Duration]]&lt;=30,"10 - 30 Mins",Calls[[#This Row],[Duration]]&lt;=60,"30 - 60 Mins",Calls[[#This Row],[Duration]]&lt;=120,"1 - 2 Hours",TRUE,"More than 2  Hours")</f>
        <v>More than 2  Hours</v>
      </c>
      <c r="L661">
        <f>ROUND(Calls[[#This Row],[Satisfaction Rating]],0)</f>
        <v>5</v>
      </c>
    </row>
    <row r="662" spans="2:12" x14ac:dyDescent="0.3">
      <c r="B662" s="22" t="s">
        <v>684</v>
      </c>
      <c r="C662" s="4" t="s">
        <v>15</v>
      </c>
      <c r="D662" s="4">
        <v>72</v>
      </c>
      <c r="E662" s="5" t="s">
        <v>11</v>
      </c>
      <c r="F662" s="9">
        <v>45144</v>
      </c>
      <c r="G662" s="4">
        <v>70</v>
      </c>
      <c r="H662" s="23">
        <v>3.6</v>
      </c>
      <c r="I662">
        <f>IF(MONTH(Calls[[#This Row],[Date of Call]])&lt;6,YEAR(Calls[[#This Row],[Date of Call]]),YEAR(Calls[[#This Row],[Date of Call]])+1)</f>
        <v>2024</v>
      </c>
      <c r="J662" t="str">
        <f>TEXT(Calls[[#This Row],[Date of Call]],"DDDD")</f>
        <v>Sunday</v>
      </c>
      <c r="K662" t="str" cm="1">
        <f t="array" ref="K662">_xlfn.IFS(Calls[[#This Row],[Duration]]&lt;10,"Under 10 Mins",Calls[[#This Row],[Duration]]&lt;=30,"10 - 30 Mins",Calls[[#This Row],[Duration]]&lt;=60,"30 - 60 Mins",Calls[[#This Row],[Duration]]&lt;=120,"1 - 2 Hours",TRUE,"More than 2  Hours")</f>
        <v>1 - 2 Hours</v>
      </c>
      <c r="L662">
        <f>ROUND(Calls[[#This Row],[Satisfaction Rating]],0)</f>
        <v>4</v>
      </c>
    </row>
    <row r="663" spans="2:12" x14ac:dyDescent="0.3">
      <c r="B663" s="22" t="s">
        <v>685</v>
      </c>
      <c r="C663" s="4" t="s">
        <v>16</v>
      </c>
      <c r="D663" s="4">
        <v>18</v>
      </c>
      <c r="E663" s="5" t="s">
        <v>11</v>
      </c>
      <c r="F663" s="9">
        <v>45144</v>
      </c>
      <c r="G663" s="4">
        <v>22</v>
      </c>
      <c r="H663" s="23">
        <v>3.5</v>
      </c>
      <c r="I663">
        <f>IF(MONTH(Calls[[#This Row],[Date of Call]])&lt;6,YEAR(Calls[[#This Row],[Date of Call]]),YEAR(Calls[[#This Row],[Date of Call]])+1)</f>
        <v>2024</v>
      </c>
      <c r="J663" t="str">
        <f>TEXT(Calls[[#This Row],[Date of Call]],"DDDD")</f>
        <v>Sunday</v>
      </c>
      <c r="K663" t="str" cm="1">
        <f t="array" ref="K663">_xlfn.IFS(Calls[[#This Row],[Duration]]&lt;10,"Under 10 Mins",Calls[[#This Row],[Duration]]&lt;=30,"10 - 30 Mins",Calls[[#This Row],[Duration]]&lt;=60,"30 - 60 Mins",Calls[[#This Row],[Duration]]&lt;=120,"1 - 2 Hours",TRUE,"More than 2  Hours")</f>
        <v>10 - 30 Mins</v>
      </c>
      <c r="L663">
        <f>ROUND(Calls[[#This Row],[Satisfaction Rating]],0)</f>
        <v>4</v>
      </c>
    </row>
    <row r="664" spans="2:12" x14ac:dyDescent="0.3">
      <c r="B664" s="22" t="s">
        <v>686</v>
      </c>
      <c r="C664" s="4" t="s">
        <v>8</v>
      </c>
      <c r="D664" s="4">
        <v>115</v>
      </c>
      <c r="E664" s="5" t="s">
        <v>6</v>
      </c>
      <c r="F664" s="9">
        <v>45145</v>
      </c>
      <c r="G664" s="4">
        <v>40</v>
      </c>
      <c r="H664" s="23">
        <v>3.3</v>
      </c>
      <c r="I664">
        <f>IF(MONTH(Calls[[#This Row],[Date of Call]])&lt;6,YEAR(Calls[[#This Row],[Date of Call]]),YEAR(Calls[[#This Row],[Date of Call]])+1)</f>
        <v>2024</v>
      </c>
      <c r="J664" t="str">
        <f>TEXT(Calls[[#This Row],[Date of Call]],"DDDD")</f>
        <v>Monday</v>
      </c>
      <c r="K664" t="str" cm="1">
        <f t="array" ref="K664">_xlfn.IFS(Calls[[#This Row],[Duration]]&lt;10,"Under 10 Mins",Calls[[#This Row],[Duration]]&lt;=30,"10 - 30 Mins",Calls[[#This Row],[Duration]]&lt;=60,"30 - 60 Mins",Calls[[#This Row],[Duration]]&lt;=120,"1 - 2 Hours",TRUE,"More than 2  Hours")</f>
        <v>1 - 2 Hours</v>
      </c>
      <c r="L664">
        <f>ROUND(Calls[[#This Row],[Satisfaction Rating]],0)</f>
        <v>3</v>
      </c>
    </row>
    <row r="665" spans="2:12" x14ac:dyDescent="0.3">
      <c r="B665" s="22" t="s">
        <v>687</v>
      </c>
      <c r="C665" s="4" t="s">
        <v>8</v>
      </c>
      <c r="D665" s="4">
        <v>124</v>
      </c>
      <c r="E665" s="5" t="s">
        <v>9</v>
      </c>
      <c r="F665" s="9">
        <v>45146</v>
      </c>
      <c r="G665" s="4">
        <v>54</v>
      </c>
      <c r="H665" s="23">
        <v>3.8</v>
      </c>
      <c r="I665">
        <f>IF(MONTH(Calls[[#This Row],[Date of Call]])&lt;6,YEAR(Calls[[#This Row],[Date of Call]]),YEAR(Calls[[#This Row],[Date of Call]])+1)</f>
        <v>2024</v>
      </c>
      <c r="J665" t="str">
        <f>TEXT(Calls[[#This Row],[Date of Call]],"DDDD")</f>
        <v>Tuesday</v>
      </c>
      <c r="K665" t="str" cm="1">
        <f t="array" ref="K665">_xlfn.IFS(Calls[[#This Row],[Duration]]&lt;10,"Under 10 Mins",Calls[[#This Row],[Duration]]&lt;=30,"10 - 30 Mins",Calls[[#This Row],[Duration]]&lt;=60,"30 - 60 Mins",Calls[[#This Row],[Duration]]&lt;=120,"1 - 2 Hours",TRUE,"More than 2  Hours")</f>
        <v>More than 2  Hours</v>
      </c>
      <c r="L665">
        <f>ROUND(Calls[[#This Row],[Satisfaction Rating]],0)</f>
        <v>4</v>
      </c>
    </row>
    <row r="666" spans="2:12" x14ac:dyDescent="0.3">
      <c r="B666" s="22" t="s">
        <v>688</v>
      </c>
      <c r="C666" s="4" t="s">
        <v>12</v>
      </c>
      <c r="D666" s="4">
        <v>130</v>
      </c>
      <c r="E666" s="5" t="s">
        <v>9</v>
      </c>
      <c r="F666" s="9">
        <v>45146</v>
      </c>
      <c r="G666" s="4">
        <v>60</v>
      </c>
      <c r="H666" s="23">
        <v>2.5</v>
      </c>
      <c r="I666">
        <f>IF(MONTH(Calls[[#This Row],[Date of Call]])&lt;6,YEAR(Calls[[#This Row],[Date of Call]]),YEAR(Calls[[#This Row],[Date of Call]])+1)</f>
        <v>2024</v>
      </c>
      <c r="J666" t="str">
        <f>TEXT(Calls[[#This Row],[Date of Call]],"DDDD")</f>
        <v>Tuesday</v>
      </c>
      <c r="K666" t="str" cm="1">
        <f t="array" ref="K666">_xlfn.IFS(Calls[[#This Row],[Duration]]&lt;10,"Under 10 Mins",Calls[[#This Row],[Duration]]&lt;=30,"10 - 30 Mins",Calls[[#This Row],[Duration]]&lt;=60,"30 - 60 Mins",Calls[[#This Row],[Duration]]&lt;=120,"1 - 2 Hours",TRUE,"More than 2  Hours")</f>
        <v>More than 2  Hours</v>
      </c>
      <c r="L666">
        <f>ROUND(Calls[[#This Row],[Satisfaction Rating]],0)</f>
        <v>3</v>
      </c>
    </row>
    <row r="667" spans="2:12" x14ac:dyDescent="0.3">
      <c r="B667" s="22" t="s">
        <v>689</v>
      </c>
      <c r="C667" s="4" t="s">
        <v>19</v>
      </c>
      <c r="D667" s="4">
        <v>120</v>
      </c>
      <c r="E667" s="5" t="s">
        <v>10</v>
      </c>
      <c r="F667" s="9">
        <v>45148</v>
      </c>
      <c r="G667" s="4">
        <v>58</v>
      </c>
      <c r="H667" s="23">
        <v>4.5999999999999996</v>
      </c>
      <c r="I667">
        <f>IF(MONTH(Calls[[#This Row],[Date of Call]])&lt;6,YEAR(Calls[[#This Row],[Date of Call]]),YEAR(Calls[[#This Row],[Date of Call]])+1)</f>
        <v>2024</v>
      </c>
      <c r="J667" t="str">
        <f>TEXT(Calls[[#This Row],[Date of Call]],"DDDD")</f>
        <v>Thursday</v>
      </c>
      <c r="K667" t="str" cm="1">
        <f t="array" ref="K667">_xlfn.IFS(Calls[[#This Row],[Duration]]&lt;10,"Under 10 Mins",Calls[[#This Row],[Duration]]&lt;=30,"10 - 30 Mins",Calls[[#This Row],[Duration]]&lt;=60,"30 - 60 Mins",Calls[[#This Row],[Duration]]&lt;=120,"1 - 2 Hours",TRUE,"More than 2  Hours")</f>
        <v>1 - 2 Hours</v>
      </c>
      <c r="L667">
        <f>ROUND(Calls[[#This Row],[Satisfaction Rating]],0)</f>
        <v>5</v>
      </c>
    </row>
    <row r="668" spans="2:12" x14ac:dyDescent="0.3">
      <c r="B668" s="22" t="s">
        <v>690</v>
      </c>
      <c r="C668" s="4" t="s">
        <v>18</v>
      </c>
      <c r="D668" s="4">
        <v>75</v>
      </c>
      <c r="E668" s="5" t="s">
        <v>6</v>
      </c>
      <c r="F668" s="9">
        <v>45148</v>
      </c>
      <c r="G668" s="4">
        <v>220</v>
      </c>
      <c r="H668" s="23">
        <v>4.7</v>
      </c>
      <c r="I668">
        <f>IF(MONTH(Calls[[#This Row],[Date of Call]])&lt;6,YEAR(Calls[[#This Row],[Date of Call]]),YEAR(Calls[[#This Row],[Date of Call]])+1)</f>
        <v>2024</v>
      </c>
      <c r="J668" t="str">
        <f>TEXT(Calls[[#This Row],[Date of Call]],"DDDD")</f>
        <v>Thursday</v>
      </c>
      <c r="K668" t="str" cm="1">
        <f t="array" ref="K668">_xlfn.IFS(Calls[[#This Row],[Duration]]&lt;10,"Under 10 Mins",Calls[[#This Row],[Duration]]&lt;=30,"10 - 30 Mins",Calls[[#This Row],[Duration]]&lt;=60,"30 - 60 Mins",Calls[[#This Row],[Duration]]&lt;=120,"1 - 2 Hours",TRUE,"More than 2  Hours")</f>
        <v>1 - 2 Hours</v>
      </c>
      <c r="L668">
        <f>ROUND(Calls[[#This Row],[Satisfaction Rating]],0)</f>
        <v>5</v>
      </c>
    </row>
    <row r="669" spans="2:12" x14ac:dyDescent="0.3">
      <c r="B669" s="22" t="s">
        <v>691</v>
      </c>
      <c r="C669" s="4" t="s">
        <v>20</v>
      </c>
      <c r="D669" s="4">
        <v>63</v>
      </c>
      <c r="E669" s="5" t="s">
        <v>6</v>
      </c>
      <c r="F669" s="9">
        <v>45148</v>
      </c>
      <c r="G669" s="4">
        <v>27</v>
      </c>
      <c r="H669" s="23">
        <v>3.6</v>
      </c>
      <c r="I669">
        <f>IF(MONTH(Calls[[#This Row],[Date of Call]])&lt;6,YEAR(Calls[[#This Row],[Date of Call]]),YEAR(Calls[[#This Row],[Date of Call]])+1)</f>
        <v>2024</v>
      </c>
      <c r="J669" t="str">
        <f>TEXT(Calls[[#This Row],[Date of Call]],"DDDD")</f>
        <v>Thursday</v>
      </c>
      <c r="K669" t="str" cm="1">
        <f t="array" ref="K669">_xlfn.IFS(Calls[[#This Row],[Duration]]&lt;10,"Under 10 Mins",Calls[[#This Row],[Duration]]&lt;=30,"10 - 30 Mins",Calls[[#This Row],[Duration]]&lt;=60,"30 - 60 Mins",Calls[[#This Row],[Duration]]&lt;=120,"1 - 2 Hours",TRUE,"More than 2  Hours")</f>
        <v>1 - 2 Hours</v>
      </c>
      <c r="L669">
        <f>ROUND(Calls[[#This Row],[Satisfaction Rating]],0)</f>
        <v>4</v>
      </c>
    </row>
    <row r="670" spans="2:12" x14ac:dyDescent="0.3">
      <c r="B670" s="22" t="s">
        <v>692</v>
      </c>
      <c r="C670" s="4" t="s">
        <v>14</v>
      </c>
      <c r="D670" s="4">
        <v>74</v>
      </c>
      <c r="E670" s="5" t="s">
        <v>6</v>
      </c>
      <c r="F670" s="9">
        <v>45150</v>
      </c>
      <c r="G670" s="4">
        <v>26</v>
      </c>
      <c r="H670" s="23">
        <v>4.3</v>
      </c>
      <c r="I670">
        <f>IF(MONTH(Calls[[#This Row],[Date of Call]])&lt;6,YEAR(Calls[[#This Row],[Date of Call]]),YEAR(Calls[[#This Row],[Date of Call]])+1)</f>
        <v>2024</v>
      </c>
      <c r="J670" t="str">
        <f>TEXT(Calls[[#This Row],[Date of Call]],"DDDD")</f>
        <v>Saturday</v>
      </c>
      <c r="K670" t="str" cm="1">
        <f t="array" ref="K670">_xlfn.IFS(Calls[[#This Row],[Duration]]&lt;10,"Under 10 Mins",Calls[[#This Row],[Duration]]&lt;=30,"10 - 30 Mins",Calls[[#This Row],[Duration]]&lt;=60,"30 - 60 Mins",Calls[[#This Row],[Duration]]&lt;=120,"1 - 2 Hours",TRUE,"More than 2  Hours")</f>
        <v>1 - 2 Hours</v>
      </c>
      <c r="L670">
        <f>ROUND(Calls[[#This Row],[Satisfaction Rating]],0)</f>
        <v>4</v>
      </c>
    </row>
    <row r="671" spans="2:12" x14ac:dyDescent="0.3">
      <c r="B671" s="22" t="s">
        <v>693</v>
      </c>
      <c r="C671" s="4" t="s">
        <v>7</v>
      </c>
      <c r="D671" s="4">
        <v>134</v>
      </c>
      <c r="E671" s="5" t="s">
        <v>13</v>
      </c>
      <c r="F671" s="9">
        <v>45151</v>
      </c>
      <c r="G671" s="4">
        <v>160</v>
      </c>
      <c r="H671" s="23">
        <v>4.7</v>
      </c>
      <c r="I671">
        <f>IF(MONTH(Calls[[#This Row],[Date of Call]])&lt;6,YEAR(Calls[[#This Row],[Date of Call]]),YEAR(Calls[[#This Row],[Date of Call]])+1)</f>
        <v>2024</v>
      </c>
      <c r="J671" t="str">
        <f>TEXT(Calls[[#This Row],[Date of Call]],"DDDD")</f>
        <v>Sunday</v>
      </c>
      <c r="K671" t="str" cm="1">
        <f t="array" ref="K671">_xlfn.IFS(Calls[[#This Row],[Duration]]&lt;10,"Under 10 Mins",Calls[[#This Row],[Duration]]&lt;=30,"10 - 30 Mins",Calls[[#This Row],[Duration]]&lt;=60,"30 - 60 Mins",Calls[[#This Row],[Duration]]&lt;=120,"1 - 2 Hours",TRUE,"More than 2  Hours")</f>
        <v>More than 2  Hours</v>
      </c>
      <c r="L671">
        <f>ROUND(Calls[[#This Row],[Satisfaction Rating]],0)</f>
        <v>5</v>
      </c>
    </row>
    <row r="672" spans="2:12" x14ac:dyDescent="0.3">
      <c r="B672" s="22" t="s">
        <v>694</v>
      </c>
      <c r="C672" s="4" t="s">
        <v>16</v>
      </c>
      <c r="D672" s="4">
        <v>103</v>
      </c>
      <c r="E672" s="5" t="s">
        <v>9</v>
      </c>
      <c r="F672" s="9">
        <v>45151</v>
      </c>
      <c r="G672" s="4">
        <v>200</v>
      </c>
      <c r="H672" s="23">
        <v>4.9000000000000004</v>
      </c>
      <c r="I672">
        <f>IF(MONTH(Calls[[#This Row],[Date of Call]])&lt;6,YEAR(Calls[[#This Row],[Date of Call]]),YEAR(Calls[[#This Row],[Date of Call]])+1)</f>
        <v>2024</v>
      </c>
      <c r="J672" t="str">
        <f>TEXT(Calls[[#This Row],[Date of Call]],"DDDD")</f>
        <v>Sunday</v>
      </c>
      <c r="K672" t="str" cm="1">
        <f t="array" ref="K672">_xlfn.IFS(Calls[[#This Row],[Duration]]&lt;10,"Under 10 Mins",Calls[[#This Row],[Duration]]&lt;=30,"10 - 30 Mins",Calls[[#This Row],[Duration]]&lt;=60,"30 - 60 Mins",Calls[[#This Row],[Duration]]&lt;=120,"1 - 2 Hours",TRUE,"More than 2  Hours")</f>
        <v>1 - 2 Hours</v>
      </c>
      <c r="L672">
        <f>ROUND(Calls[[#This Row],[Satisfaction Rating]],0)</f>
        <v>5</v>
      </c>
    </row>
    <row r="673" spans="2:12" x14ac:dyDescent="0.3">
      <c r="B673" s="22" t="s">
        <v>695</v>
      </c>
      <c r="C673" s="4" t="s">
        <v>16</v>
      </c>
      <c r="D673" s="4">
        <v>155</v>
      </c>
      <c r="E673" s="5" t="s">
        <v>10</v>
      </c>
      <c r="F673" s="9">
        <v>45154</v>
      </c>
      <c r="G673" s="4">
        <v>135</v>
      </c>
      <c r="H673" s="23">
        <v>4.9000000000000004</v>
      </c>
      <c r="I673">
        <f>IF(MONTH(Calls[[#This Row],[Date of Call]])&lt;6,YEAR(Calls[[#This Row],[Date of Call]]),YEAR(Calls[[#This Row],[Date of Call]])+1)</f>
        <v>2024</v>
      </c>
      <c r="J673" t="str">
        <f>TEXT(Calls[[#This Row],[Date of Call]],"DDDD")</f>
        <v>Wednesday</v>
      </c>
      <c r="K673" t="str" cm="1">
        <f t="array" ref="K673">_xlfn.IFS(Calls[[#This Row],[Duration]]&lt;10,"Under 10 Mins",Calls[[#This Row],[Duration]]&lt;=30,"10 - 30 Mins",Calls[[#This Row],[Duration]]&lt;=60,"30 - 60 Mins",Calls[[#This Row],[Duration]]&lt;=120,"1 - 2 Hours",TRUE,"More than 2  Hours")</f>
        <v>More than 2  Hours</v>
      </c>
      <c r="L673">
        <f>ROUND(Calls[[#This Row],[Satisfaction Rating]],0)</f>
        <v>5</v>
      </c>
    </row>
    <row r="674" spans="2:12" x14ac:dyDescent="0.3">
      <c r="B674" s="22" t="s">
        <v>696</v>
      </c>
      <c r="C674" s="4" t="s">
        <v>20</v>
      </c>
      <c r="D674" s="4">
        <v>128</v>
      </c>
      <c r="E674" s="5" t="s">
        <v>9</v>
      </c>
      <c r="F674" s="9">
        <v>45155</v>
      </c>
      <c r="G674" s="4">
        <v>22</v>
      </c>
      <c r="H674" s="23">
        <v>1.9</v>
      </c>
      <c r="I674">
        <f>IF(MONTH(Calls[[#This Row],[Date of Call]])&lt;6,YEAR(Calls[[#This Row],[Date of Call]]),YEAR(Calls[[#This Row],[Date of Call]])+1)</f>
        <v>2024</v>
      </c>
      <c r="J674" t="str">
        <f>TEXT(Calls[[#This Row],[Date of Call]],"DDDD")</f>
        <v>Thursday</v>
      </c>
      <c r="K674" t="str" cm="1">
        <f t="array" ref="K674">_xlfn.IFS(Calls[[#This Row],[Duration]]&lt;10,"Under 10 Mins",Calls[[#This Row],[Duration]]&lt;=30,"10 - 30 Mins",Calls[[#This Row],[Duration]]&lt;=60,"30 - 60 Mins",Calls[[#This Row],[Duration]]&lt;=120,"1 - 2 Hours",TRUE,"More than 2  Hours")</f>
        <v>More than 2  Hours</v>
      </c>
      <c r="L674">
        <f>ROUND(Calls[[#This Row],[Satisfaction Rating]],0)</f>
        <v>2</v>
      </c>
    </row>
    <row r="675" spans="2:12" x14ac:dyDescent="0.3">
      <c r="B675" s="22" t="s">
        <v>697</v>
      </c>
      <c r="C675" s="4" t="s">
        <v>18</v>
      </c>
      <c r="D675" s="4">
        <v>89</v>
      </c>
      <c r="E675" s="5" t="s">
        <v>13</v>
      </c>
      <c r="F675" s="9">
        <v>45156</v>
      </c>
      <c r="G675" s="4">
        <v>164</v>
      </c>
      <c r="H675" s="23">
        <v>4.5</v>
      </c>
      <c r="I675">
        <f>IF(MONTH(Calls[[#This Row],[Date of Call]])&lt;6,YEAR(Calls[[#This Row],[Date of Call]]),YEAR(Calls[[#This Row],[Date of Call]])+1)</f>
        <v>2024</v>
      </c>
      <c r="J675" t="str">
        <f>TEXT(Calls[[#This Row],[Date of Call]],"DDDD")</f>
        <v>Friday</v>
      </c>
      <c r="K675" t="str" cm="1">
        <f t="array" ref="K675">_xlfn.IFS(Calls[[#This Row],[Duration]]&lt;10,"Under 10 Mins",Calls[[#This Row],[Duration]]&lt;=30,"10 - 30 Mins",Calls[[#This Row],[Duration]]&lt;=60,"30 - 60 Mins",Calls[[#This Row],[Duration]]&lt;=120,"1 - 2 Hours",TRUE,"More than 2  Hours")</f>
        <v>1 - 2 Hours</v>
      </c>
      <c r="L675">
        <f>ROUND(Calls[[#This Row],[Satisfaction Rating]],0)</f>
        <v>5</v>
      </c>
    </row>
    <row r="676" spans="2:12" x14ac:dyDescent="0.3">
      <c r="B676" s="22" t="s">
        <v>698</v>
      </c>
      <c r="C676" s="4" t="s">
        <v>8</v>
      </c>
      <c r="D676" s="4">
        <v>81</v>
      </c>
      <c r="E676" s="5" t="s">
        <v>10</v>
      </c>
      <c r="F676" s="9">
        <v>45156</v>
      </c>
      <c r="G676" s="4">
        <v>21</v>
      </c>
      <c r="H676" s="23">
        <v>4.9000000000000004</v>
      </c>
      <c r="I676">
        <f>IF(MONTH(Calls[[#This Row],[Date of Call]])&lt;6,YEAR(Calls[[#This Row],[Date of Call]]),YEAR(Calls[[#This Row],[Date of Call]])+1)</f>
        <v>2024</v>
      </c>
      <c r="J676" t="str">
        <f>TEXT(Calls[[#This Row],[Date of Call]],"DDDD")</f>
        <v>Friday</v>
      </c>
      <c r="K676" t="str" cm="1">
        <f t="array" ref="K676">_xlfn.IFS(Calls[[#This Row],[Duration]]&lt;10,"Under 10 Mins",Calls[[#This Row],[Duration]]&lt;=30,"10 - 30 Mins",Calls[[#This Row],[Duration]]&lt;=60,"30 - 60 Mins",Calls[[#This Row],[Duration]]&lt;=120,"1 - 2 Hours",TRUE,"More than 2  Hours")</f>
        <v>1 - 2 Hours</v>
      </c>
      <c r="L676">
        <f>ROUND(Calls[[#This Row],[Satisfaction Rating]],0)</f>
        <v>5</v>
      </c>
    </row>
    <row r="677" spans="2:12" x14ac:dyDescent="0.3">
      <c r="B677" s="22" t="s">
        <v>699</v>
      </c>
      <c r="C677" s="4" t="s">
        <v>18</v>
      </c>
      <c r="D677" s="4">
        <v>66</v>
      </c>
      <c r="E677" s="5" t="s">
        <v>13</v>
      </c>
      <c r="F677" s="9">
        <v>45157</v>
      </c>
      <c r="G677" s="4">
        <v>120</v>
      </c>
      <c r="H677" s="23">
        <v>4.5</v>
      </c>
      <c r="I677">
        <f>IF(MONTH(Calls[[#This Row],[Date of Call]])&lt;6,YEAR(Calls[[#This Row],[Date of Call]]),YEAR(Calls[[#This Row],[Date of Call]])+1)</f>
        <v>2024</v>
      </c>
      <c r="J677" t="str">
        <f>TEXT(Calls[[#This Row],[Date of Call]],"DDDD")</f>
        <v>Saturday</v>
      </c>
      <c r="K677" t="str" cm="1">
        <f t="array" ref="K677">_xlfn.IFS(Calls[[#This Row],[Duration]]&lt;10,"Under 10 Mins",Calls[[#This Row],[Duration]]&lt;=30,"10 - 30 Mins",Calls[[#This Row],[Duration]]&lt;=60,"30 - 60 Mins",Calls[[#This Row],[Duration]]&lt;=120,"1 - 2 Hours",TRUE,"More than 2  Hours")</f>
        <v>1 - 2 Hours</v>
      </c>
      <c r="L677">
        <f>ROUND(Calls[[#This Row],[Satisfaction Rating]],0)</f>
        <v>5</v>
      </c>
    </row>
    <row r="678" spans="2:12" x14ac:dyDescent="0.3">
      <c r="B678" s="22" t="s">
        <v>700</v>
      </c>
      <c r="C678" s="4" t="s">
        <v>15</v>
      </c>
      <c r="D678" s="4">
        <v>61</v>
      </c>
      <c r="E678" s="5" t="s">
        <v>11</v>
      </c>
      <c r="F678" s="9">
        <v>45157</v>
      </c>
      <c r="G678" s="4">
        <v>93</v>
      </c>
      <c r="H678" s="23">
        <v>2.7</v>
      </c>
      <c r="I678">
        <f>IF(MONTH(Calls[[#This Row],[Date of Call]])&lt;6,YEAR(Calls[[#This Row],[Date of Call]]),YEAR(Calls[[#This Row],[Date of Call]])+1)</f>
        <v>2024</v>
      </c>
      <c r="J678" t="str">
        <f>TEXT(Calls[[#This Row],[Date of Call]],"DDDD")</f>
        <v>Saturday</v>
      </c>
      <c r="K678" t="str" cm="1">
        <f t="array" ref="K678">_xlfn.IFS(Calls[[#This Row],[Duration]]&lt;10,"Under 10 Mins",Calls[[#This Row],[Duration]]&lt;=30,"10 - 30 Mins",Calls[[#This Row],[Duration]]&lt;=60,"30 - 60 Mins",Calls[[#This Row],[Duration]]&lt;=120,"1 - 2 Hours",TRUE,"More than 2  Hours")</f>
        <v>1 - 2 Hours</v>
      </c>
      <c r="L678">
        <f>ROUND(Calls[[#This Row],[Satisfaction Rating]],0)</f>
        <v>3</v>
      </c>
    </row>
    <row r="679" spans="2:12" x14ac:dyDescent="0.3">
      <c r="B679" s="22" t="s">
        <v>701</v>
      </c>
      <c r="C679" s="4" t="s">
        <v>8</v>
      </c>
      <c r="D679" s="4">
        <v>128</v>
      </c>
      <c r="E679" s="5" t="s">
        <v>11</v>
      </c>
      <c r="F679" s="9">
        <v>45157</v>
      </c>
      <c r="G679" s="4">
        <v>135</v>
      </c>
      <c r="H679" s="23">
        <v>2.1</v>
      </c>
      <c r="I679">
        <f>IF(MONTH(Calls[[#This Row],[Date of Call]])&lt;6,YEAR(Calls[[#This Row],[Date of Call]]),YEAR(Calls[[#This Row],[Date of Call]])+1)</f>
        <v>2024</v>
      </c>
      <c r="J679" t="str">
        <f>TEXT(Calls[[#This Row],[Date of Call]],"DDDD")</f>
        <v>Saturday</v>
      </c>
      <c r="K679" t="str" cm="1">
        <f t="array" ref="K679">_xlfn.IFS(Calls[[#This Row],[Duration]]&lt;10,"Under 10 Mins",Calls[[#This Row],[Duration]]&lt;=30,"10 - 30 Mins",Calls[[#This Row],[Duration]]&lt;=60,"30 - 60 Mins",Calls[[#This Row],[Duration]]&lt;=120,"1 - 2 Hours",TRUE,"More than 2  Hours")</f>
        <v>More than 2  Hours</v>
      </c>
      <c r="L679">
        <f>ROUND(Calls[[#This Row],[Satisfaction Rating]],0)</f>
        <v>2</v>
      </c>
    </row>
    <row r="680" spans="2:12" x14ac:dyDescent="0.3">
      <c r="B680" s="22" t="s">
        <v>702</v>
      </c>
      <c r="C680" s="4" t="s">
        <v>16</v>
      </c>
      <c r="D680" s="4">
        <v>30</v>
      </c>
      <c r="E680" s="5" t="s">
        <v>10</v>
      </c>
      <c r="F680" s="9">
        <v>45157</v>
      </c>
      <c r="G680" s="4">
        <v>210</v>
      </c>
      <c r="H680" s="23">
        <v>4.2</v>
      </c>
      <c r="I680">
        <f>IF(MONTH(Calls[[#This Row],[Date of Call]])&lt;6,YEAR(Calls[[#This Row],[Date of Call]]),YEAR(Calls[[#This Row],[Date of Call]])+1)</f>
        <v>2024</v>
      </c>
      <c r="J680" t="str">
        <f>TEXT(Calls[[#This Row],[Date of Call]],"DDDD")</f>
        <v>Saturday</v>
      </c>
      <c r="K680" t="str" cm="1">
        <f t="array" ref="K680">_xlfn.IFS(Calls[[#This Row],[Duration]]&lt;10,"Under 10 Mins",Calls[[#This Row],[Duration]]&lt;=30,"10 - 30 Mins",Calls[[#This Row],[Duration]]&lt;=60,"30 - 60 Mins",Calls[[#This Row],[Duration]]&lt;=120,"1 - 2 Hours",TRUE,"More than 2  Hours")</f>
        <v>10 - 30 Mins</v>
      </c>
      <c r="L680">
        <f>ROUND(Calls[[#This Row],[Satisfaction Rating]],0)</f>
        <v>4</v>
      </c>
    </row>
    <row r="681" spans="2:12" x14ac:dyDescent="0.3">
      <c r="B681" s="22" t="s">
        <v>703</v>
      </c>
      <c r="C681" s="4" t="s">
        <v>5</v>
      </c>
      <c r="D681" s="4">
        <v>63</v>
      </c>
      <c r="E681" s="5" t="s">
        <v>11</v>
      </c>
      <c r="F681" s="9">
        <v>45158</v>
      </c>
      <c r="G681" s="4">
        <v>29</v>
      </c>
      <c r="H681" s="23">
        <v>4.7</v>
      </c>
      <c r="I681">
        <f>IF(MONTH(Calls[[#This Row],[Date of Call]])&lt;6,YEAR(Calls[[#This Row],[Date of Call]]),YEAR(Calls[[#This Row],[Date of Call]])+1)</f>
        <v>2024</v>
      </c>
      <c r="J681" t="str">
        <f>TEXT(Calls[[#This Row],[Date of Call]],"DDDD")</f>
        <v>Sunday</v>
      </c>
      <c r="K681" t="str" cm="1">
        <f t="array" ref="K681">_xlfn.IFS(Calls[[#This Row],[Duration]]&lt;10,"Under 10 Mins",Calls[[#This Row],[Duration]]&lt;=30,"10 - 30 Mins",Calls[[#This Row],[Duration]]&lt;=60,"30 - 60 Mins",Calls[[#This Row],[Duration]]&lt;=120,"1 - 2 Hours",TRUE,"More than 2  Hours")</f>
        <v>1 - 2 Hours</v>
      </c>
      <c r="L681">
        <f>ROUND(Calls[[#This Row],[Satisfaction Rating]],0)</f>
        <v>5</v>
      </c>
    </row>
    <row r="682" spans="2:12" x14ac:dyDescent="0.3">
      <c r="B682" s="22" t="s">
        <v>704</v>
      </c>
      <c r="C682" s="4" t="s">
        <v>24</v>
      </c>
      <c r="D682" s="4">
        <v>64</v>
      </c>
      <c r="E682" s="5" t="s">
        <v>6</v>
      </c>
      <c r="F682" s="9">
        <v>45158</v>
      </c>
      <c r="G682" s="4">
        <v>111</v>
      </c>
      <c r="H682" s="23">
        <v>3.9</v>
      </c>
      <c r="I682">
        <f>IF(MONTH(Calls[[#This Row],[Date of Call]])&lt;6,YEAR(Calls[[#This Row],[Date of Call]]),YEAR(Calls[[#This Row],[Date of Call]])+1)</f>
        <v>2024</v>
      </c>
      <c r="J682" t="str">
        <f>TEXT(Calls[[#This Row],[Date of Call]],"DDDD")</f>
        <v>Sunday</v>
      </c>
      <c r="K682" t="str" cm="1">
        <f t="array" ref="K682">_xlfn.IFS(Calls[[#This Row],[Duration]]&lt;10,"Under 10 Mins",Calls[[#This Row],[Duration]]&lt;=30,"10 - 30 Mins",Calls[[#This Row],[Duration]]&lt;=60,"30 - 60 Mins",Calls[[#This Row],[Duration]]&lt;=120,"1 - 2 Hours",TRUE,"More than 2  Hours")</f>
        <v>1 - 2 Hours</v>
      </c>
      <c r="L682">
        <f>ROUND(Calls[[#This Row],[Satisfaction Rating]],0)</f>
        <v>4</v>
      </c>
    </row>
    <row r="683" spans="2:12" x14ac:dyDescent="0.3">
      <c r="B683" s="22" t="s">
        <v>705</v>
      </c>
      <c r="C683" s="4" t="s">
        <v>21</v>
      </c>
      <c r="D683" s="4">
        <v>151</v>
      </c>
      <c r="E683" s="5" t="s">
        <v>9</v>
      </c>
      <c r="F683" s="9">
        <v>45159</v>
      </c>
      <c r="G683" s="4">
        <v>63</v>
      </c>
      <c r="H683" s="23">
        <v>4.0999999999999996</v>
      </c>
      <c r="I683">
        <f>IF(MONTH(Calls[[#This Row],[Date of Call]])&lt;6,YEAR(Calls[[#This Row],[Date of Call]]),YEAR(Calls[[#This Row],[Date of Call]])+1)</f>
        <v>2024</v>
      </c>
      <c r="J683" t="str">
        <f>TEXT(Calls[[#This Row],[Date of Call]],"DDDD")</f>
        <v>Monday</v>
      </c>
      <c r="K683" t="str" cm="1">
        <f t="array" ref="K683">_xlfn.IFS(Calls[[#This Row],[Duration]]&lt;10,"Under 10 Mins",Calls[[#This Row],[Duration]]&lt;=30,"10 - 30 Mins",Calls[[#This Row],[Duration]]&lt;=60,"30 - 60 Mins",Calls[[#This Row],[Duration]]&lt;=120,"1 - 2 Hours",TRUE,"More than 2  Hours")</f>
        <v>More than 2  Hours</v>
      </c>
      <c r="L683">
        <f>ROUND(Calls[[#This Row],[Satisfaction Rating]],0)</f>
        <v>4</v>
      </c>
    </row>
    <row r="684" spans="2:12" x14ac:dyDescent="0.3">
      <c r="B684" s="22" t="s">
        <v>706</v>
      </c>
      <c r="C684" s="4" t="s">
        <v>17</v>
      </c>
      <c r="D684" s="4">
        <v>116</v>
      </c>
      <c r="E684" s="5" t="s">
        <v>13</v>
      </c>
      <c r="F684" s="9">
        <v>45159</v>
      </c>
      <c r="G684" s="4">
        <v>44</v>
      </c>
      <c r="H684" s="23">
        <v>3.8</v>
      </c>
      <c r="I684">
        <f>IF(MONTH(Calls[[#This Row],[Date of Call]])&lt;6,YEAR(Calls[[#This Row],[Date of Call]]),YEAR(Calls[[#This Row],[Date of Call]])+1)</f>
        <v>2024</v>
      </c>
      <c r="J684" t="str">
        <f>TEXT(Calls[[#This Row],[Date of Call]],"DDDD")</f>
        <v>Monday</v>
      </c>
      <c r="K684" t="str" cm="1">
        <f t="array" ref="K684">_xlfn.IFS(Calls[[#This Row],[Duration]]&lt;10,"Under 10 Mins",Calls[[#This Row],[Duration]]&lt;=30,"10 - 30 Mins",Calls[[#This Row],[Duration]]&lt;=60,"30 - 60 Mins",Calls[[#This Row],[Duration]]&lt;=120,"1 - 2 Hours",TRUE,"More than 2  Hours")</f>
        <v>1 - 2 Hours</v>
      </c>
      <c r="L684">
        <f>ROUND(Calls[[#This Row],[Satisfaction Rating]],0)</f>
        <v>4</v>
      </c>
    </row>
    <row r="685" spans="2:12" x14ac:dyDescent="0.3">
      <c r="B685" s="22" t="s">
        <v>707</v>
      </c>
      <c r="C685" s="4" t="s">
        <v>21</v>
      </c>
      <c r="D685" s="4">
        <v>111</v>
      </c>
      <c r="E685" s="5" t="s">
        <v>13</v>
      </c>
      <c r="F685" s="9">
        <v>45161</v>
      </c>
      <c r="G685" s="4">
        <v>120</v>
      </c>
      <c r="H685" s="23">
        <v>1.8</v>
      </c>
      <c r="I685">
        <f>IF(MONTH(Calls[[#This Row],[Date of Call]])&lt;6,YEAR(Calls[[#This Row],[Date of Call]]),YEAR(Calls[[#This Row],[Date of Call]])+1)</f>
        <v>2024</v>
      </c>
      <c r="J685" t="str">
        <f>TEXT(Calls[[#This Row],[Date of Call]],"DDDD")</f>
        <v>Wednesday</v>
      </c>
      <c r="K685" t="str" cm="1">
        <f t="array" ref="K685">_xlfn.IFS(Calls[[#This Row],[Duration]]&lt;10,"Under 10 Mins",Calls[[#This Row],[Duration]]&lt;=30,"10 - 30 Mins",Calls[[#This Row],[Duration]]&lt;=60,"30 - 60 Mins",Calls[[#This Row],[Duration]]&lt;=120,"1 - 2 Hours",TRUE,"More than 2  Hours")</f>
        <v>1 - 2 Hours</v>
      </c>
      <c r="L685">
        <f>ROUND(Calls[[#This Row],[Satisfaction Rating]],0)</f>
        <v>2</v>
      </c>
    </row>
    <row r="686" spans="2:12" x14ac:dyDescent="0.3">
      <c r="B686" s="22" t="s">
        <v>708</v>
      </c>
      <c r="C686" s="4" t="s">
        <v>8</v>
      </c>
      <c r="D686" s="4">
        <v>15</v>
      </c>
      <c r="E686" s="5" t="s">
        <v>13</v>
      </c>
      <c r="F686" s="9">
        <v>45161</v>
      </c>
      <c r="G686" s="4">
        <v>120</v>
      </c>
      <c r="H686" s="23">
        <v>4.0999999999999996</v>
      </c>
      <c r="I686">
        <f>IF(MONTH(Calls[[#This Row],[Date of Call]])&lt;6,YEAR(Calls[[#This Row],[Date of Call]]),YEAR(Calls[[#This Row],[Date of Call]])+1)</f>
        <v>2024</v>
      </c>
      <c r="J686" t="str">
        <f>TEXT(Calls[[#This Row],[Date of Call]],"DDDD")</f>
        <v>Wednesday</v>
      </c>
      <c r="K686" t="str" cm="1">
        <f t="array" ref="K686">_xlfn.IFS(Calls[[#This Row],[Duration]]&lt;10,"Under 10 Mins",Calls[[#This Row],[Duration]]&lt;=30,"10 - 30 Mins",Calls[[#This Row],[Duration]]&lt;=60,"30 - 60 Mins",Calls[[#This Row],[Duration]]&lt;=120,"1 - 2 Hours",TRUE,"More than 2  Hours")</f>
        <v>10 - 30 Mins</v>
      </c>
      <c r="L686">
        <f>ROUND(Calls[[#This Row],[Satisfaction Rating]],0)</f>
        <v>4</v>
      </c>
    </row>
    <row r="687" spans="2:12" x14ac:dyDescent="0.3">
      <c r="B687" s="22" t="s">
        <v>709</v>
      </c>
      <c r="C687" s="4" t="s">
        <v>24</v>
      </c>
      <c r="D687" s="4">
        <v>18</v>
      </c>
      <c r="E687" s="5" t="s">
        <v>9</v>
      </c>
      <c r="F687" s="9">
        <v>45162</v>
      </c>
      <c r="G687" s="4">
        <v>40</v>
      </c>
      <c r="H687" s="23">
        <v>4.4000000000000004</v>
      </c>
      <c r="I687">
        <f>IF(MONTH(Calls[[#This Row],[Date of Call]])&lt;6,YEAR(Calls[[#This Row],[Date of Call]]),YEAR(Calls[[#This Row],[Date of Call]])+1)</f>
        <v>2024</v>
      </c>
      <c r="J687" t="str">
        <f>TEXT(Calls[[#This Row],[Date of Call]],"DDDD")</f>
        <v>Thursday</v>
      </c>
      <c r="K687" t="str" cm="1">
        <f t="array" ref="K687">_xlfn.IFS(Calls[[#This Row],[Duration]]&lt;10,"Under 10 Mins",Calls[[#This Row],[Duration]]&lt;=30,"10 - 30 Mins",Calls[[#This Row],[Duration]]&lt;=60,"30 - 60 Mins",Calls[[#This Row],[Duration]]&lt;=120,"1 - 2 Hours",TRUE,"More than 2  Hours")</f>
        <v>10 - 30 Mins</v>
      </c>
      <c r="L687">
        <f>ROUND(Calls[[#This Row],[Satisfaction Rating]],0)</f>
        <v>4</v>
      </c>
    </row>
    <row r="688" spans="2:12" x14ac:dyDescent="0.3">
      <c r="B688" s="22" t="s">
        <v>710</v>
      </c>
      <c r="C688" s="4" t="s">
        <v>15</v>
      </c>
      <c r="D688" s="4">
        <v>146</v>
      </c>
      <c r="E688" s="5" t="s">
        <v>11</v>
      </c>
      <c r="F688" s="9">
        <v>45162</v>
      </c>
      <c r="G688" s="4">
        <v>160</v>
      </c>
      <c r="H688" s="23">
        <v>4.0999999999999996</v>
      </c>
      <c r="I688">
        <f>IF(MONTH(Calls[[#This Row],[Date of Call]])&lt;6,YEAR(Calls[[#This Row],[Date of Call]]),YEAR(Calls[[#This Row],[Date of Call]])+1)</f>
        <v>2024</v>
      </c>
      <c r="J688" t="str">
        <f>TEXT(Calls[[#This Row],[Date of Call]],"DDDD")</f>
        <v>Thursday</v>
      </c>
      <c r="K688" t="str" cm="1">
        <f t="array" ref="K688">_xlfn.IFS(Calls[[#This Row],[Duration]]&lt;10,"Under 10 Mins",Calls[[#This Row],[Duration]]&lt;=30,"10 - 30 Mins",Calls[[#This Row],[Duration]]&lt;=60,"30 - 60 Mins",Calls[[#This Row],[Duration]]&lt;=120,"1 - 2 Hours",TRUE,"More than 2  Hours")</f>
        <v>More than 2  Hours</v>
      </c>
      <c r="L688">
        <f>ROUND(Calls[[#This Row],[Satisfaction Rating]],0)</f>
        <v>4</v>
      </c>
    </row>
    <row r="689" spans="2:12" x14ac:dyDescent="0.3">
      <c r="B689" s="22" t="s">
        <v>711</v>
      </c>
      <c r="C689" s="4" t="s">
        <v>16</v>
      </c>
      <c r="D689" s="4">
        <v>73</v>
      </c>
      <c r="E689" s="5" t="s">
        <v>13</v>
      </c>
      <c r="F689" s="9">
        <v>45163</v>
      </c>
      <c r="G689" s="4">
        <v>44</v>
      </c>
      <c r="H689" s="23">
        <v>3.8</v>
      </c>
      <c r="I689">
        <f>IF(MONTH(Calls[[#This Row],[Date of Call]])&lt;6,YEAR(Calls[[#This Row],[Date of Call]]),YEAR(Calls[[#This Row],[Date of Call]])+1)</f>
        <v>2024</v>
      </c>
      <c r="J689" t="str">
        <f>TEXT(Calls[[#This Row],[Date of Call]],"DDDD")</f>
        <v>Friday</v>
      </c>
      <c r="K689" t="str" cm="1">
        <f t="array" ref="K689">_xlfn.IFS(Calls[[#This Row],[Duration]]&lt;10,"Under 10 Mins",Calls[[#This Row],[Duration]]&lt;=30,"10 - 30 Mins",Calls[[#This Row],[Duration]]&lt;=60,"30 - 60 Mins",Calls[[#This Row],[Duration]]&lt;=120,"1 - 2 Hours",TRUE,"More than 2  Hours")</f>
        <v>1 - 2 Hours</v>
      </c>
      <c r="L689">
        <f>ROUND(Calls[[#This Row],[Satisfaction Rating]],0)</f>
        <v>4</v>
      </c>
    </row>
    <row r="690" spans="2:12" x14ac:dyDescent="0.3">
      <c r="B690" s="22" t="s">
        <v>712</v>
      </c>
      <c r="C690" s="4" t="s">
        <v>21</v>
      </c>
      <c r="D690" s="4">
        <v>108</v>
      </c>
      <c r="E690" s="5" t="s">
        <v>9</v>
      </c>
      <c r="F690" s="9">
        <v>45163</v>
      </c>
      <c r="G690" s="4">
        <v>80</v>
      </c>
      <c r="H690" s="23">
        <v>4.3</v>
      </c>
      <c r="I690">
        <f>IF(MONTH(Calls[[#This Row],[Date of Call]])&lt;6,YEAR(Calls[[#This Row],[Date of Call]]),YEAR(Calls[[#This Row],[Date of Call]])+1)</f>
        <v>2024</v>
      </c>
      <c r="J690" t="str">
        <f>TEXT(Calls[[#This Row],[Date of Call]],"DDDD")</f>
        <v>Friday</v>
      </c>
      <c r="K690" t="str" cm="1">
        <f t="array" ref="K690">_xlfn.IFS(Calls[[#This Row],[Duration]]&lt;10,"Under 10 Mins",Calls[[#This Row],[Duration]]&lt;=30,"10 - 30 Mins",Calls[[#This Row],[Duration]]&lt;=60,"30 - 60 Mins",Calls[[#This Row],[Duration]]&lt;=120,"1 - 2 Hours",TRUE,"More than 2  Hours")</f>
        <v>1 - 2 Hours</v>
      </c>
      <c r="L690">
        <f>ROUND(Calls[[#This Row],[Satisfaction Rating]],0)</f>
        <v>4</v>
      </c>
    </row>
    <row r="691" spans="2:12" x14ac:dyDescent="0.3">
      <c r="B691" s="22" t="s">
        <v>713</v>
      </c>
      <c r="C691" s="4" t="s">
        <v>7</v>
      </c>
      <c r="D691" s="4">
        <v>52</v>
      </c>
      <c r="E691" s="5" t="s">
        <v>9</v>
      </c>
      <c r="F691" s="9">
        <v>45164</v>
      </c>
      <c r="G691" s="4">
        <v>66</v>
      </c>
      <c r="H691" s="23">
        <v>4.5</v>
      </c>
      <c r="I691">
        <f>IF(MONTH(Calls[[#This Row],[Date of Call]])&lt;6,YEAR(Calls[[#This Row],[Date of Call]]),YEAR(Calls[[#This Row],[Date of Call]])+1)</f>
        <v>2024</v>
      </c>
      <c r="J691" t="str">
        <f>TEXT(Calls[[#This Row],[Date of Call]],"DDDD")</f>
        <v>Saturday</v>
      </c>
      <c r="K691" t="str" cm="1">
        <f t="array" ref="K691">_xlfn.IFS(Calls[[#This Row],[Duration]]&lt;10,"Under 10 Mins",Calls[[#This Row],[Duration]]&lt;=30,"10 - 30 Mins",Calls[[#This Row],[Duration]]&lt;=60,"30 - 60 Mins",Calls[[#This Row],[Duration]]&lt;=120,"1 - 2 Hours",TRUE,"More than 2  Hours")</f>
        <v>30 - 60 Mins</v>
      </c>
      <c r="L691">
        <f>ROUND(Calls[[#This Row],[Satisfaction Rating]],0)</f>
        <v>5</v>
      </c>
    </row>
    <row r="692" spans="2:12" x14ac:dyDescent="0.3">
      <c r="B692" s="22" t="s">
        <v>714</v>
      </c>
      <c r="C692" s="4" t="s">
        <v>17</v>
      </c>
      <c r="D692" s="4">
        <v>165</v>
      </c>
      <c r="E692" s="5" t="s">
        <v>6</v>
      </c>
      <c r="F692" s="9">
        <v>45164</v>
      </c>
      <c r="G692" s="4">
        <v>82</v>
      </c>
      <c r="H692" s="23">
        <v>3.4</v>
      </c>
      <c r="I692">
        <f>IF(MONTH(Calls[[#This Row],[Date of Call]])&lt;6,YEAR(Calls[[#This Row],[Date of Call]]),YEAR(Calls[[#This Row],[Date of Call]])+1)</f>
        <v>2024</v>
      </c>
      <c r="J692" t="str">
        <f>TEXT(Calls[[#This Row],[Date of Call]],"DDDD")</f>
        <v>Saturday</v>
      </c>
      <c r="K692" t="str" cm="1">
        <f t="array" ref="K692">_xlfn.IFS(Calls[[#This Row],[Duration]]&lt;10,"Under 10 Mins",Calls[[#This Row],[Duration]]&lt;=30,"10 - 30 Mins",Calls[[#This Row],[Duration]]&lt;=60,"30 - 60 Mins",Calls[[#This Row],[Duration]]&lt;=120,"1 - 2 Hours",TRUE,"More than 2  Hours")</f>
        <v>More than 2  Hours</v>
      </c>
      <c r="L692">
        <f>ROUND(Calls[[#This Row],[Satisfaction Rating]],0)</f>
        <v>3</v>
      </c>
    </row>
    <row r="693" spans="2:12" x14ac:dyDescent="0.3">
      <c r="B693" s="22" t="s">
        <v>715</v>
      </c>
      <c r="C693" s="4" t="s">
        <v>15</v>
      </c>
      <c r="D693" s="4">
        <v>104</v>
      </c>
      <c r="E693" s="5" t="s">
        <v>13</v>
      </c>
      <c r="F693" s="9">
        <v>45164</v>
      </c>
      <c r="G693" s="4">
        <v>66</v>
      </c>
      <c r="H693" s="23">
        <v>4.8</v>
      </c>
      <c r="I693">
        <f>IF(MONTH(Calls[[#This Row],[Date of Call]])&lt;6,YEAR(Calls[[#This Row],[Date of Call]]),YEAR(Calls[[#This Row],[Date of Call]])+1)</f>
        <v>2024</v>
      </c>
      <c r="J693" t="str">
        <f>TEXT(Calls[[#This Row],[Date of Call]],"DDDD")</f>
        <v>Saturday</v>
      </c>
      <c r="K693" t="str" cm="1">
        <f t="array" ref="K693">_xlfn.IFS(Calls[[#This Row],[Duration]]&lt;10,"Under 10 Mins",Calls[[#This Row],[Duration]]&lt;=30,"10 - 30 Mins",Calls[[#This Row],[Duration]]&lt;=60,"30 - 60 Mins",Calls[[#This Row],[Duration]]&lt;=120,"1 - 2 Hours",TRUE,"More than 2  Hours")</f>
        <v>1 - 2 Hours</v>
      </c>
      <c r="L693">
        <f>ROUND(Calls[[#This Row],[Satisfaction Rating]],0)</f>
        <v>5</v>
      </c>
    </row>
    <row r="694" spans="2:12" x14ac:dyDescent="0.3">
      <c r="B694" s="22" t="s">
        <v>716</v>
      </c>
      <c r="C694" s="4" t="s">
        <v>16</v>
      </c>
      <c r="D694" s="4">
        <v>131</v>
      </c>
      <c r="E694" s="5" t="s">
        <v>11</v>
      </c>
      <c r="F694" s="9">
        <v>45164</v>
      </c>
      <c r="G694" s="4">
        <v>92</v>
      </c>
      <c r="H694" s="23">
        <v>4.9000000000000004</v>
      </c>
      <c r="I694">
        <f>IF(MONTH(Calls[[#This Row],[Date of Call]])&lt;6,YEAR(Calls[[#This Row],[Date of Call]]),YEAR(Calls[[#This Row],[Date of Call]])+1)</f>
        <v>2024</v>
      </c>
      <c r="J694" t="str">
        <f>TEXT(Calls[[#This Row],[Date of Call]],"DDDD")</f>
        <v>Saturday</v>
      </c>
      <c r="K694" t="str" cm="1">
        <f t="array" ref="K694">_xlfn.IFS(Calls[[#This Row],[Duration]]&lt;10,"Under 10 Mins",Calls[[#This Row],[Duration]]&lt;=30,"10 - 30 Mins",Calls[[#This Row],[Duration]]&lt;=60,"30 - 60 Mins",Calls[[#This Row],[Duration]]&lt;=120,"1 - 2 Hours",TRUE,"More than 2  Hours")</f>
        <v>More than 2  Hours</v>
      </c>
      <c r="L694">
        <f>ROUND(Calls[[#This Row],[Satisfaction Rating]],0)</f>
        <v>5</v>
      </c>
    </row>
    <row r="695" spans="2:12" x14ac:dyDescent="0.3">
      <c r="B695" s="22" t="s">
        <v>717</v>
      </c>
      <c r="C695" s="4" t="s">
        <v>19</v>
      </c>
      <c r="D695" s="4">
        <v>80</v>
      </c>
      <c r="E695" s="5" t="s">
        <v>6</v>
      </c>
      <c r="F695" s="9">
        <v>45165</v>
      </c>
      <c r="G695" s="4">
        <v>104</v>
      </c>
      <c r="H695" s="23">
        <v>4.7</v>
      </c>
      <c r="I695">
        <f>IF(MONTH(Calls[[#This Row],[Date of Call]])&lt;6,YEAR(Calls[[#This Row],[Date of Call]]),YEAR(Calls[[#This Row],[Date of Call]])+1)</f>
        <v>2024</v>
      </c>
      <c r="J695" t="str">
        <f>TEXT(Calls[[#This Row],[Date of Call]],"DDDD")</f>
        <v>Sunday</v>
      </c>
      <c r="K695" t="str" cm="1">
        <f t="array" ref="K695">_xlfn.IFS(Calls[[#This Row],[Duration]]&lt;10,"Under 10 Mins",Calls[[#This Row],[Duration]]&lt;=30,"10 - 30 Mins",Calls[[#This Row],[Duration]]&lt;=60,"30 - 60 Mins",Calls[[#This Row],[Duration]]&lt;=120,"1 - 2 Hours",TRUE,"More than 2  Hours")</f>
        <v>1 - 2 Hours</v>
      </c>
      <c r="L695">
        <f>ROUND(Calls[[#This Row],[Satisfaction Rating]],0)</f>
        <v>5</v>
      </c>
    </row>
    <row r="696" spans="2:12" x14ac:dyDescent="0.3">
      <c r="B696" s="22" t="s">
        <v>718</v>
      </c>
      <c r="C696" s="4" t="s">
        <v>8</v>
      </c>
      <c r="D696" s="4">
        <v>49</v>
      </c>
      <c r="E696" s="5" t="s">
        <v>13</v>
      </c>
      <c r="F696" s="9">
        <v>45165</v>
      </c>
      <c r="G696" s="4">
        <v>105</v>
      </c>
      <c r="H696" s="23">
        <v>3.3</v>
      </c>
      <c r="I696">
        <f>IF(MONTH(Calls[[#This Row],[Date of Call]])&lt;6,YEAR(Calls[[#This Row],[Date of Call]]),YEAR(Calls[[#This Row],[Date of Call]])+1)</f>
        <v>2024</v>
      </c>
      <c r="J696" t="str">
        <f>TEXT(Calls[[#This Row],[Date of Call]],"DDDD")</f>
        <v>Sunday</v>
      </c>
      <c r="K696" t="str" cm="1">
        <f t="array" ref="K696">_xlfn.IFS(Calls[[#This Row],[Duration]]&lt;10,"Under 10 Mins",Calls[[#This Row],[Duration]]&lt;=30,"10 - 30 Mins",Calls[[#This Row],[Duration]]&lt;=60,"30 - 60 Mins",Calls[[#This Row],[Duration]]&lt;=120,"1 - 2 Hours",TRUE,"More than 2  Hours")</f>
        <v>30 - 60 Mins</v>
      </c>
      <c r="L696">
        <f>ROUND(Calls[[#This Row],[Satisfaction Rating]],0)</f>
        <v>3</v>
      </c>
    </row>
    <row r="697" spans="2:12" x14ac:dyDescent="0.3">
      <c r="B697" s="22" t="s">
        <v>719</v>
      </c>
      <c r="C697" s="4" t="s">
        <v>17</v>
      </c>
      <c r="D697" s="4">
        <v>73</v>
      </c>
      <c r="E697" s="5" t="s">
        <v>13</v>
      </c>
      <c r="F697" s="9">
        <v>45165</v>
      </c>
      <c r="G697" s="4">
        <v>100</v>
      </c>
      <c r="H697" s="23">
        <v>2.8</v>
      </c>
      <c r="I697">
        <f>IF(MONTH(Calls[[#This Row],[Date of Call]])&lt;6,YEAR(Calls[[#This Row],[Date of Call]]),YEAR(Calls[[#This Row],[Date of Call]])+1)</f>
        <v>2024</v>
      </c>
      <c r="J697" t="str">
        <f>TEXT(Calls[[#This Row],[Date of Call]],"DDDD")</f>
        <v>Sunday</v>
      </c>
      <c r="K697" t="str" cm="1">
        <f t="array" ref="K697">_xlfn.IFS(Calls[[#This Row],[Duration]]&lt;10,"Under 10 Mins",Calls[[#This Row],[Duration]]&lt;=30,"10 - 30 Mins",Calls[[#This Row],[Duration]]&lt;=60,"30 - 60 Mins",Calls[[#This Row],[Duration]]&lt;=120,"1 - 2 Hours",TRUE,"More than 2  Hours")</f>
        <v>1 - 2 Hours</v>
      </c>
      <c r="L697">
        <f>ROUND(Calls[[#This Row],[Satisfaction Rating]],0)</f>
        <v>3</v>
      </c>
    </row>
    <row r="698" spans="2:12" x14ac:dyDescent="0.3">
      <c r="B698" s="22" t="s">
        <v>720</v>
      </c>
      <c r="C698" s="4" t="s">
        <v>15</v>
      </c>
      <c r="D698" s="4">
        <v>117</v>
      </c>
      <c r="E698" s="5" t="s">
        <v>6</v>
      </c>
      <c r="F698" s="9">
        <v>45165</v>
      </c>
      <c r="G698" s="4">
        <v>90</v>
      </c>
      <c r="H698" s="23">
        <v>4.0999999999999996</v>
      </c>
      <c r="I698">
        <f>IF(MONTH(Calls[[#This Row],[Date of Call]])&lt;6,YEAR(Calls[[#This Row],[Date of Call]]),YEAR(Calls[[#This Row],[Date of Call]])+1)</f>
        <v>2024</v>
      </c>
      <c r="J698" t="str">
        <f>TEXT(Calls[[#This Row],[Date of Call]],"DDDD")</f>
        <v>Sunday</v>
      </c>
      <c r="K698" t="str" cm="1">
        <f t="array" ref="K698">_xlfn.IFS(Calls[[#This Row],[Duration]]&lt;10,"Under 10 Mins",Calls[[#This Row],[Duration]]&lt;=30,"10 - 30 Mins",Calls[[#This Row],[Duration]]&lt;=60,"30 - 60 Mins",Calls[[#This Row],[Duration]]&lt;=120,"1 - 2 Hours",TRUE,"More than 2  Hours")</f>
        <v>1 - 2 Hours</v>
      </c>
      <c r="L698">
        <f>ROUND(Calls[[#This Row],[Satisfaction Rating]],0)</f>
        <v>4</v>
      </c>
    </row>
    <row r="699" spans="2:12" x14ac:dyDescent="0.3">
      <c r="B699" s="22" t="s">
        <v>721</v>
      </c>
      <c r="C699" s="4" t="s">
        <v>23</v>
      </c>
      <c r="D699" s="4">
        <v>38</v>
      </c>
      <c r="E699" s="5" t="s">
        <v>10</v>
      </c>
      <c r="F699" s="9">
        <v>45165</v>
      </c>
      <c r="G699" s="4">
        <v>110</v>
      </c>
      <c r="H699" s="23">
        <v>3.5</v>
      </c>
      <c r="I699">
        <f>IF(MONTH(Calls[[#This Row],[Date of Call]])&lt;6,YEAR(Calls[[#This Row],[Date of Call]]),YEAR(Calls[[#This Row],[Date of Call]])+1)</f>
        <v>2024</v>
      </c>
      <c r="J699" t="str">
        <f>TEXT(Calls[[#This Row],[Date of Call]],"DDDD")</f>
        <v>Sunday</v>
      </c>
      <c r="K699" t="str" cm="1">
        <f t="array" ref="K699">_xlfn.IFS(Calls[[#This Row],[Duration]]&lt;10,"Under 10 Mins",Calls[[#This Row],[Duration]]&lt;=30,"10 - 30 Mins",Calls[[#This Row],[Duration]]&lt;=60,"30 - 60 Mins",Calls[[#This Row],[Duration]]&lt;=120,"1 - 2 Hours",TRUE,"More than 2  Hours")</f>
        <v>30 - 60 Mins</v>
      </c>
      <c r="L699">
        <f>ROUND(Calls[[#This Row],[Satisfaction Rating]],0)</f>
        <v>4</v>
      </c>
    </row>
    <row r="700" spans="2:12" x14ac:dyDescent="0.3">
      <c r="B700" s="22" t="s">
        <v>722</v>
      </c>
      <c r="C700" s="4" t="s">
        <v>7</v>
      </c>
      <c r="D700" s="4">
        <v>109</v>
      </c>
      <c r="E700" s="5" t="s">
        <v>6</v>
      </c>
      <c r="F700" s="9">
        <v>45167</v>
      </c>
      <c r="G700" s="4">
        <v>68</v>
      </c>
      <c r="H700" s="23">
        <v>2.2999999999999998</v>
      </c>
      <c r="I700">
        <f>IF(MONTH(Calls[[#This Row],[Date of Call]])&lt;6,YEAR(Calls[[#This Row],[Date of Call]]),YEAR(Calls[[#This Row],[Date of Call]])+1)</f>
        <v>2024</v>
      </c>
      <c r="J700" t="str">
        <f>TEXT(Calls[[#This Row],[Date of Call]],"DDDD")</f>
        <v>Tuesday</v>
      </c>
      <c r="K700" t="str" cm="1">
        <f t="array" ref="K700">_xlfn.IFS(Calls[[#This Row],[Duration]]&lt;10,"Under 10 Mins",Calls[[#This Row],[Duration]]&lt;=30,"10 - 30 Mins",Calls[[#This Row],[Duration]]&lt;=60,"30 - 60 Mins",Calls[[#This Row],[Duration]]&lt;=120,"1 - 2 Hours",TRUE,"More than 2  Hours")</f>
        <v>1 - 2 Hours</v>
      </c>
      <c r="L700">
        <f>ROUND(Calls[[#This Row],[Satisfaction Rating]],0)</f>
        <v>2</v>
      </c>
    </row>
    <row r="701" spans="2:12" x14ac:dyDescent="0.3">
      <c r="B701" s="22" t="s">
        <v>723</v>
      </c>
      <c r="C701" s="4" t="s">
        <v>8</v>
      </c>
      <c r="D701" s="4">
        <v>70</v>
      </c>
      <c r="E701" s="5" t="s">
        <v>9</v>
      </c>
      <c r="F701" s="9">
        <v>45168</v>
      </c>
      <c r="G701" s="4">
        <v>210</v>
      </c>
      <c r="H701" s="23">
        <v>4.0999999999999996</v>
      </c>
      <c r="I701">
        <f>IF(MONTH(Calls[[#This Row],[Date of Call]])&lt;6,YEAR(Calls[[#This Row],[Date of Call]]),YEAR(Calls[[#This Row],[Date of Call]])+1)</f>
        <v>2024</v>
      </c>
      <c r="J701" t="str">
        <f>TEXT(Calls[[#This Row],[Date of Call]],"DDDD")</f>
        <v>Wednesday</v>
      </c>
      <c r="K701" t="str" cm="1">
        <f t="array" ref="K701">_xlfn.IFS(Calls[[#This Row],[Duration]]&lt;10,"Under 10 Mins",Calls[[#This Row],[Duration]]&lt;=30,"10 - 30 Mins",Calls[[#This Row],[Duration]]&lt;=60,"30 - 60 Mins",Calls[[#This Row],[Duration]]&lt;=120,"1 - 2 Hours",TRUE,"More than 2  Hours")</f>
        <v>1 - 2 Hours</v>
      </c>
      <c r="L701">
        <f>ROUND(Calls[[#This Row],[Satisfaction Rating]],0)</f>
        <v>4</v>
      </c>
    </row>
    <row r="702" spans="2:12" x14ac:dyDescent="0.3">
      <c r="B702" s="22" t="s">
        <v>724</v>
      </c>
      <c r="C702" s="4" t="s">
        <v>12</v>
      </c>
      <c r="D702" s="4">
        <v>51</v>
      </c>
      <c r="E702" s="5" t="s">
        <v>10</v>
      </c>
      <c r="F702" s="9">
        <v>45168</v>
      </c>
      <c r="G702" s="4">
        <v>111</v>
      </c>
      <c r="H702" s="23">
        <v>4.3</v>
      </c>
      <c r="I702">
        <f>IF(MONTH(Calls[[#This Row],[Date of Call]])&lt;6,YEAR(Calls[[#This Row],[Date of Call]]),YEAR(Calls[[#This Row],[Date of Call]])+1)</f>
        <v>2024</v>
      </c>
      <c r="J702" t="str">
        <f>TEXT(Calls[[#This Row],[Date of Call]],"DDDD")</f>
        <v>Wednesday</v>
      </c>
      <c r="K702" t="str" cm="1">
        <f t="array" ref="K702">_xlfn.IFS(Calls[[#This Row],[Duration]]&lt;10,"Under 10 Mins",Calls[[#This Row],[Duration]]&lt;=30,"10 - 30 Mins",Calls[[#This Row],[Duration]]&lt;=60,"30 - 60 Mins",Calls[[#This Row],[Duration]]&lt;=120,"1 - 2 Hours",TRUE,"More than 2  Hours")</f>
        <v>30 - 60 Mins</v>
      </c>
      <c r="L702">
        <f>ROUND(Calls[[#This Row],[Satisfaction Rating]],0)</f>
        <v>4</v>
      </c>
    </row>
    <row r="703" spans="2:12" x14ac:dyDescent="0.3">
      <c r="B703" s="22" t="s">
        <v>725</v>
      </c>
      <c r="C703" s="4" t="s">
        <v>12</v>
      </c>
      <c r="D703" s="4">
        <v>100</v>
      </c>
      <c r="E703" s="5" t="s">
        <v>9</v>
      </c>
      <c r="F703" s="9">
        <v>45169</v>
      </c>
      <c r="G703" s="4">
        <v>45</v>
      </c>
      <c r="H703" s="23">
        <v>4.9000000000000004</v>
      </c>
      <c r="I703">
        <f>IF(MONTH(Calls[[#This Row],[Date of Call]])&lt;6,YEAR(Calls[[#This Row],[Date of Call]]),YEAR(Calls[[#This Row],[Date of Call]])+1)</f>
        <v>2024</v>
      </c>
      <c r="J703" t="str">
        <f>TEXT(Calls[[#This Row],[Date of Call]],"DDDD")</f>
        <v>Thursday</v>
      </c>
      <c r="K703" t="str" cm="1">
        <f t="array" ref="K703">_xlfn.IFS(Calls[[#This Row],[Duration]]&lt;10,"Under 10 Mins",Calls[[#This Row],[Duration]]&lt;=30,"10 - 30 Mins",Calls[[#This Row],[Duration]]&lt;=60,"30 - 60 Mins",Calls[[#This Row],[Duration]]&lt;=120,"1 - 2 Hours",TRUE,"More than 2  Hours")</f>
        <v>1 - 2 Hours</v>
      </c>
      <c r="L703">
        <f>ROUND(Calls[[#This Row],[Satisfaction Rating]],0)</f>
        <v>5</v>
      </c>
    </row>
    <row r="704" spans="2:12" x14ac:dyDescent="0.3">
      <c r="B704" s="22" t="s">
        <v>726</v>
      </c>
      <c r="C704" s="4" t="s">
        <v>14</v>
      </c>
      <c r="D704" s="4">
        <v>124</v>
      </c>
      <c r="E704" s="5" t="s">
        <v>10</v>
      </c>
      <c r="F704" s="9">
        <v>45170</v>
      </c>
      <c r="G704" s="4">
        <v>132</v>
      </c>
      <c r="H704" s="23">
        <v>4</v>
      </c>
      <c r="I704">
        <f>IF(MONTH(Calls[[#This Row],[Date of Call]])&lt;6,YEAR(Calls[[#This Row],[Date of Call]]),YEAR(Calls[[#This Row],[Date of Call]])+1)</f>
        <v>2024</v>
      </c>
      <c r="J704" t="str">
        <f>TEXT(Calls[[#This Row],[Date of Call]],"DDDD")</f>
        <v>Friday</v>
      </c>
      <c r="K704" t="str" cm="1">
        <f t="array" ref="K704">_xlfn.IFS(Calls[[#This Row],[Duration]]&lt;10,"Under 10 Mins",Calls[[#This Row],[Duration]]&lt;=30,"10 - 30 Mins",Calls[[#This Row],[Duration]]&lt;=60,"30 - 60 Mins",Calls[[#This Row],[Duration]]&lt;=120,"1 - 2 Hours",TRUE,"More than 2  Hours")</f>
        <v>More than 2  Hours</v>
      </c>
      <c r="L704">
        <f>ROUND(Calls[[#This Row],[Satisfaction Rating]],0)</f>
        <v>4</v>
      </c>
    </row>
    <row r="705" spans="2:12" x14ac:dyDescent="0.3">
      <c r="B705" s="22" t="s">
        <v>727</v>
      </c>
      <c r="C705" s="4" t="s">
        <v>20</v>
      </c>
      <c r="D705" s="4">
        <v>143</v>
      </c>
      <c r="E705" s="5" t="s">
        <v>6</v>
      </c>
      <c r="F705" s="9">
        <v>45170</v>
      </c>
      <c r="G705" s="4">
        <v>20</v>
      </c>
      <c r="H705" s="23">
        <v>4.7</v>
      </c>
      <c r="I705">
        <f>IF(MONTH(Calls[[#This Row],[Date of Call]])&lt;6,YEAR(Calls[[#This Row],[Date of Call]]),YEAR(Calls[[#This Row],[Date of Call]])+1)</f>
        <v>2024</v>
      </c>
      <c r="J705" t="str">
        <f>TEXT(Calls[[#This Row],[Date of Call]],"DDDD")</f>
        <v>Friday</v>
      </c>
      <c r="K705" t="str" cm="1">
        <f t="array" ref="K705">_xlfn.IFS(Calls[[#This Row],[Duration]]&lt;10,"Under 10 Mins",Calls[[#This Row],[Duration]]&lt;=30,"10 - 30 Mins",Calls[[#This Row],[Duration]]&lt;=60,"30 - 60 Mins",Calls[[#This Row],[Duration]]&lt;=120,"1 - 2 Hours",TRUE,"More than 2  Hours")</f>
        <v>More than 2  Hours</v>
      </c>
      <c r="L705">
        <f>ROUND(Calls[[#This Row],[Satisfaction Rating]],0)</f>
        <v>5</v>
      </c>
    </row>
    <row r="706" spans="2:12" x14ac:dyDescent="0.3">
      <c r="B706" s="22" t="s">
        <v>728</v>
      </c>
      <c r="C706" s="4" t="s">
        <v>18</v>
      </c>
      <c r="D706" s="4">
        <v>96</v>
      </c>
      <c r="E706" s="5" t="s">
        <v>13</v>
      </c>
      <c r="F706" s="9">
        <v>45170</v>
      </c>
      <c r="G706" s="4">
        <v>36</v>
      </c>
      <c r="H706" s="23">
        <v>3.4</v>
      </c>
      <c r="I706">
        <f>IF(MONTH(Calls[[#This Row],[Date of Call]])&lt;6,YEAR(Calls[[#This Row],[Date of Call]]),YEAR(Calls[[#This Row],[Date of Call]])+1)</f>
        <v>2024</v>
      </c>
      <c r="J706" t="str">
        <f>TEXT(Calls[[#This Row],[Date of Call]],"DDDD")</f>
        <v>Friday</v>
      </c>
      <c r="K706" t="str" cm="1">
        <f t="array" ref="K706">_xlfn.IFS(Calls[[#This Row],[Duration]]&lt;10,"Under 10 Mins",Calls[[#This Row],[Duration]]&lt;=30,"10 - 30 Mins",Calls[[#This Row],[Duration]]&lt;=60,"30 - 60 Mins",Calls[[#This Row],[Duration]]&lt;=120,"1 - 2 Hours",TRUE,"More than 2  Hours")</f>
        <v>1 - 2 Hours</v>
      </c>
      <c r="L706">
        <f>ROUND(Calls[[#This Row],[Satisfaction Rating]],0)</f>
        <v>3</v>
      </c>
    </row>
    <row r="707" spans="2:12" x14ac:dyDescent="0.3">
      <c r="B707" s="22" t="s">
        <v>729</v>
      </c>
      <c r="C707" s="4" t="s">
        <v>17</v>
      </c>
      <c r="D707" s="4">
        <v>84</v>
      </c>
      <c r="E707" s="5" t="s">
        <v>9</v>
      </c>
      <c r="F707" s="9">
        <v>45172</v>
      </c>
      <c r="G707" s="4">
        <v>72</v>
      </c>
      <c r="H707" s="23">
        <v>4</v>
      </c>
      <c r="I707">
        <f>IF(MONTH(Calls[[#This Row],[Date of Call]])&lt;6,YEAR(Calls[[#This Row],[Date of Call]]),YEAR(Calls[[#This Row],[Date of Call]])+1)</f>
        <v>2024</v>
      </c>
      <c r="J707" t="str">
        <f>TEXT(Calls[[#This Row],[Date of Call]],"DDDD")</f>
        <v>Sunday</v>
      </c>
      <c r="K707" t="str" cm="1">
        <f t="array" ref="K707">_xlfn.IFS(Calls[[#This Row],[Duration]]&lt;10,"Under 10 Mins",Calls[[#This Row],[Duration]]&lt;=30,"10 - 30 Mins",Calls[[#This Row],[Duration]]&lt;=60,"30 - 60 Mins",Calls[[#This Row],[Duration]]&lt;=120,"1 - 2 Hours",TRUE,"More than 2  Hours")</f>
        <v>1 - 2 Hours</v>
      </c>
      <c r="L707">
        <f>ROUND(Calls[[#This Row],[Satisfaction Rating]],0)</f>
        <v>4</v>
      </c>
    </row>
    <row r="708" spans="2:12" x14ac:dyDescent="0.3">
      <c r="B708" s="22" t="s">
        <v>730</v>
      </c>
      <c r="C708" s="4" t="s">
        <v>22</v>
      </c>
      <c r="D708" s="4">
        <v>111</v>
      </c>
      <c r="E708" s="5" t="s">
        <v>9</v>
      </c>
      <c r="F708" s="9">
        <v>45172</v>
      </c>
      <c r="G708" s="4">
        <v>63</v>
      </c>
      <c r="H708" s="23">
        <v>4.5</v>
      </c>
      <c r="I708">
        <f>IF(MONTH(Calls[[#This Row],[Date of Call]])&lt;6,YEAR(Calls[[#This Row],[Date of Call]]),YEAR(Calls[[#This Row],[Date of Call]])+1)</f>
        <v>2024</v>
      </c>
      <c r="J708" t="str">
        <f>TEXT(Calls[[#This Row],[Date of Call]],"DDDD")</f>
        <v>Sunday</v>
      </c>
      <c r="K708" t="str" cm="1">
        <f t="array" ref="K708">_xlfn.IFS(Calls[[#This Row],[Duration]]&lt;10,"Under 10 Mins",Calls[[#This Row],[Duration]]&lt;=30,"10 - 30 Mins",Calls[[#This Row],[Duration]]&lt;=60,"30 - 60 Mins",Calls[[#This Row],[Duration]]&lt;=120,"1 - 2 Hours",TRUE,"More than 2  Hours")</f>
        <v>1 - 2 Hours</v>
      </c>
      <c r="L708">
        <f>ROUND(Calls[[#This Row],[Satisfaction Rating]],0)</f>
        <v>5</v>
      </c>
    </row>
    <row r="709" spans="2:12" x14ac:dyDescent="0.3">
      <c r="B709" s="22" t="s">
        <v>731</v>
      </c>
      <c r="C709" s="4" t="s">
        <v>22</v>
      </c>
      <c r="D709" s="4">
        <v>103</v>
      </c>
      <c r="E709" s="5" t="s">
        <v>10</v>
      </c>
      <c r="F709" s="9">
        <v>45173</v>
      </c>
      <c r="G709" s="4">
        <v>44</v>
      </c>
      <c r="H709" s="23">
        <v>4.5</v>
      </c>
      <c r="I709">
        <f>IF(MONTH(Calls[[#This Row],[Date of Call]])&lt;6,YEAR(Calls[[#This Row],[Date of Call]]),YEAR(Calls[[#This Row],[Date of Call]])+1)</f>
        <v>2024</v>
      </c>
      <c r="J709" t="str">
        <f>TEXT(Calls[[#This Row],[Date of Call]],"DDDD")</f>
        <v>Monday</v>
      </c>
      <c r="K709" t="str" cm="1">
        <f t="array" ref="K709">_xlfn.IFS(Calls[[#This Row],[Duration]]&lt;10,"Under 10 Mins",Calls[[#This Row],[Duration]]&lt;=30,"10 - 30 Mins",Calls[[#This Row],[Duration]]&lt;=60,"30 - 60 Mins",Calls[[#This Row],[Duration]]&lt;=120,"1 - 2 Hours",TRUE,"More than 2  Hours")</f>
        <v>1 - 2 Hours</v>
      </c>
      <c r="L709">
        <f>ROUND(Calls[[#This Row],[Satisfaction Rating]],0)</f>
        <v>5</v>
      </c>
    </row>
    <row r="710" spans="2:12" x14ac:dyDescent="0.3">
      <c r="B710" s="22" t="s">
        <v>732</v>
      </c>
      <c r="C710" s="4" t="s">
        <v>20</v>
      </c>
      <c r="D710" s="4">
        <v>61</v>
      </c>
      <c r="E710" s="5" t="s">
        <v>11</v>
      </c>
      <c r="F710" s="9">
        <v>45173</v>
      </c>
      <c r="G710" s="4">
        <v>132</v>
      </c>
      <c r="H710" s="23">
        <v>4.9000000000000004</v>
      </c>
      <c r="I710">
        <f>IF(MONTH(Calls[[#This Row],[Date of Call]])&lt;6,YEAR(Calls[[#This Row],[Date of Call]]),YEAR(Calls[[#This Row],[Date of Call]])+1)</f>
        <v>2024</v>
      </c>
      <c r="J710" t="str">
        <f>TEXT(Calls[[#This Row],[Date of Call]],"DDDD")</f>
        <v>Monday</v>
      </c>
      <c r="K710" t="str" cm="1">
        <f t="array" ref="K710">_xlfn.IFS(Calls[[#This Row],[Duration]]&lt;10,"Under 10 Mins",Calls[[#This Row],[Duration]]&lt;=30,"10 - 30 Mins",Calls[[#This Row],[Duration]]&lt;=60,"30 - 60 Mins",Calls[[#This Row],[Duration]]&lt;=120,"1 - 2 Hours",TRUE,"More than 2  Hours")</f>
        <v>1 - 2 Hours</v>
      </c>
      <c r="L710">
        <f>ROUND(Calls[[#This Row],[Satisfaction Rating]],0)</f>
        <v>5</v>
      </c>
    </row>
    <row r="711" spans="2:12" x14ac:dyDescent="0.3">
      <c r="B711" s="22" t="s">
        <v>733</v>
      </c>
      <c r="C711" s="4" t="s">
        <v>16</v>
      </c>
      <c r="D711" s="4">
        <v>113</v>
      </c>
      <c r="E711" s="5" t="s">
        <v>13</v>
      </c>
      <c r="F711" s="9">
        <v>45173</v>
      </c>
      <c r="G711" s="4">
        <v>46</v>
      </c>
      <c r="H711" s="23">
        <v>4.4000000000000004</v>
      </c>
      <c r="I711">
        <f>IF(MONTH(Calls[[#This Row],[Date of Call]])&lt;6,YEAR(Calls[[#This Row],[Date of Call]]),YEAR(Calls[[#This Row],[Date of Call]])+1)</f>
        <v>2024</v>
      </c>
      <c r="J711" t="str">
        <f>TEXT(Calls[[#This Row],[Date of Call]],"DDDD")</f>
        <v>Monday</v>
      </c>
      <c r="K711" t="str" cm="1">
        <f t="array" ref="K711">_xlfn.IFS(Calls[[#This Row],[Duration]]&lt;10,"Under 10 Mins",Calls[[#This Row],[Duration]]&lt;=30,"10 - 30 Mins",Calls[[#This Row],[Duration]]&lt;=60,"30 - 60 Mins",Calls[[#This Row],[Duration]]&lt;=120,"1 - 2 Hours",TRUE,"More than 2  Hours")</f>
        <v>1 - 2 Hours</v>
      </c>
      <c r="L711">
        <f>ROUND(Calls[[#This Row],[Satisfaction Rating]],0)</f>
        <v>4</v>
      </c>
    </row>
    <row r="712" spans="2:12" x14ac:dyDescent="0.3">
      <c r="B712" s="22" t="s">
        <v>734</v>
      </c>
      <c r="C712" s="4" t="s">
        <v>16</v>
      </c>
      <c r="D712" s="4">
        <v>96</v>
      </c>
      <c r="E712" s="5" t="s">
        <v>13</v>
      </c>
      <c r="F712" s="9">
        <v>45173</v>
      </c>
      <c r="G712" s="4">
        <v>96</v>
      </c>
      <c r="H712" s="23">
        <v>2.9</v>
      </c>
      <c r="I712">
        <f>IF(MONTH(Calls[[#This Row],[Date of Call]])&lt;6,YEAR(Calls[[#This Row],[Date of Call]]),YEAR(Calls[[#This Row],[Date of Call]])+1)</f>
        <v>2024</v>
      </c>
      <c r="J712" t="str">
        <f>TEXT(Calls[[#This Row],[Date of Call]],"DDDD")</f>
        <v>Monday</v>
      </c>
      <c r="K712" t="str" cm="1">
        <f t="array" ref="K712">_xlfn.IFS(Calls[[#This Row],[Duration]]&lt;10,"Under 10 Mins",Calls[[#This Row],[Duration]]&lt;=30,"10 - 30 Mins",Calls[[#This Row],[Duration]]&lt;=60,"30 - 60 Mins",Calls[[#This Row],[Duration]]&lt;=120,"1 - 2 Hours",TRUE,"More than 2  Hours")</f>
        <v>1 - 2 Hours</v>
      </c>
      <c r="L712">
        <f>ROUND(Calls[[#This Row],[Satisfaction Rating]],0)</f>
        <v>3</v>
      </c>
    </row>
    <row r="713" spans="2:12" x14ac:dyDescent="0.3">
      <c r="B713" s="22" t="s">
        <v>735</v>
      </c>
      <c r="C713" s="4" t="s">
        <v>24</v>
      </c>
      <c r="D713" s="4">
        <v>131</v>
      </c>
      <c r="E713" s="5" t="s">
        <v>10</v>
      </c>
      <c r="F713" s="9">
        <v>45174</v>
      </c>
      <c r="G713" s="4">
        <v>75</v>
      </c>
      <c r="H713" s="23">
        <v>4.4000000000000004</v>
      </c>
      <c r="I713">
        <f>IF(MONTH(Calls[[#This Row],[Date of Call]])&lt;6,YEAR(Calls[[#This Row],[Date of Call]]),YEAR(Calls[[#This Row],[Date of Call]])+1)</f>
        <v>2024</v>
      </c>
      <c r="J713" t="str">
        <f>TEXT(Calls[[#This Row],[Date of Call]],"DDDD")</f>
        <v>Tuesday</v>
      </c>
      <c r="K713" t="str" cm="1">
        <f t="array" ref="K713">_xlfn.IFS(Calls[[#This Row],[Duration]]&lt;10,"Under 10 Mins",Calls[[#This Row],[Duration]]&lt;=30,"10 - 30 Mins",Calls[[#This Row],[Duration]]&lt;=60,"30 - 60 Mins",Calls[[#This Row],[Duration]]&lt;=120,"1 - 2 Hours",TRUE,"More than 2  Hours")</f>
        <v>More than 2  Hours</v>
      </c>
      <c r="L713">
        <f>ROUND(Calls[[#This Row],[Satisfaction Rating]],0)</f>
        <v>4</v>
      </c>
    </row>
    <row r="714" spans="2:12" x14ac:dyDescent="0.3">
      <c r="B714" s="22" t="s">
        <v>736</v>
      </c>
      <c r="C714" s="4" t="s">
        <v>15</v>
      </c>
      <c r="D714" s="4">
        <v>52</v>
      </c>
      <c r="E714" s="5" t="s">
        <v>13</v>
      </c>
      <c r="F714" s="9">
        <v>45175</v>
      </c>
      <c r="G714" s="4">
        <v>88</v>
      </c>
      <c r="H714" s="23">
        <v>4.3</v>
      </c>
      <c r="I714">
        <f>IF(MONTH(Calls[[#This Row],[Date of Call]])&lt;6,YEAR(Calls[[#This Row],[Date of Call]]),YEAR(Calls[[#This Row],[Date of Call]])+1)</f>
        <v>2024</v>
      </c>
      <c r="J714" t="str">
        <f>TEXT(Calls[[#This Row],[Date of Call]],"DDDD")</f>
        <v>Wednesday</v>
      </c>
      <c r="K714" t="str" cm="1">
        <f t="array" ref="K714">_xlfn.IFS(Calls[[#This Row],[Duration]]&lt;10,"Under 10 Mins",Calls[[#This Row],[Duration]]&lt;=30,"10 - 30 Mins",Calls[[#This Row],[Duration]]&lt;=60,"30 - 60 Mins",Calls[[#This Row],[Duration]]&lt;=120,"1 - 2 Hours",TRUE,"More than 2  Hours")</f>
        <v>30 - 60 Mins</v>
      </c>
      <c r="L714">
        <f>ROUND(Calls[[#This Row],[Satisfaction Rating]],0)</f>
        <v>4</v>
      </c>
    </row>
    <row r="715" spans="2:12" x14ac:dyDescent="0.3">
      <c r="B715" s="22" t="s">
        <v>737</v>
      </c>
      <c r="C715" s="4" t="s">
        <v>12</v>
      </c>
      <c r="D715" s="4">
        <v>100</v>
      </c>
      <c r="E715" s="5" t="s">
        <v>10</v>
      </c>
      <c r="F715" s="9">
        <v>45175</v>
      </c>
      <c r="G715" s="4">
        <v>24</v>
      </c>
      <c r="H715" s="23">
        <v>4.7</v>
      </c>
      <c r="I715">
        <f>IF(MONTH(Calls[[#This Row],[Date of Call]])&lt;6,YEAR(Calls[[#This Row],[Date of Call]]),YEAR(Calls[[#This Row],[Date of Call]])+1)</f>
        <v>2024</v>
      </c>
      <c r="J715" t="str">
        <f>TEXT(Calls[[#This Row],[Date of Call]],"DDDD")</f>
        <v>Wednesday</v>
      </c>
      <c r="K715" t="str" cm="1">
        <f t="array" ref="K715">_xlfn.IFS(Calls[[#This Row],[Duration]]&lt;10,"Under 10 Mins",Calls[[#This Row],[Duration]]&lt;=30,"10 - 30 Mins",Calls[[#This Row],[Duration]]&lt;=60,"30 - 60 Mins",Calls[[#This Row],[Duration]]&lt;=120,"1 - 2 Hours",TRUE,"More than 2  Hours")</f>
        <v>1 - 2 Hours</v>
      </c>
      <c r="L715">
        <f>ROUND(Calls[[#This Row],[Satisfaction Rating]],0)</f>
        <v>5</v>
      </c>
    </row>
    <row r="716" spans="2:12" x14ac:dyDescent="0.3">
      <c r="B716" s="22" t="s">
        <v>738</v>
      </c>
      <c r="C716" s="4" t="s">
        <v>21</v>
      </c>
      <c r="D716" s="4">
        <v>58</v>
      </c>
      <c r="E716" s="5" t="s">
        <v>6</v>
      </c>
      <c r="F716" s="9">
        <v>45175</v>
      </c>
      <c r="G716" s="4">
        <v>96</v>
      </c>
      <c r="H716" s="23">
        <v>3.2</v>
      </c>
      <c r="I716">
        <f>IF(MONTH(Calls[[#This Row],[Date of Call]])&lt;6,YEAR(Calls[[#This Row],[Date of Call]]),YEAR(Calls[[#This Row],[Date of Call]])+1)</f>
        <v>2024</v>
      </c>
      <c r="J716" t="str">
        <f>TEXT(Calls[[#This Row],[Date of Call]],"DDDD")</f>
        <v>Wednesday</v>
      </c>
      <c r="K716" t="str" cm="1">
        <f t="array" ref="K716">_xlfn.IFS(Calls[[#This Row],[Duration]]&lt;10,"Under 10 Mins",Calls[[#This Row],[Duration]]&lt;=30,"10 - 30 Mins",Calls[[#This Row],[Duration]]&lt;=60,"30 - 60 Mins",Calls[[#This Row],[Duration]]&lt;=120,"1 - 2 Hours",TRUE,"More than 2  Hours")</f>
        <v>30 - 60 Mins</v>
      </c>
      <c r="L716">
        <f>ROUND(Calls[[#This Row],[Satisfaction Rating]],0)</f>
        <v>3</v>
      </c>
    </row>
    <row r="717" spans="2:12" x14ac:dyDescent="0.3">
      <c r="B717" s="22" t="s">
        <v>739</v>
      </c>
      <c r="C717" s="4" t="s">
        <v>8</v>
      </c>
      <c r="D717" s="4">
        <v>144</v>
      </c>
      <c r="E717" s="5" t="s">
        <v>6</v>
      </c>
      <c r="F717" s="9">
        <v>45176</v>
      </c>
      <c r="G717" s="4">
        <v>124</v>
      </c>
      <c r="H717" s="23">
        <v>2.2999999999999998</v>
      </c>
      <c r="I717">
        <f>IF(MONTH(Calls[[#This Row],[Date of Call]])&lt;6,YEAR(Calls[[#This Row],[Date of Call]]),YEAR(Calls[[#This Row],[Date of Call]])+1)</f>
        <v>2024</v>
      </c>
      <c r="J717" t="str">
        <f>TEXT(Calls[[#This Row],[Date of Call]],"DDDD")</f>
        <v>Thursday</v>
      </c>
      <c r="K717" t="str" cm="1">
        <f t="array" ref="K717">_xlfn.IFS(Calls[[#This Row],[Duration]]&lt;10,"Under 10 Mins",Calls[[#This Row],[Duration]]&lt;=30,"10 - 30 Mins",Calls[[#This Row],[Duration]]&lt;=60,"30 - 60 Mins",Calls[[#This Row],[Duration]]&lt;=120,"1 - 2 Hours",TRUE,"More than 2  Hours")</f>
        <v>More than 2  Hours</v>
      </c>
      <c r="L717">
        <f>ROUND(Calls[[#This Row],[Satisfaction Rating]],0)</f>
        <v>2</v>
      </c>
    </row>
    <row r="718" spans="2:12" x14ac:dyDescent="0.3">
      <c r="B718" s="22" t="s">
        <v>740</v>
      </c>
      <c r="C718" s="4" t="s">
        <v>21</v>
      </c>
      <c r="D718" s="4">
        <v>53</v>
      </c>
      <c r="E718" s="5" t="s">
        <v>11</v>
      </c>
      <c r="F718" s="9">
        <v>45177</v>
      </c>
      <c r="G718" s="4">
        <v>130</v>
      </c>
      <c r="H718" s="23">
        <v>3.6</v>
      </c>
      <c r="I718">
        <f>IF(MONTH(Calls[[#This Row],[Date of Call]])&lt;6,YEAR(Calls[[#This Row],[Date of Call]]),YEAR(Calls[[#This Row],[Date of Call]])+1)</f>
        <v>2024</v>
      </c>
      <c r="J718" t="str">
        <f>TEXT(Calls[[#This Row],[Date of Call]],"DDDD")</f>
        <v>Friday</v>
      </c>
      <c r="K718" t="str" cm="1">
        <f t="array" ref="K718">_xlfn.IFS(Calls[[#This Row],[Duration]]&lt;10,"Under 10 Mins",Calls[[#This Row],[Duration]]&lt;=30,"10 - 30 Mins",Calls[[#This Row],[Duration]]&lt;=60,"30 - 60 Mins",Calls[[#This Row],[Duration]]&lt;=120,"1 - 2 Hours",TRUE,"More than 2  Hours")</f>
        <v>30 - 60 Mins</v>
      </c>
      <c r="L718">
        <f>ROUND(Calls[[#This Row],[Satisfaction Rating]],0)</f>
        <v>4</v>
      </c>
    </row>
    <row r="719" spans="2:12" x14ac:dyDescent="0.3">
      <c r="B719" s="22" t="s">
        <v>741</v>
      </c>
      <c r="C719" s="4" t="s">
        <v>16</v>
      </c>
      <c r="D719" s="4">
        <v>97</v>
      </c>
      <c r="E719" s="5" t="s">
        <v>9</v>
      </c>
      <c r="F719" s="9">
        <v>45177</v>
      </c>
      <c r="G719" s="4">
        <v>45</v>
      </c>
      <c r="H719" s="23">
        <v>4.5999999999999996</v>
      </c>
      <c r="I719">
        <f>IF(MONTH(Calls[[#This Row],[Date of Call]])&lt;6,YEAR(Calls[[#This Row],[Date of Call]]),YEAR(Calls[[#This Row],[Date of Call]])+1)</f>
        <v>2024</v>
      </c>
      <c r="J719" t="str">
        <f>TEXT(Calls[[#This Row],[Date of Call]],"DDDD")</f>
        <v>Friday</v>
      </c>
      <c r="K719" t="str" cm="1">
        <f t="array" ref="K719">_xlfn.IFS(Calls[[#This Row],[Duration]]&lt;10,"Under 10 Mins",Calls[[#This Row],[Duration]]&lt;=30,"10 - 30 Mins",Calls[[#This Row],[Duration]]&lt;=60,"30 - 60 Mins",Calls[[#This Row],[Duration]]&lt;=120,"1 - 2 Hours",TRUE,"More than 2  Hours")</f>
        <v>1 - 2 Hours</v>
      </c>
      <c r="L719">
        <f>ROUND(Calls[[#This Row],[Satisfaction Rating]],0)</f>
        <v>5</v>
      </c>
    </row>
    <row r="720" spans="2:12" x14ac:dyDescent="0.3">
      <c r="B720" s="22" t="s">
        <v>742</v>
      </c>
      <c r="C720" s="4" t="s">
        <v>23</v>
      </c>
      <c r="D720" s="4">
        <v>64</v>
      </c>
      <c r="E720" s="5" t="s">
        <v>6</v>
      </c>
      <c r="F720" s="9">
        <v>45177</v>
      </c>
      <c r="G720" s="4">
        <v>66</v>
      </c>
      <c r="H720" s="23">
        <v>4</v>
      </c>
      <c r="I720">
        <f>IF(MONTH(Calls[[#This Row],[Date of Call]])&lt;6,YEAR(Calls[[#This Row],[Date of Call]]),YEAR(Calls[[#This Row],[Date of Call]])+1)</f>
        <v>2024</v>
      </c>
      <c r="J720" t="str">
        <f>TEXT(Calls[[#This Row],[Date of Call]],"DDDD")</f>
        <v>Friday</v>
      </c>
      <c r="K720" t="str" cm="1">
        <f t="array" ref="K720">_xlfn.IFS(Calls[[#This Row],[Duration]]&lt;10,"Under 10 Mins",Calls[[#This Row],[Duration]]&lt;=30,"10 - 30 Mins",Calls[[#This Row],[Duration]]&lt;=60,"30 - 60 Mins",Calls[[#This Row],[Duration]]&lt;=120,"1 - 2 Hours",TRUE,"More than 2  Hours")</f>
        <v>1 - 2 Hours</v>
      </c>
      <c r="L720">
        <f>ROUND(Calls[[#This Row],[Satisfaction Rating]],0)</f>
        <v>4</v>
      </c>
    </row>
    <row r="721" spans="2:12" x14ac:dyDescent="0.3">
      <c r="B721" s="22" t="s">
        <v>743</v>
      </c>
      <c r="C721" s="4" t="s">
        <v>20</v>
      </c>
      <c r="D721" s="4">
        <v>106</v>
      </c>
      <c r="E721" s="5" t="s">
        <v>10</v>
      </c>
      <c r="F721" s="9">
        <v>45177</v>
      </c>
      <c r="G721" s="4">
        <v>58</v>
      </c>
      <c r="H721" s="23">
        <v>4.7</v>
      </c>
      <c r="I721">
        <f>IF(MONTH(Calls[[#This Row],[Date of Call]])&lt;6,YEAR(Calls[[#This Row],[Date of Call]]),YEAR(Calls[[#This Row],[Date of Call]])+1)</f>
        <v>2024</v>
      </c>
      <c r="J721" t="str">
        <f>TEXT(Calls[[#This Row],[Date of Call]],"DDDD")</f>
        <v>Friday</v>
      </c>
      <c r="K721" t="str" cm="1">
        <f t="array" ref="K721">_xlfn.IFS(Calls[[#This Row],[Duration]]&lt;10,"Under 10 Mins",Calls[[#This Row],[Duration]]&lt;=30,"10 - 30 Mins",Calls[[#This Row],[Duration]]&lt;=60,"30 - 60 Mins",Calls[[#This Row],[Duration]]&lt;=120,"1 - 2 Hours",TRUE,"More than 2  Hours")</f>
        <v>1 - 2 Hours</v>
      </c>
      <c r="L721">
        <f>ROUND(Calls[[#This Row],[Satisfaction Rating]],0)</f>
        <v>5</v>
      </c>
    </row>
    <row r="722" spans="2:12" x14ac:dyDescent="0.3">
      <c r="B722" s="22" t="s">
        <v>744</v>
      </c>
      <c r="C722" s="4" t="s">
        <v>17</v>
      </c>
      <c r="D722" s="4">
        <v>36</v>
      </c>
      <c r="E722" s="5" t="s">
        <v>6</v>
      </c>
      <c r="F722" s="9">
        <v>45178</v>
      </c>
      <c r="G722" s="4">
        <v>152</v>
      </c>
      <c r="H722" s="23">
        <v>4.3</v>
      </c>
      <c r="I722">
        <f>IF(MONTH(Calls[[#This Row],[Date of Call]])&lt;6,YEAR(Calls[[#This Row],[Date of Call]]),YEAR(Calls[[#This Row],[Date of Call]])+1)</f>
        <v>2024</v>
      </c>
      <c r="J722" t="str">
        <f>TEXT(Calls[[#This Row],[Date of Call]],"DDDD")</f>
        <v>Saturday</v>
      </c>
      <c r="K722" t="str" cm="1">
        <f t="array" ref="K722">_xlfn.IFS(Calls[[#This Row],[Duration]]&lt;10,"Under 10 Mins",Calls[[#This Row],[Duration]]&lt;=30,"10 - 30 Mins",Calls[[#This Row],[Duration]]&lt;=60,"30 - 60 Mins",Calls[[#This Row],[Duration]]&lt;=120,"1 - 2 Hours",TRUE,"More than 2  Hours")</f>
        <v>30 - 60 Mins</v>
      </c>
      <c r="L722">
        <f>ROUND(Calls[[#This Row],[Satisfaction Rating]],0)</f>
        <v>4</v>
      </c>
    </row>
    <row r="723" spans="2:12" x14ac:dyDescent="0.3">
      <c r="B723" s="22" t="s">
        <v>745</v>
      </c>
      <c r="C723" s="4" t="s">
        <v>8</v>
      </c>
      <c r="D723" s="4">
        <v>74</v>
      </c>
      <c r="E723" s="5" t="s">
        <v>13</v>
      </c>
      <c r="F723" s="9">
        <v>45178</v>
      </c>
      <c r="G723" s="4">
        <v>75</v>
      </c>
      <c r="H723" s="23">
        <v>2.8</v>
      </c>
      <c r="I723">
        <f>IF(MONTH(Calls[[#This Row],[Date of Call]])&lt;6,YEAR(Calls[[#This Row],[Date of Call]]),YEAR(Calls[[#This Row],[Date of Call]])+1)</f>
        <v>2024</v>
      </c>
      <c r="J723" t="str">
        <f>TEXT(Calls[[#This Row],[Date of Call]],"DDDD")</f>
        <v>Saturday</v>
      </c>
      <c r="K723" t="str" cm="1">
        <f t="array" ref="K723">_xlfn.IFS(Calls[[#This Row],[Duration]]&lt;10,"Under 10 Mins",Calls[[#This Row],[Duration]]&lt;=30,"10 - 30 Mins",Calls[[#This Row],[Duration]]&lt;=60,"30 - 60 Mins",Calls[[#This Row],[Duration]]&lt;=120,"1 - 2 Hours",TRUE,"More than 2  Hours")</f>
        <v>1 - 2 Hours</v>
      </c>
      <c r="L723">
        <f>ROUND(Calls[[#This Row],[Satisfaction Rating]],0)</f>
        <v>3</v>
      </c>
    </row>
    <row r="724" spans="2:12" x14ac:dyDescent="0.3">
      <c r="B724" s="22" t="s">
        <v>746</v>
      </c>
      <c r="C724" s="4" t="s">
        <v>7</v>
      </c>
      <c r="D724" s="4">
        <v>143</v>
      </c>
      <c r="E724" s="5" t="s">
        <v>9</v>
      </c>
      <c r="F724" s="9">
        <v>45178</v>
      </c>
      <c r="G724" s="4">
        <v>78</v>
      </c>
      <c r="H724" s="23">
        <v>4</v>
      </c>
      <c r="I724">
        <f>IF(MONTH(Calls[[#This Row],[Date of Call]])&lt;6,YEAR(Calls[[#This Row],[Date of Call]]),YEAR(Calls[[#This Row],[Date of Call]])+1)</f>
        <v>2024</v>
      </c>
      <c r="J724" t="str">
        <f>TEXT(Calls[[#This Row],[Date of Call]],"DDDD")</f>
        <v>Saturday</v>
      </c>
      <c r="K724" t="str" cm="1">
        <f t="array" ref="K724">_xlfn.IFS(Calls[[#This Row],[Duration]]&lt;10,"Under 10 Mins",Calls[[#This Row],[Duration]]&lt;=30,"10 - 30 Mins",Calls[[#This Row],[Duration]]&lt;=60,"30 - 60 Mins",Calls[[#This Row],[Duration]]&lt;=120,"1 - 2 Hours",TRUE,"More than 2  Hours")</f>
        <v>More than 2  Hours</v>
      </c>
      <c r="L724">
        <f>ROUND(Calls[[#This Row],[Satisfaction Rating]],0)</f>
        <v>4</v>
      </c>
    </row>
    <row r="725" spans="2:12" x14ac:dyDescent="0.3">
      <c r="B725" s="22" t="s">
        <v>747</v>
      </c>
      <c r="C725" s="4" t="s">
        <v>20</v>
      </c>
      <c r="D725" s="4">
        <v>94</v>
      </c>
      <c r="E725" s="5" t="s">
        <v>11</v>
      </c>
      <c r="F725" s="9">
        <v>45178</v>
      </c>
      <c r="G725" s="4">
        <v>69</v>
      </c>
      <c r="H725" s="23">
        <v>3.9</v>
      </c>
      <c r="I725">
        <f>IF(MONTH(Calls[[#This Row],[Date of Call]])&lt;6,YEAR(Calls[[#This Row],[Date of Call]]),YEAR(Calls[[#This Row],[Date of Call]])+1)</f>
        <v>2024</v>
      </c>
      <c r="J725" t="str">
        <f>TEXT(Calls[[#This Row],[Date of Call]],"DDDD")</f>
        <v>Saturday</v>
      </c>
      <c r="K725" t="str" cm="1">
        <f t="array" ref="K725">_xlfn.IFS(Calls[[#This Row],[Duration]]&lt;10,"Under 10 Mins",Calls[[#This Row],[Duration]]&lt;=30,"10 - 30 Mins",Calls[[#This Row],[Duration]]&lt;=60,"30 - 60 Mins",Calls[[#This Row],[Duration]]&lt;=120,"1 - 2 Hours",TRUE,"More than 2  Hours")</f>
        <v>1 - 2 Hours</v>
      </c>
      <c r="L725">
        <f>ROUND(Calls[[#This Row],[Satisfaction Rating]],0)</f>
        <v>4</v>
      </c>
    </row>
    <row r="726" spans="2:12" x14ac:dyDescent="0.3">
      <c r="B726" s="22" t="s">
        <v>748</v>
      </c>
      <c r="C726" s="4" t="s">
        <v>19</v>
      </c>
      <c r="D726" s="4">
        <v>124</v>
      </c>
      <c r="E726" s="5" t="s">
        <v>10</v>
      </c>
      <c r="F726" s="9">
        <v>45179</v>
      </c>
      <c r="G726" s="4">
        <v>46</v>
      </c>
      <c r="H726" s="23">
        <v>3.1</v>
      </c>
      <c r="I726">
        <f>IF(MONTH(Calls[[#This Row],[Date of Call]])&lt;6,YEAR(Calls[[#This Row],[Date of Call]]),YEAR(Calls[[#This Row],[Date of Call]])+1)</f>
        <v>2024</v>
      </c>
      <c r="J726" t="str">
        <f>TEXT(Calls[[#This Row],[Date of Call]],"DDDD")</f>
        <v>Sunday</v>
      </c>
      <c r="K726" t="str" cm="1">
        <f t="array" ref="K726">_xlfn.IFS(Calls[[#This Row],[Duration]]&lt;10,"Under 10 Mins",Calls[[#This Row],[Duration]]&lt;=30,"10 - 30 Mins",Calls[[#This Row],[Duration]]&lt;=60,"30 - 60 Mins",Calls[[#This Row],[Duration]]&lt;=120,"1 - 2 Hours",TRUE,"More than 2  Hours")</f>
        <v>More than 2  Hours</v>
      </c>
      <c r="L726">
        <f>ROUND(Calls[[#This Row],[Satisfaction Rating]],0)</f>
        <v>3</v>
      </c>
    </row>
    <row r="727" spans="2:12" x14ac:dyDescent="0.3">
      <c r="B727" s="22" t="s">
        <v>749</v>
      </c>
      <c r="C727" s="4" t="s">
        <v>17</v>
      </c>
      <c r="D727" s="4">
        <v>156</v>
      </c>
      <c r="E727" s="5" t="s">
        <v>6</v>
      </c>
      <c r="F727" s="9">
        <v>45179</v>
      </c>
      <c r="G727" s="4">
        <v>64</v>
      </c>
      <c r="H727" s="23">
        <v>2.7</v>
      </c>
      <c r="I727">
        <f>IF(MONTH(Calls[[#This Row],[Date of Call]])&lt;6,YEAR(Calls[[#This Row],[Date of Call]]),YEAR(Calls[[#This Row],[Date of Call]])+1)</f>
        <v>2024</v>
      </c>
      <c r="J727" t="str">
        <f>TEXT(Calls[[#This Row],[Date of Call]],"DDDD")</f>
        <v>Sunday</v>
      </c>
      <c r="K727" t="str" cm="1">
        <f t="array" ref="K727">_xlfn.IFS(Calls[[#This Row],[Duration]]&lt;10,"Under 10 Mins",Calls[[#This Row],[Duration]]&lt;=30,"10 - 30 Mins",Calls[[#This Row],[Duration]]&lt;=60,"30 - 60 Mins",Calls[[#This Row],[Duration]]&lt;=120,"1 - 2 Hours",TRUE,"More than 2  Hours")</f>
        <v>More than 2  Hours</v>
      </c>
      <c r="L727">
        <f>ROUND(Calls[[#This Row],[Satisfaction Rating]],0)</f>
        <v>3</v>
      </c>
    </row>
    <row r="728" spans="2:12" x14ac:dyDescent="0.3">
      <c r="B728" s="22" t="s">
        <v>750</v>
      </c>
      <c r="C728" s="4" t="s">
        <v>18</v>
      </c>
      <c r="D728" s="4">
        <v>107</v>
      </c>
      <c r="E728" s="5" t="s">
        <v>9</v>
      </c>
      <c r="F728" s="9">
        <v>45179</v>
      </c>
      <c r="G728" s="4">
        <v>38</v>
      </c>
      <c r="H728" s="23">
        <v>4.7</v>
      </c>
      <c r="I728">
        <f>IF(MONTH(Calls[[#This Row],[Date of Call]])&lt;6,YEAR(Calls[[#This Row],[Date of Call]]),YEAR(Calls[[#This Row],[Date of Call]])+1)</f>
        <v>2024</v>
      </c>
      <c r="J728" t="str">
        <f>TEXT(Calls[[#This Row],[Date of Call]],"DDDD")</f>
        <v>Sunday</v>
      </c>
      <c r="K728" t="str" cm="1">
        <f t="array" ref="K728">_xlfn.IFS(Calls[[#This Row],[Duration]]&lt;10,"Under 10 Mins",Calls[[#This Row],[Duration]]&lt;=30,"10 - 30 Mins",Calls[[#This Row],[Duration]]&lt;=60,"30 - 60 Mins",Calls[[#This Row],[Duration]]&lt;=120,"1 - 2 Hours",TRUE,"More than 2  Hours")</f>
        <v>1 - 2 Hours</v>
      </c>
      <c r="L728">
        <f>ROUND(Calls[[#This Row],[Satisfaction Rating]],0)</f>
        <v>5</v>
      </c>
    </row>
    <row r="729" spans="2:12" x14ac:dyDescent="0.3">
      <c r="B729" s="22" t="s">
        <v>751</v>
      </c>
      <c r="C729" s="4" t="s">
        <v>20</v>
      </c>
      <c r="D729" s="4">
        <v>58</v>
      </c>
      <c r="E729" s="5" t="s">
        <v>9</v>
      </c>
      <c r="F729" s="9">
        <v>45181</v>
      </c>
      <c r="G729" s="4">
        <v>90</v>
      </c>
      <c r="H729" s="23">
        <v>4.3</v>
      </c>
      <c r="I729">
        <f>IF(MONTH(Calls[[#This Row],[Date of Call]])&lt;6,YEAR(Calls[[#This Row],[Date of Call]]),YEAR(Calls[[#This Row],[Date of Call]])+1)</f>
        <v>2024</v>
      </c>
      <c r="J729" t="str">
        <f>TEXT(Calls[[#This Row],[Date of Call]],"DDDD")</f>
        <v>Tuesday</v>
      </c>
      <c r="K729" t="str" cm="1">
        <f t="array" ref="K729">_xlfn.IFS(Calls[[#This Row],[Duration]]&lt;10,"Under 10 Mins",Calls[[#This Row],[Duration]]&lt;=30,"10 - 30 Mins",Calls[[#This Row],[Duration]]&lt;=60,"30 - 60 Mins",Calls[[#This Row],[Duration]]&lt;=120,"1 - 2 Hours",TRUE,"More than 2  Hours")</f>
        <v>30 - 60 Mins</v>
      </c>
      <c r="L729">
        <f>ROUND(Calls[[#This Row],[Satisfaction Rating]],0)</f>
        <v>4</v>
      </c>
    </row>
    <row r="730" spans="2:12" x14ac:dyDescent="0.3">
      <c r="B730" s="22" t="s">
        <v>752</v>
      </c>
      <c r="C730" s="4" t="s">
        <v>14</v>
      </c>
      <c r="D730" s="4">
        <v>66</v>
      </c>
      <c r="E730" s="5" t="s">
        <v>9</v>
      </c>
      <c r="F730" s="9">
        <v>45181</v>
      </c>
      <c r="G730" s="4">
        <v>32</v>
      </c>
      <c r="H730" s="23">
        <v>3.8</v>
      </c>
      <c r="I730">
        <f>IF(MONTH(Calls[[#This Row],[Date of Call]])&lt;6,YEAR(Calls[[#This Row],[Date of Call]]),YEAR(Calls[[#This Row],[Date of Call]])+1)</f>
        <v>2024</v>
      </c>
      <c r="J730" t="str">
        <f>TEXT(Calls[[#This Row],[Date of Call]],"DDDD")</f>
        <v>Tuesday</v>
      </c>
      <c r="K730" t="str" cm="1">
        <f t="array" ref="K730">_xlfn.IFS(Calls[[#This Row],[Duration]]&lt;10,"Under 10 Mins",Calls[[#This Row],[Duration]]&lt;=30,"10 - 30 Mins",Calls[[#This Row],[Duration]]&lt;=60,"30 - 60 Mins",Calls[[#This Row],[Duration]]&lt;=120,"1 - 2 Hours",TRUE,"More than 2  Hours")</f>
        <v>1 - 2 Hours</v>
      </c>
      <c r="L730">
        <f>ROUND(Calls[[#This Row],[Satisfaction Rating]],0)</f>
        <v>4</v>
      </c>
    </row>
    <row r="731" spans="2:12" x14ac:dyDescent="0.3">
      <c r="B731" s="22" t="s">
        <v>753</v>
      </c>
      <c r="C731" s="4" t="s">
        <v>24</v>
      </c>
      <c r="D731" s="4">
        <v>75</v>
      </c>
      <c r="E731" s="5" t="s">
        <v>6</v>
      </c>
      <c r="F731" s="9">
        <v>45181</v>
      </c>
      <c r="G731" s="4">
        <v>120</v>
      </c>
      <c r="H731" s="23">
        <v>4.4000000000000004</v>
      </c>
      <c r="I731">
        <f>IF(MONTH(Calls[[#This Row],[Date of Call]])&lt;6,YEAR(Calls[[#This Row],[Date of Call]]),YEAR(Calls[[#This Row],[Date of Call]])+1)</f>
        <v>2024</v>
      </c>
      <c r="J731" t="str">
        <f>TEXT(Calls[[#This Row],[Date of Call]],"DDDD")</f>
        <v>Tuesday</v>
      </c>
      <c r="K731" t="str" cm="1">
        <f t="array" ref="K731">_xlfn.IFS(Calls[[#This Row],[Duration]]&lt;10,"Under 10 Mins",Calls[[#This Row],[Duration]]&lt;=30,"10 - 30 Mins",Calls[[#This Row],[Duration]]&lt;=60,"30 - 60 Mins",Calls[[#This Row],[Duration]]&lt;=120,"1 - 2 Hours",TRUE,"More than 2  Hours")</f>
        <v>1 - 2 Hours</v>
      </c>
      <c r="L731">
        <f>ROUND(Calls[[#This Row],[Satisfaction Rating]],0)</f>
        <v>4</v>
      </c>
    </row>
    <row r="732" spans="2:12" x14ac:dyDescent="0.3">
      <c r="B732" s="22" t="s">
        <v>754</v>
      </c>
      <c r="C732" s="4" t="s">
        <v>18</v>
      </c>
      <c r="D732" s="4">
        <v>8</v>
      </c>
      <c r="E732" s="5" t="s">
        <v>9</v>
      </c>
      <c r="F732" s="9">
        <v>45181</v>
      </c>
      <c r="G732" s="4">
        <v>31</v>
      </c>
      <c r="H732" s="23">
        <v>3.9</v>
      </c>
      <c r="I732">
        <f>IF(MONTH(Calls[[#This Row],[Date of Call]])&lt;6,YEAR(Calls[[#This Row],[Date of Call]]),YEAR(Calls[[#This Row],[Date of Call]])+1)</f>
        <v>2024</v>
      </c>
      <c r="J732" t="str">
        <f>TEXT(Calls[[#This Row],[Date of Call]],"DDDD")</f>
        <v>Tuesday</v>
      </c>
      <c r="K732" t="str" cm="1">
        <f t="array" ref="K732">_xlfn.IFS(Calls[[#This Row],[Duration]]&lt;10,"Under 10 Mins",Calls[[#This Row],[Duration]]&lt;=30,"10 - 30 Mins",Calls[[#This Row],[Duration]]&lt;=60,"30 - 60 Mins",Calls[[#This Row],[Duration]]&lt;=120,"1 - 2 Hours",TRUE,"More than 2  Hours")</f>
        <v>Under 10 Mins</v>
      </c>
      <c r="L732">
        <f>ROUND(Calls[[#This Row],[Satisfaction Rating]],0)</f>
        <v>4</v>
      </c>
    </row>
    <row r="733" spans="2:12" x14ac:dyDescent="0.3">
      <c r="B733" s="22" t="s">
        <v>755</v>
      </c>
      <c r="C733" s="4" t="s">
        <v>23</v>
      </c>
      <c r="D733" s="4">
        <v>76</v>
      </c>
      <c r="E733" s="5" t="s">
        <v>6</v>
      </c>
      <c r="F733" s="9">
        <v>45182</v>
      </c>
      <c r="G733" s="4">
        <v>108</v>
      </c>
      <c r="H733" s="23">
        <v>4.9000000000000004</v>
      </c>
      <c r="I733">
        <f>IF(MONTH(Calls[[#This Row],[Date of Call]])&lt;6,YEAR(Calls[[#This Row],[Date of Call]]),YEAR(Calls[[#This Row],[Date of Call]])+1)</f>
        <v>2024</v>
      </c>
      <c r="J733" t="str">
        <f>TEXT(Calls[[#This Row],[Date of Call]],"DDDD")</f>
        <v>Wednesday</v>
      </c>
      <c r="K733" t="str" cm="1">
        <f t="array" ref="K733">_xlfn.IFS(Calls[[#This Row],[Duration]]&lt;10,"Under 10 Mins",Calls[[#This Row],[Duration]]&lt;=30,"10 - 30 Mins",Calls[[#This Row],[Duration]]&lt;=60,"30 - 60 Mins",Calls[[#This Row],[Duration]]&lt;=120,"1 - 2 Hours",TRUE,"More than 2  Hours")</f>
        <v>1 - 2 Hours</v>
      </c>
      <c r="L733">
        <f>ROUND(Calls[[#This Row],[Satisfaction Rating]],0)</f>
        <v>5</v>
      </c>
    </row>
    <row r="734" spans="2:12" x14ac:dyDescent="0.3">
      <c r="B734" s="22" t="s">
        <v>756</v>
      </c>
      <c r="C734" s="4" t="s">
        <v>20</v>
      </c>
      <c r="D734" s="4">
        <v>110</v>
      </c>
      <c r="E734" s="5" t="s">
        <v>6</v>
      </c>
      <c r="F734" s="9">
        <v>45182</v>
      </c>
      <c r="G734" s="4">
        <v>180</v>
      </c>
      <c r="H734" s="23">
        <v>4.2</v>
      </c>
      <c r="I734">
        <f>IF(MONTH(Calls[[#This Row],[Date of Call]])&lt;6,YEAR(Calls[[#This Row],[Date of Call]]),YEAR(Calls[[#This Row],[Date of Call]])+1)</f>
        <v>2024</v>
      </c>
      <c r="J734" t="str">
        <f>TEXT(Calls[[#This Row],[Date of Call]],"DDDD")</f>
        <v>Wednesday</v>
      </c>
      <c r="K734" t="str" cm="1">
        <f t="array" ref="K734">_xlfn.IFS(Calls[[#This Row],[Duration]]&lt;10,"Under 10 Mins",Calls[[#This Row],[Duration]]&lt;=30,"10 - 30 Mins",Calls[[#This Row],[Duration]]&lt;=60,"30 - 60 Mins",Calls[[#This Row],[Duration]]&lt;=120,"1 - 2 Hours",TRUE,"More than 2  Hours")</f>
        <v>1 - 2 Hours</v>
      </c>
      <c r="L734">
        <f>ROUND(Calls[[#This Row],[Satisfaction Rating]],0)</f>
        <v>4</v>
      </c>
    </row>
    <row r="735" spans="2:12" x14ac:dyDescent="0.3">
      <c r="B735" s="22" t="s">
        <v>757</v>
      </c>
      <c r="C735" s="4" t="s">
        <v>14</v>
      </c>
      <c r="D735" s="4">
        <v>50</v>
      </c>
      <c r="E735" s="5" t="s">
        <v>11</v>
      </c>
      <c r="F735" s="9">
        <v>45183</v>
      </c>
      <c r="G735" s="4">
        <v>124</v>
      </c>
      <c r="H735" s="23">
        <v>4</v>
      </c>
      <c r="I735">
        <f>IF(MONTH(Calls[[#This Row],[Date of Call]])&lt;6,YEAR(Calls[[#This Row],[Date of Call]]),YEAR(Calls[[#This Row],[Date of Call]])+1)</f>
        <v>2024</v>
      </c>
      <c r="J735" t="str">
        <f>TEXT(Calls[[#This Row],[Date of Call]],"DDDD")</f>
        <v>Thursday</v>
      </c>
      <c r="K735" t="str" cm="1">
        <f t="array" ref="K735">_xlfn.IFS(Calls[[#This Row],[Duration]]&lt;10,"Under 10 Mins",Calls[[#This Row],[Duration]]&lt;=30,"10 - 30 Mins",Calls[[#This Row],[Duration]]&lt;=60,"30 - 60 Mins",Calls[[#This Row],[Duration]]&lt;=120,"1 - 2 Hours",TRUE,"More than 2  Hours")</f>
        <v>30 - 60 Mins</v>
      </c>
      <c r="L735">
        <f>ROUND(Calls[[#This Row],[Satisfaction Rating]],0)</f>
        <v>4</v>
      </c>
    </row>
    <row r="736" spans="2:12" x14ac:dyDescent="0.3">
      <c r="B736" s="22" t="s">
        <v>758</v>
      </c>
      <c r="C736" s="4" t="s">
        <v>15</v>
      </c>
      <c r="D736" s="4">
        <v>78</v>
      </c>
      <c r="E736" s="5" t="s">
        <v>11</v>
      </c>
      <c r="F736" s="9">
        <v>45183</v>
      </c>
      <c r="G736" s="4">
        <v>23</v>
      </c>
      <c r="H736" s="23">
        <v>4.2</v>
      </c>
      <c r="I736">
        <f>IF(MONTH(Calls[[#This Row],[Date of Call]])&lt;6,YEAR(Calls[[#This Row],[Date of Call]]),YEAR(Calls[[#This Row],[Date of Call]])+1)</f>
        <v>2024</v>
      </c>
      <c r="J736" t="str">
        <f>TEXT(Calls[[#This Row],[Date of Call]],"DDDD")</f>
        <v>Thursday</v>
      </c>
      <c r="K736" t="str" cm="1">
        <f t="array" ref="K736">_xlfn.IFS(Calls[[#This Row],[Duration]]&lt;10,"Under 10 Mins",Calls[[#This Row],[Duration]]&lt;=30,"10 - 30 Mins",Calls[[#This Row],[Duration]]&lt;=60,"30 - 60 Mins",Calls[[#This Row],[Duration]]&lt;=120,"1 - 2 Hours",TRUE,"More than 2  Hours")</f>
        <v>1 - 2 Hours</v>
      </c>
      <c r="L736">
        <f>ROUND(Calls[[#This Row],[Satisfaction Rating]],0)</f>
        <v>4</v>
      </c>
    </row>
    <row r="737" spans="2:12" x14ac:dyDescent="0.3">
      <c r="B737" s="22" t="s">
        <v>759</v>
      </c>
      <c r="C737" s="4" t="s">
        <v>16</v>
      </c>
      <c r="D737" s="4">
        <v>59</v>
      </c>
      <c r="E737" s="5" t="s">
        <v>10</v>
      </c>
      <c r="F737" s="9">
        <v>45184</v>
      </c>
      <c r="G737" s="4">
        <v>24</v>
      </c>
      <c r="H737" s="23">
        <v>4.8</v>
      </c>
      <c r="I737">
        <f>IF(MONTH(Calls[[#This Row],[Date of Call]])&lt;6,YEAR(Calls[[#This Row],[Date of Call]]),YEAR(Calls[[#This Row],[Date of Call]])+1)</f>
        <v>2024</v>
      </c>
      <c r="J737" t="str">
        <f>TEXT(Calls[[#This Row],[Date of Call]],"DDDD")</f>
        <v>Friday</v>
      </c>
      <c r="K737" t="str" cm="1">
        <f t="array" ref="K737">_xlfn.IFS(Calls[[#This Row],[Duration]]&lt;10,"Under 10 Mins",Calls[[#This Row],[Duration]]&lt;=30,"10 - 30 Mins",Calls[[#This Row],[Duration]]&lt;=60,"30 - 60 Mins",Calls[[#This Row],[Duration]]&lt;=120,"1 - 2 Hours",TRUE,"More than 2  Hours")</f>
        <v>30 - 60 Mins</v>
      </c>
      <c r="L737">
        <f>ROUND(Calls[[#This Row],[Satisfaction Rating]],0)</f>
        <v>5</v>
      </c>
    </row>
    <row r="738" spans="2:12" x14ac:dyDescent="0.3">
      <c r="B738" s="22" t="s">
        <v>760</v>
      </c>
      <c r="C738" s="4" t="s">
        <v>15</v>
      </c>
      <c r="D738" s="4">
        <v>126</v>
      </c>
      <c r="E738" s="5" t="s">
        <v>9</v>
      </c>
      <c r="F738" s="9">
        <v>45185</v>
      </c>
      <c r="G738" s="4">
        <v>52</v>
      </c>
      <c r="H738" s="23">
        <v>1.1000000000000001</v>
      </c>
      <c r="I738">
        <f>IF(MONTH(Calls[[#This Row],[Date of Call]])&lt;6,YEAR(Calls[[#This Row],[Date of Call]]),YEAR(Calls[[#This Row],[Date of Call]])+1)</f>
        <v>2024</v>
      </c>
      <c r="J738" t="str">
        <f>TEXT(Calls[[#This Row],[Date of Call]],"DDDD")</f>
        <v>Saturday</v>
      </c>
      <c r="K738" t="str" cm="1">
        <f t="array" ref="K738">_xlfn.IFS(Calls[[#This Row],[Duration]]&lt;10,"Under 10 Mins",Calls[[#This Row],[Duration]]&lt;=30,"10 - 30 Mins",Calls[[#This Row],[Duration]]&lt;=60,"30 - 60 Mins",Calls[[#This Row],[Duration]]&lt;=120,"1 - 2 Hours",TRUE,"More than 2  Hours")</f>
        <v>More than 2  Hours</v>
      </c>
      <c r="L738">
        <f>ROUND(Calls[[#This Row],[Satisfaction Rating]],0)</f>
        <v>1</v>
      </c>
    </row>
    <row r="739" spans="2:12" x14ac:dyDescent="0.3">
      <c r="B739" s="22" t="s">
        <v>761</v>
      </c>
      <c r="C739" s="4" t="s">
        <v>23</v>
      </c>
      <c r="D739" s="4">
        <v>43</v>
      </c>
      <c r="E739" s="5" t="s">
        <v>10</v>
      </c>
      <c r="F739" s="9">
        <v>45186</v>
      </c>
      <c r="G739" s="4">
        <v>168</v>
      </c>
      <c r="H739" s="23">
        <v>4</v>
      </c>
      <c r="I739">
        <f>IF(MONTH(Calls[[#This Row],[Date of Call]])&lt;6,YEAR(Calls[[#This Row],[Date of Call]]),YEAR(Calls[[#This Row],[Date of Call]])+1)</f>
        <v>2024</v>
      </c>
      <c r="J739" t="str">
        <f>TEXT(Calls[[#This Row],[Date of Call]],"DDDD")</f>
        <v>Sunday</v>
      </c>
      <c r="K739" t="str" cm="1">
        <f t="array" ref="K739">_xlfn.IFS(Calls[[#This Row],[Duration]]&lt;10,"Under 10 Mins",Calls[[#This Row],[Duration]]&lt;=30,"10 - 30 Mins",Calls[[#This Row],[Duration]]&lt;=60,"30 - 60 Mins",Calls[[#This Row],[Duration]]&lt;=120,"1 - 2 Hours",TRUE,"More than 2  Hours")</f>
        <v>30 - 60 Mins</v>
      </c>
      <c r="L739">
        <f>ROUND(Calls[[#This Row],[Satisfaction Rating]],0)</f>
        <v>4</v>
      </c>
    </row>
    <row r="740" spans="2:12" x14ac:dyDescent="0.3">
      <c r="B740" s="22" t="s">
        <v>762</v>
      </c>
      <c r="C740" s="4" t="s">
        <v>17</v>
      </c>
      <c r="D740" s="4">
        <v>79</v>
      </c>
      <c r="E740" s="5" t="s">
        <v>6</v>
      </c>
      <c r="F740" s="9">
        <v>45188</v>
      </c>
      <c r="G740" s="4">
        <v>125</v>
      </c>
      <c r="H740" s="23">
        <v>4.8</v>
      </c>
      <c r="I740">
        <f>IF(MONTH(Calls[[#This Row],[Date of Call]])&lt;6,YEAR(Calls[[#This Row],[Date of Call]]),YEAR(Calls[[#This Row],[Date of Call]])+1)</f>
        <v>2024</v>
      </c>
      <c r="J740" t="str">
        <f>TEXT(Calls[[#This Row],[Date of Call]],"DDDD")</f>
        <v>Tuesday</v>
      </c>
      <c r="K740" t="str" cm="1">
        <f t="array" ref="K740">_xlfn.IFS(Calls[[#This Row],[Duration]]&lt;10,"Under 10 Mins",Calls[[#This Row],[Duration]]&lt;=30,"10 - 30 Mins",Calls[[#This Row],[Duration]]&lt;=60,"30 - 60 Mins",Calls[[#This Row],[Duration]]&lt;=120,"1 - 2 Hours",TRUE,"More than 2  Hours")</f>
        <v>1 - 2 Hours</v>
      </c>
      <c r="L740">
        <f>ROUND(Calls[[#This Row],[Satisfaction Rating]],0)</f>
        <v>5</v>
      </c>
    </row>
    <row r="741" spans="2:12" x14ac:dyDescent="0.3">
      <c r="B741" s="22" t="s">
        <v>763</v>
      </c>
      <c r="C741" s="4" t="s">
        <v>20</v>
      </c>
      <c r="D741" s="4">
        <v>71</v>
      </c>
      <c r="E741" s="5" t="s">
        <v>10</v>
      </c>
      <c r="F741" s="9">
        <v>45189</v>
      </c>
      <c r="G741" s="4">
        <v>50</v>
      </c>
      <c r="H741" s="23">
        <v>4.2</v>
      </c>
      <c r="I741">
        <f>IF(MONTH(Calls[[#This Row],[Date of Call]])&lt;6,YEAR(Calls[[#This Row],[Date of Call]]),YEAR(Calls[[#This Row],[Date of Call]])+1)</f>
        <v>2024</v>
      </c>
      <c r="J741" t="str">
        <f>TEXT(Calls[[#This Row],[Date of Call]],"DDDD")</f>
        <v>Wednesday</v>
      </c>
      <c r="K741" t="str" cm="1">
        <f t="array" ref="K741">_xlfn.IFS(Calls[[#This Row],[Duration]]&lt;10,"Under 10 Mins",Calls[[#This Row],[Duration]]&lt;=30,"10 - 30 Mins",Calls[[#This Row],[Duration]]&lt;=60,"30 - 60 Mins",Calls[[#This Row],[Duration]]&lt;=120,"1 - 2 Hours",TRUE,"More than 2  Hours")</f>
        <v>1 - 2 Hours</v>
      </c>
      <c r="L741">
        <f>ROUND(Calls[[#This Row],[Satisfaction Rating]],0)</f>
        <v>4</v>
      </c>
    </row>
    <row r="742" spans="2:12" x14ac:dyDescent="0.3">
      <c r="B742" s="22" t="s">
        <v>764</v>
      </c>
      <c r="C742" s="4" t="s">
        <v>22</v>
      </c>
      <c r="D742" s="4">
        <v>94</v>
      </c>
      <c r="E742" s="5" t="s">
        <v>9</v>
      </c>
      <c r="F742" s="9">
        <v>45190</v>
      </c>
      <c r="G742" s="4">
        <v>220</v>
      </c>
      <c r="H742" s="23">
        <v>4.5999999999999996</v>
      </c>
      <c r="I742">
        <f>IF(MONTH(Calls[[#This Row],[Date of Call]])&lt;6,YEAR(Calls[[#This Row],[Date of Call]]),YEAR(Calls[[#This Row],[Date of Call]])+1)</f>
        <v>2024</v>
      </c>
      <c r="J742" t="str">
        <f>TEXT(Calls[[#This Row],[Date of Call]],"DDDD")</f>
        <v>Thursday</v>
      </c>
      <c r="K742" t="str" cm="1">
        <f t="array" ref="K742">_xlfn.IFS(Calls[[#This Row],[Duration]]&lt;10,"Under 10 Mins",Calls[[#This Row],[Duration]]&lt;=30,"10 - 30 Mins",Calls[[#This Row],[Duration]]&lt;=60,"30 - 60 Mins",Calls[[#This Row],[Duration]]&lt;=120,"1 - 2 Hours",TRUE,"More than 2  Hours")</f>
        <v>1 - 2 Hours</v>
      </c>
      <c r="L742">
        <f>ROUND(Calls[[#This Row],[Satisfaction Rating]],0)</f>
        <v>5</v>
      </c>
    </row>
    <row r="743" spans="2:12" x14ac:dyDescent="0.3">
      <c r="B743" s="22" t="s">
        <v>765</v>
      </c>
      <c r="C743" s="4" t="s">
        <v>18</v>
      </c>
      <c r="D743" s="4">
        <v>108</v>
      </c>
      <c r="E743" s="5" t="s">
        <v>10</v>
      </c>
      <c r="F743" s="9">
        <v>45190</v>
      </c>
      <c r="G743" s="4">
        <v>180</v>
      </c>
      <c r="H743" s="23">
        <v>4</v>
      </c>
      <c r="I743">
        <f>IF(MONTH(Calls[[#This Row],[Date of Call]])&lt;6,YEAR(Calls[[#This Row],[Date of Call]]),YEAR(Calls[[#This Row],[Date of Call]])+1)</f>
        <v>2024</v>
      </c>
      <c r="J743" t="str">
        <f>TEXT(Calls[[#This Row],[Date of Call]],"DDDD")</f>
        <v>Thursday</v>
      </c>
      <c r="K743" t="str" cm="1">
        <f t="array" ref="K743">_xlfn.IFS(Calls[[#This Row],[Duration]]&lt;10,"Under 10 Mins",Calls[[#This Row],[Duration]]&lt;=30,"10 - 30 Mins",Calls[[#This Row],[Duration]]&lt;=60,"30 - 60 Mins",Calls[[#This Row],[Duration]]&lt;=120,"1 - 2 Hours",TRUE,"More than 2  Hours")</f>
        <v>1 - 2 Hours</v>
      </c>
      <c r="L743">
        <f>ROUND(Calls[[#This Row],[Satisfaction Rating]],0)</f>
        <v>4</v>
      </c>
    </row>
    <row r="744" spans="2:12" x14ac:dyDescent="0.3">
      <c r="B744" s="22" t="s">
        <v>766</v>
      </c>
      <c r="C744" s="4" t="s">
        <v>23</v>
      </c>
      <c r="D744" s="4">
        <v>76</v>
      </c>
      <c r="E744" s="5" t="s">
        <v>9</v>
      </c>
      <c r="F744" s="9">
        <v>45190</v>
      </c>
      <c r="G744" s="4">
        <v>110</v>
      </c>
      <c r="H744" s="23">
        <v>3.9</v>
      </c>
      <c r="I744">
        <f>IF(MONTH(Calls[[#This Row],[Date of Call]])&lt;6,YEAR(Calls[[#This Row],[Date of Call]]),YEAR(Calls[[#This Row],[Date of Call]])+1)</f>
        <v>2024</v>
      </c>
      <c r="J744" t="str">
        <f>TEXT(Calls[[#This Row],[Date of Call]],"DDDD")</f>
        <v>Thursday</v>
      </c>
      <c r="K744" t="str" cm="1">
        <f t="array" ref="K744">_xlfn.IFS(Calls[[#This Row],[Duration]]&lt;10,"Under 10 Mins",Calls[[#This Row],[Duration]]&lt;=30,"10 - 30 Mins",Calls[[#This Row],[Duration]]&lt;=60,"30 - 60 Mins",Calls[[#This Row],[Duration]]&lt;=120,"1 - 2 Hours",TRUE,"More than 2  Hours")</f>
        <v>1 - 2 Hours</v>
      </c>
      <c r="L744">
        <f>ROUND(Calls[[#This Row],[Satisfaction Rating]],0)</f>
        <v>4</v>
      </c>
    </row>
    <row r="745" spans="2:12" x14ac:dyDescent="0.3">
      <c r="B745" s="22" t="s">
        <v>767</v>
      </c>
      <c r="C745" s="4" t="s">
        <v>16</v>
      </c>
      <c r="D745" s="4">
        <v>136</v>
      </c>
      <c r="E745" s="5" t="s">
        <v>10</v>
      </c>
      <c r="F745" s="9">
        <v>45190</v>
      </c>
      <c r="G745" s="4">
        <v>36</v>
      </c>
      <c r="H745" s="23">
        <v>2.8</v>
      </c>
      <c r="I745">
        <f>IF(MONTH(Calls[[#This Row],[Date of Call]])&lt;6,YEAR(Calls[[#This Row],[Date of Call]]),YEAR(Calls[[#This Row],[Date of Call]])+1)</f>
        <v>2024</v>
      </c>
      <c r="J745" t="str">
        <f>TEXT(Calls[[#This Row],[Date of Call]],"DDDD")</f>
        <v>Thursday</v>
      </c>
      <c r="K745" t="str" cm="1">
        <f t="array" ref="K745">_xlfn.IFS(Calls[[#This Row],[Duration]]&lt;10,"Under 10 Mins",Calls[[#This Row],[Duration]]&lt;=30,"10 - 30 Mins",Calls[[#This Row],[Duration]]&lt;=60,"30 - 60 Mins",Calls[[#This Row],[Duration]]&lt;=120,"1 - 2 Hours",TRUE,"More than 2  Hours")</f>
        <v>More than 2  Hours</v>
      </c>
      <c r="L745">
        <f>ROUND(Calls[[#This Row],[Satisfaction Rating]],0)</f>
        <v>3</v>
      </c>
    </row>
    <row r="746" spans="2:12" x14ac:dyDescent="0.3">
      <c r="B746" s="22" t="s">
        <v>768</v>
      </c>
      <c r="C746" s="4" t="s">
        <v>12</v>
      </c>
      <c r="D746" s="4">
        <v>129</v>
      </c>
      <c r="E746" s="5" t="s">
        <v>11</v>
      </c>
      <c r="F746" s="9">
        <v>45191</v>
      </c>
      <c r="G746" s="4">
        <v>93</v>
      </c>
      <c r="H746" s="23">
        <v>4.7</v>
      </c>
      <c r="I746">
        <f>IF(MONTH(Calls[[#This Row],[Date of Call]])&lt;6,YEAR(Calls[[#This Row],[Date of Call]]),YEAR(Calls[[#This Row],[Date of Call]])+1)</f>
        <v>2024</v>
      </c>
      <c r="J746" t="str">
        <f>TEXT(Calls[[#This Row],[Date of Call]],"DDDD")</f>
        <v>Friday</v>
      </c>
      <c r="K746" t="str" cm="1">
        <f t="array" ref="K746">_xlfn.IFS(Calls[[#This Row],[Duration]]&lt;10,"Under 10 Mins",Calls[[#This Row],[Duration]]&lt;=30,"10 - 30 Mins",Calls[[#This Row],[Duration]]&lt;=60,"30 - 60 Mins",Calls[[#This Row],[Duration]]&lt;=120,"1 - 2 Hours",TRUE,"More than 2  Hours")</f>
        <v>More than 2  Hours</v>
      </c>
      <c r="L746">
        <f>ROUND(Calls[[#This Row],[Satisfaction Rating]],0)</f>
        <v>5</v>
      </c>
    </row>
    <row r="747" spans="2:12" x14ac:dyDescent="0.3">
      <c r="B747" s="22" t="s">
        <v>769</v>
      </c>
      <c r="C747" s="4" t="s">
        <v>18</v>
      </c>
      <c r="D747" s="4">
        <v>120</v>
      </c>
      <c r="E747" s="5" t="s">
        <v>10</v>
      </c>
      <c r="F747" s="9">
        <v>45191</v>
      </c>
      <c r="G747" s="4">
        <v>38</v>
      </c>
      <c r="H747" s="23">
        <v>4.2</v>
      </c>
      <c r="I747">
        <f>IF(MONTH(Calls[[#This Row],[Date of Call]])&lt;6,YEAR(Calls[[#This Row],[Date of Call]]),YEAR(Calls[[#This Row],[Date of Call]])+1)</f>
        <v>2024</v>
      </c>
      <c r="J747" t="str">
        <f>TEXT(Calls[[#This Row],[Date of Call]],"DDDD")</f>
        <v>Friday</v>
      </c>
      <c r="K747" t="str" cm="1">
        <f t="array" ref="K747">_xlfn.IFS(Calls[[#This Row],[Duration]]&lt;10,"Under 10 Mins",Calls[[#This Row],[Duration]]&lt;=30,"10 - 30 Mins",Calls[[#This Row],[Duration]]&lt;=60,"30 - 60 Mins",Calls[[#This Row],[Duration]]&lt;=120,"1 - 2 Hours",TRUE,"More than 2  Hours")</f>
        <v>1 - 2 Hours</v>
      </c>
      <c r="L747">
        <f>ROUND(Calls[[#This Row],[Satisfaction Rating]],0)</f>
        <v>4</v>
      </c>
    </row>
    <row r="748" spans="2:12" x14ac:dyDescent="0.3">
      <c r="B748" s="22" t="s">
        <v>770</v>
      </c>
      <c r="C748" s="4" t="s">
        <v>23</v>
      </c>
      <c r="D748" s="4">
        <v>108</v>
      </c>
      <c r="E748" s="5" t="s">
        <v>11</v>
      </c>
      <c r="F748" s="9">
        <v>45192</v>
      </c>
      <c r="G748" s="4">
        <v>66</v>
      </c>
      <c r="H748" s="23">
        <v>3.9</v>
      </c>
      <c r="I748">
        <f>IF(MONTH(Calls[[#This Row],[Date of Call]])&lt;6,YEAR(Calls[[#This Row],[Date of Call]]),YEAR(Calls[[#This Row],[Date of Call]])+1)</f>
        <v>2024</v>
      </c>
      <c r="J748" t="str">
        <f>TEXT(Calls[[#This Row],[Date of Call]],"DDDD")</f>
        <v>Saturday</v>
      </c>
      <c r="K748" t="str" cm="1">
        <f t="array" ref="K748">_xlfn.IFS(Calls[[#This Row],[Duration]]&lt;10,"Under 10 Mins",Calls[[#This Row],[Duration]]&lt;=30,"10 - 30 Mins",Calls[[#This Row],[Duration]]&lt;=60,"30 - 60 Mins",Calls[[#This Row],[Duration]]&lt;=120,"1 - 2 Hours",TRUE,"More than 2  Hours")</f>
        <v>1 - 2 Hours</v>
      </c>
      <c r="L748">
        <f>ROUND(Calls[[#This Row],[Satisfaction Rating]],0)</f>
        <v>4</v>
      </c>
    </row>
    <row r="749" spans="2:12" x14ac:dyDescent="0.3">
      <c r="B749" s="22" t="s">
        <v>771</v>
      </c>
      <c r="C749" s="4" t="s">
        <v>15</v>
      </c>
      <c r="D749" s="4">
        <v>79</v>
      </c>
      <c r="E749" s="5" t="s">
        <v>10</v>
      </c>
      <c r="F749" s="9">
        <v>45192</v>
      </c>
      <c r="G749" s="4">
        <v>215</v>
      </c>
      <c r="H749" s="23">
        <v>4.5999999999999996</v>
      </c>
      <c r="I749">
        <f>IF(MONTH(Calls[[#This Row],[Date of Call]])&lt;6,YEAR(Calls[[#This Row],[Date of Call]]),YEAR(Calls[[#This Row],[Date of Call]])+1)</f>
        <v>2024</v>
      </c>
      <c r="J749" t="str">
        <f>TEXT(Calls[[#This Row],[Date of Call]],"DDDD")</f>
        <v>Saturday</v>
      </c>
      <c r="K749" t="str" cm="1">
        <f t="array" ref="K749">_xlfn.IFS(Calls[[#This Row],[Duration]]&lt;10,"Under 10 Mins",Calls[[#This Row],[Duration]]&lt;=30,"10 - 30 Mins",Calls[[#This Row],[Duration]]&lt;=60,"30 - 60 Mins",Calls[[#This Row],[Duration]]&lt;=120,"1 - 2 Hours",TRUE,"More than 2  Hours")</f>
        <v>1 - 2 Hours</v>
      </c>
      <c r="L749">
        <f>ROUND(Calls[[#This Row],[Satisfaction Rating]],0)</f>
        <v>5</v>
      </c>
    </row>
    <row r="750" spans="2:12" x14ac:dyDescent="0.3">
      <c r="B750" s="22" t="s">
        <v>772</v>
      </c>
      <c r="C750" s="4" t="s">
        <v>15</v>
      </c>
      <c r="D750" s="4">
        <v>45</v>
      </c>
      <c r="E750" s="5" t="s">
        <v>11</v>
      </c>
      <c r="F750" s="9">
        <v>45192</v>
      </c>
      <c r="G750" s="4">
        <v>92</v>
      </c>
      <c r="H750" s="23">
        <v>4.3</v>
      </c>
      <c r="I750">
        <f>IF(MONTH(Calls[[#This Row],[Date of Call]])&lt;6,YEAR(Calls[[#This Row],[Date of Call]]),YEAR(Calls[[#This Row],[Date of Call]])+1)</f>
        <v>2024</v>
      </c>
      <c r="J750" t="str">
        <f>TEXT(Calls[[#This Row],[Date of Call]],"DDDD")</f>
        <v>Saturday</v>
      </c>
      <c r="K750" t="str" cm="1">
        <f t="array" ref="K750">_xlfn.IFS(Calls[[#This Row],[Duration]]&lt;10,"Under 10 Mins",Calls[[#This Row],[Duration]]&lt;=30,"10 - 30 Mins",Calls[[#This Row],[Duration]]&lt;=60,"30 - 60 Mins",Calls[[#This Row],[Duration]]&lt;=120,"1 - 2 Hours",TRUE,"More than 2  Hours")</f>
        <v>30 - 60 Mins</v>
      </c>
      <c r="L750">
        <f>ROUND(Calls[[#This Row],[Satisfaction Rating]],0)</f>
        <v>4</v>
      </c>
    </row>
    <row r="751" spans="2:12" x14ac:dyDescent="0.3">
      <c r="B751" s="22" t="s">
        <v>773</v>
      </c>
      <c r="C751" s="4" t="s">
        <v>8</v>
      </c>
      <c r="D751" s="4">
        <v>96</v>
      </c>
      <c r="E751" s="5" t="s">
        <v>10</v>
      </c>
      <c r="F751" s="9">
        <v>45192</v>
      </c>
      <c r="G751" s="4">
        <v>80</v>
      </c>
      <c r="H751" s="23">
        <v>3.6</v>
      </c>
      <c r="I751">
        <f>IF(MONTH(Calls[[#This Row],[Date of Call]])&lt;6,YEAR(Calls[[#This Row],[Date of Call]]),YEAR(Calls[[#This Row],[Date of Call]])+1)</f>
        <v>2024</v>
      </c>
      <c r="J751" t="str">
        <f>TEXT(Calls[[#This Row],[Date of Call]],"DDDD")</f>
        <v>Saturday</v>
      </c>
      <c r="K751" t="str" cm="1">
        <f t="array" ref="K751">_xlfn.IFS(Calls[[#This Row],[Duration]]&lt;10,"Under 10 Mins",Calls[[#This Row],[Duration]]&lt;=30,"10 - 30 Mins",Calls[[#This Row],[Duration]]&lt;=60,"30 - 60 Mins",Calls[[#This Row],[Duration]]&lt;=120,"1 - 2 Hours",TRUE,"More than 2  Hours")</f>
        <v>1 - 2 Hours</v>
      </c>
      <c r="L751">
        <f>ROUND(Calls[[#This Row],[Satisfaction Rating]],0)</f>
        <v>4</v>
      </c>
    </row>
    <row r="752" spans="2:12" x14ac:dyDescent="0.3">
      <c r="B752" s="22" t="s">
        <v>774</v>
      </c>
      <c r="C752" s="4" t="s">
        <v>8</v>
      </c>
      <c r="D752" s="4">
        <v>81</v>
      </c>
      <c r="E752" s="5" t="s">
        <v>10</v>
      </c>
      <c r="F752" s="9">
        <v>45193</v>
      </c>
      <c r="G752" s="4">
        <v>123</v>
      </c>
      <c r="H752" s="23">
        <v>4.9000000000000004</v>
      </c>
      <c r="I752">
        <f>IF(MONTH(Calls[[#This Row],[Date of Call]])&lt;6,YEAR(Calls[[#This Row],[Date of Call]]),YEAR(Calls[[#This Row],[Date of Call]])+1)</f>
        <v>2024</v>
      </c>
      <c r="J752" t="str">
        <f>TEXT(Calls[[#This Row],[Date of Call]],"DDDD")</f>
        <v>Sunday</v>
      </c>
      <c r="K752" t="str" cm="1">
        <f t="array" ref="K752">_xlfn.IFS(Calls[[#This Row],[Duration]]&lt;10,"Under 10 Mins",Calls[[#This Row],[Duration]]&lt;=30,"10 - 30 Mins",Calls[[#This Row],[Duration]]&lt;=60,"30 - 60 Mins",Calls[[#This Row],[Duration]]&lt;=120,"1 - 2 Hours",TRUE,"More than 2  Hours")</f>
        <v>1 - 2 Hours</v>
      </c>
      <c r="L752">
        <f>ROUND(Calls[[#This Row],[Satisfaction Rating]],0)</f>
        <v>5</v>
      </c>
    </row>
    <row r="753" spans="2:12" x14ac:dyDescent="0.3">
      <c r="B753" s="22" t="s">
        <v>775</v>
      </c>
      <c r="C753" s="4" t="s">
        <v>16</v>
      </c>
      <c r="D753" s="4">
        <v>95</v>
      </c>
      <c r="E753" s="5" t="s">
        <v>13</v>
      </c>
      <c r="F753" s="9">
        <v>45193</v>
      </c>
      <c r="G753" s="4">
        <v>23</v>
      </c>
      <c r="H753" s="23">
        <v>2.4</v>
      </c>
      <c r="I753">
        <f>IF(MONTH(Calls[[#This Row],[Date of Call]])&lt;6,YEAR(Calls[[#This Row],[Date of Call]]),YEAR(Calls[[#This Row],[Date of Call]])+1)</f>
        <v>2024</v>
      </c>
      <c r="J753" t="str">
        <f>TEXT(Calls[[#This Row],[Date of Call]],"DDDD")</f>
        <v>Sunday</v>
      </c>
      <c r="K753" t="str" cm="1">
        <f t="array" ref="K753">_xlfn.IFS(Calls[[#This Row],[Duration]]&lt;10,"Under 10 Mins",Calls[[#This Row],[Duration]]&lt;=30,"10 - 30 Mins",Calls[[#This Row],[Duration]]&lt;=60,"30 - 60 Mins",Calls[[#This Row],[Duration]]&lt;=120,"1 - 2 Hours",TRUE,"More than 2  Hours")</f>
        <v>1 - 2 Hours</v>
      </c>
      <c r="L753">
        <f>ROUND(Calls[[#This Row],[Satisfaction Rating]],0)</f>
        <v>2</v>
      </c>
    </row>
    <row r="754" spans="2:12" x14ac:dyDescent="0.3">
      <c r="B754" s="22" t="s">
        <v>776</v>
      </c>
      <c r="C754" s="4" t="s">
        <v>19</v>
      </c>
      <c r="D754" s="4">
        <v>159</v>
      </c>
      <c r="E754" s="5" t="s">
        <v>9</v>
      </c>
      <c r="F754" s="9">
        <v>45193</v>
      </c>
      <c r="G754" s="4">
        <v>63</v>
      </c>
      <c r="H754" s="23">
        <v>4.2</v>
      </c>
      <c r="I754">
        <f>IF(MONTH(Calls[[#This Row],[Date of Call]])&lt;6,YEAR(Calls[[#This Row],[Date of Call]]),YEAR(Calls[[#This Row],[Date of Call]])+1)</f>
        <v>2024</v>
      </c>
      <c r="J754" t="str">
        <f>TEXT(Calls[[#This Row],[Date of Call]],"DDDD")</f>
        <v>Sunday</v>
      </c>
      <c r="K754" t="str" cm="1">
        <f t="array" ref="K754">_xlfn.IFS(Calls[[#This Row],[Duration]]&lt;10,"Under 10 Mins",Calls[[#This Row],[Duration]]&lt;=30,"10 - 30 Mins",Calls[[#This Row],[Duration]]&lt;=60,"30 - 60 Mins",Calls[[#This Row],[Duration]]&lt;=120,"1 - 2 Hours",TRUE,"More than 2  Hours")</f>
        <v>More than 2  Hours</v>
      </c>
      <c r="L754">
        <f>ROUND(Calls[[#This Row],[Satisfaction Rating]],0)</f>
        <v>4</v>
      </c>
    </row>
    <row r="755" spans="2:12" x14ac:dyDescent="0.3">
      <c r="B755" s="22" t="s">
        <v>777</v>
      </c>
      <c r="C755" s="4" t="s">
        <v>5</v>
      </c>
      <c r="D755" s="4">
        <v>109</v>
      </c>
      <c r="E755" s="5" t="s">
        <v>6</v>
      </c>
      <c r="F755" s="9">
        <v>45193</v>
      </c>
      <c r="G755" s="4">
        <v>52</v>
      </c>
      <c r="H755" s="23">
        <v>3.9</v>
      </c>
      <c r="I755">
        <f>IF(MONTH(Calls[[#This Row],[Date of Call]])&lt;6,YEAR(Calls[[#This Row],[Date of Call]]),YEAR(Calls[[#This Row],[Date of Call]])+1)</f>
        <v>2024</v>
      </c>
      <c r="J755" t="str">
        <f>TEXT(Calls[[#This Row],[Date of Call]],"DDDD")</f>
        <v>Sunday</v>
      </c>
      <c r="K755" t="str" cm="1">
        <f t="array" ref="K755">_xlfn.IFS(Calls[[#This Row],[Duration]]&lt;10,"Under 10 Mins",Calls[[#This Row],[Duration]]&lt;=30,"10 - 30 Mins",Calls[[#This Row],[Duration]]&lt;=60,"30 - 60 Mins",Calls[[#This Row],[Duration]]&lt;=120,"1 - 2 Hours",TRUE,"More than 2  Hours")</f>
        <v>1 - 2 Hours</v>
      </c>
      <c r="L755">
        <f>ROUND(Calls[[#This Row],[Satisfaction Rating]],0)</f>
        <v>4</v>
      </c>
    </row>
    <row r="756" spans="2:12" x14ac:dyDescent="0.3">
      <c r="B756" s="22" t="s">
        <v>778</v>
      </c>
      <c r="C756" s="4" t="s">
        <v>15</v>
      </c>
      <c r="D756" s="4">
        <v>107</v>
      </c>
      <c r="E756" s="5" t="s">
        <v>6</v>
      </c>
      <c r="F756" s="9">
        <v>45193</v>
      </c>
      <c r="G756" s="4">
        <v>60</v>
      </c>
      <c r="H756" s="23">
        <v>4.2</v>
      </c>
      <c r="I756">
        <f>IF(MONTH(Calls[[#This Row],[Date of Call]])&lt;6,YEAR(Calls[[#This Row],[Date of Call]]),YEAR(Calls[[#This Row],[Date of Call]])+1)</f>
        <v>2024</v>
      </c>
      <c r="J756" t="str">
        <f>TEXT(Calls[[#This Row],[Date of Call]],"DDDD")</f>
        <v>Sunday</v>
      </c>
      <c r="K756" t="str" cm="1">
        <f t="array" ref="K756">_xlfn.IFS(Calls[[#This Row],[Duration]]&lt;10,"Under 10 Mins",Calls[[#This Row],[Duration]]&lt;=30,"10 - 30 Mins",Calls[[#This Row],[Duration]]&lt;=60,"30 - 60 Mins",Calls[[#This Row],[Duration]]&lt;=120,"1 - 2 Hours",TRUE,"More than 2  Hours")</f>
        <v>1 - 2 Hours</v>
      </c>
      <c r="L756">
        <f>ROUND(Calls[[#This Row],[Satisfaction Rating]],0)</f>
        <v>4</v>
      </c>
    </row>
    <row r="757" spans="2:12" x14ac:dyDescent="0.3">
      <c r="B757" s="22" t="s">
        <v>779</v>
      </c>
      <c r="C757" s="4" t="s">
        <v>8</v>
      </c>
      <c r="D757" s="4">
        <v>67</v>
      </c>
      <c r="E757" s="5" t="s">
        <v>11</v>
      </c>
      <c r="F757" s="9">
        <v>45194</v>
      </c>
      <c r="G757" s="4">
        <v>87</v>
      </c>
      <c r="H757" s="23">
        <v>3.9</v>
      </c>
      <c r="I757">
        <f>IF(MONTH(Calls[[#This Row],[Date of Call]])&lt;6,YEAR(Calls[[#This Row],[Date of Call]]),YEAR(Calls[[#This Row],[Date of Call]])+1)</f>
        <v>2024</v>
      </c>
      <c r="J757" t="str">
        <f>TEXT(Calls[[#This Row],[Date of Call]],"DDDD")</f>
        <v>Monday</v>
      </c>
      <c r="K757" t="str" cm="1">
        <f t="array" ref="K757">_xlfn.IFS(Calls[[#This Row],[Duration]]&lt;10,"Under 10 Mins",Calls[[#This Row],[Duration]]&lt;=30,"10 - 30 Mins",Calls[[#This Row],[Duration]]&lt;=60,"30 - 60 Mins",Calls[[#This Row],[Duration]]&lt;=120,"1 - 2 Hours",TRUE,"More than 2  Hours")</f>
        <v>1 - 2 Hours</v>
      </c>
      <c r="L757">
        <f>ROUND(Calls[[#This Row],[Satisfaction Rating]],0)</f>
        <v>4</v>
      </c>
    </row>
    <row r="758" spans="2:12" x14ac:dyDescent="0.3">
      <c r="B758" s="22" t="s">
        <v>780</v>
      </c>
      <c r="C758" s="4" t="s">
        <v>24</v>
      </c>
      <c r="D758" s="4">
        <v>96</v>
      </c>
      <c r="E758" s="5" t="s">
        <v>10</v>
      </c>
      <c r="F758" s="9">
        <v>45195</v>
      </c>
      <c r="G758" s="4">
        <v>42</v>
      </c>
      <c r="H758" s="23">
        <v>4.5</v>
      </c>
      <c r="I758">
        <f>IF(MONTH(Calls[[#This Row],[Date of Call]])&lt;6,YEAR(Calls[[#This Row],[Date of Call]]),YEAR(Calls[[#This Row],[Date of Call]])+1)</f>
        <v>2024</v>
      </c>
      <c r="J758" t="str">
        <f>TEXT(Calls[[#This Row],[Date of Call]],"DDDD")</f>
        <v>Tuesday</v>
      </c>
      <c r="K758" t="str" cm="1">
        <f t="array" ref="K758">_xlfn.IFS(Calls[[#This Row],[Duration]]&lt;10,"Under 10 Mins",Calls[[#This Row],[Duration]]&lt;=30,"10 - 30 Mins",Calls[[#This Row],[Duration]]&lt;=60,"30 - 60 Mins",Calls[[#This Row],[Duration]]&lt;=120,"1 - 2 Hours",TRUE,"More than 2  Hours")</f>
        <v>1 - 2 Hours</v>
      </c>
      <c r="L758">
        <f>ROUND(Calls[[#This Row],[Satisfaction Rating]],0)</f>
        <v>5</v>
      </c>
    </row>
    <row r="759" spans="2:12" x14ac:dyDescent="0.3">
      <c r="B759" s="22" t="s">
        <v>781</v>
      </c>
      <c r="C759" s="4" t="s">
        <v>7</v>
      </c>
      <c r="D759" s="4">
        <v>142</v>
      </c>
      <c r="E759" s="5" t="s">
        <v>9</v>
      </c>
      <c r="F759" s="9">
        <v>45196</v>
      </c>
      <c r="G759" s="4">
        <v>37</v>
      </c>
      <c r="H759" s="23">
        <v>3.8</v>
      </c>
      <c r="I759">
        <f>IF(MONTH(Calls[[#This Row],[Date of Call]])&lt;6,YEAR(Calls[[#This Row],[Date of Call]]),YEAR(Calls[[#This Row],[Date of Call]])+1)</f>
        <v>2024</v>
      </c>
      <c r="J759" t="str">
        <f>TEXT(Calls[[#This Row],[Date of Call]],"DDDD")</f>
        <v>Wednesday</v>
      </c>
      <c r="K759" t="str" cm="1">
        <f t="array" ref="K759">_xlfn.IFS(Calls[[#This Row],[Duration]]&lt;10,"Under 10 Mins",Calls[[#This Row],[Duration]]&lt;=30,"10 - 30 Mins",Calls[[#This Row],[Duration]]&lt;=60,"30 - 60 Mins",Calls[[#This Row],[Duration]]&lt;=120,"1 - 2 Hours",TRUE,"More than 2  Hours")</f>
        <v>More than 2  Hours</v>
      </c>
      <c r="L759">
        <f>ROUND(Calls[[#This Row],[Satisfaction Rating]],0)</f>
        <v>4</v>
      </c>
    </row>
    <row r="760" spans="2:12" x14ac:dyDescent="0.3">
      <c r="B760" s="22" t="s">
        <v>782</v>
      </c>
      <c r="C760" s="4" t="s">
        <v>7</v>
      </c>
      <c r="D760" s="4">
        <v>71</v>
      </c>
      <c r="E760" s="5" t="s">
        <v>13</v>
      </c>
      <c r="F760" s="9">
        <v>45196</v>
      </c>
      <c r="G760" s="4">
        <v>135</v>
      </c>
      <c r="H760" s="23">
        <v>3.9</v>
      </c>
      <c r="I760">
        <f>IF(MONTH(Calls[[#This Row],[Date of Call]])&lt;6,YEAR(Calls[[#This Row],[Date of Call]]),YEAR(Calls[[#This Row],[Date of Call]])+1)</f>
        <v>2024</v>
      </c>
      <c r="J760" t="str">
        <f>TEXT(Calls[[#This Row],[Date of Call]],"DDDD")</f>
        <v>Wednesday</v>
      </c>
      <c r="K760" t="str" cm="1">
        <f t="array" ref="K760">_xlfn.IFS(Calls[[#This Row],[Duration]]&lt;10,"Under 10 Mins",Calls[[#This Row],[Duration]]&lt;=30,"10 - 30 Mins",Calls[[#This Row],[Duration]]&lt;=60,"30 - 60 Mins",Calls[[#This Row],[Duration]]&lt;=120,"1 - 2 Hours",TRUE,"More than 2  Hours")</f>
        <v>1 - 2 Hours</v>
      </c>
      <c r="L760">
        <f>ROUND(Calls[[#This Row],[Satisfaction Rating]],0)</f>
        <v>4</v>
      </c>
    </row>
    <row r="761" spans="2:12" x14ac:dyDescent="0.3">
      <c r="B761" s="22" t="s">
        <v>783</v>
      </c>
      <c r="C761" s="4" t="s">
        <v>24</v>
      </c>
      <c r="D761" s="4">
        <v>152</v>
      </c>
      <c r="E761" s="5" t="s">
        <v>13</v>
      </c>
      <c r="F761" s="9">
        <v>45196</v>
      </c>
      <c r="G761" s="4">
        <v>88</v>
      </c>
      <c r="H761" s="23">
        <v>4.7</v>
      </c>
      <c r="I761">
        <f>IF(MONTH(Calls[[#This Row],[Date of Call]])&lt;6,YEAR(Calls[[#This Row],[Date of Call]]),YEAR(Calls[[#This Row],[Date of Call]])+1)</f>
        <v>2024</v>
      </c>
      <c r="J761" t="str">
        <f>TEXT(Calls[[#This Row],[Date of Call]],"DDDD")</f>
        <v>Wednesday</v>
      </c>
      <c r="K761" t="str" cm="1">
        <f t="array" ref="K761">_xlfn.IFS(Calls[[#This Row],[Duration]]&lt;10,"Under 10 Mins",Calls[[#This Row],[Duration]]&lt;=30,"10 - 30 Mins",Calls[[#This Row],[Duration]]&lt;=60,"30 - 60 Mins",Calls[[#This Row],[Duration]]&lt;=120,"1 - 2 Hours",TRUE,"More than 2  Hours")</f>
        <v>More than 2  Hours</v>
      </c>
      <c r="L761">
        <f>ROUND(Calls[[#This Row],[Satisfaction Rating]],0)</f>
        <v>5</v>
      </c>
    </row>
    <row r="762" spans="2:12" x14ac:dyDescent="0.3">
      <c r="B762" s="22" t="s">
        <v>784</v>
      </c>
      <c r="C762" s="4" t="s">
        <v>17</v>
      </c>
      <c r="D762" s="4">
        <v>108</v>
      </c>
      <c r="E762" s="5" t="s">
        <v>9</v>
      </c>
      <c r="F762" s="9">
        <v>45196</v>
      </c>
      <c r="G762" s="4">
        <v>190</v>
      </c>
      <c r="H762" s="23">
        <v>3.2</v>
      </c>
      <c r="I762">
        <f>IF(MONTH(Calls[[#This Row],[Date of Call]])&lt;6,YEAR(Calls[[#This Row],[Date of Call]]),YEAR(Calls[[#This Row],[Date of Call]])+1)</f>
        <v>2024</v>
      </c>
      <c r="J762" t="str">
        <f>TEXT(Calls[[#This Row],[Date of Call]],"DDDD")</f>
        <v>Wednesday</v>
      </c>
      <c r="K762" t="str" cm="1">
        <f t="array" ref="K762">_xlfn.IFS(Calls[[#This Row],[Duration]]&lt;10,"Under 10 Mins",Calls[[#This Row],[Duration]]&lt;=30,"10 - 30 Mins",Calls[[#This Row],[Duration]]&lt;=60,"30 - 60 Mins",Calls[[#This Row],[Duration]]&lt;=120,"1 - 2 Hours",TRUE,"More than 2  Hours")</f>
        <v>1 - 2 Hours</v>
      </c>
      <c r="L762">
        <f>ROUND(Calls[[#This Row],[Satisfaction Rating]],0)</f>
        <v>3</v>
      </c>
    </row>
    <row r="763" spans="2:12" x14ac:dyDescent="0.3">
      <c r="B763" s="22" t="s">
        <v>785</v>
      </c>
      <c r="C763" s="4" t="s">
        <v>17</v>
      </c>
      <c r="D763" s="4">
        <v>156</v>
      </c>
      <c r="E763" s="5" t="s">
        <v>13</v>
      </c>
      <c r="F763" s="9">
        <v>45196</v>
      </c>
      <c r="G763" s="4">
        <v>81</v>
      </c>
      <c r="H763" s="23">
        <v>5</v>
      </c>
      <c r="I763">
        <f>IF(MONTH(Calls[[#This Row],[Date of Call]])&lt;6,YEAR(Calls[[#This Row],[Date of Call]]),YEAR(Calls[[#This Row],[Date of Call]])+1)</f>
        <v>2024</v>
      </c>
      <c r="J763" t="str">
        <f>TEXT(Calls[[#This Row],[Date of Call]],"DDDD")</f>
        <v>Wednesday</v>
      </c>
      <c r="K763" t="str" cm="1">
        <f t="array" ref="K763">_xlfn.IFS(Calls[[#This Row],[Duration]]&lt;10,"Under 10 Mins",Calls[[#This Row],[Duration]]&lt;=30,"10 - 30 Mins",Calls[[#This Row],[Duration]]&lt;=60,"30 - 60 Mins",Calls[[#This Row],[Duration]]&lt;=120,"1 - 2 Hours",TRUE,"More than 2  Hours")</f>
        <v>More than 2  Hours</v>
      </c>
      <c r="L763">
        <f>ROUND(Calls[[#This Row],[Satisfaction Rating]],0)</f>
        <v>5</v>
      </c>
    </row>
    <row r="764" spans="2:12" x14ac:dyDescent="0.3">
      <c r="B764" s="22" t="s">
        <v>786</v>
      </c>
      <c r="C764" s="4" t="s">
        <v>7</v>
      </c>
      <c r="D764" s="4">
        <v>126</v>
      </c>
      <c r="E764" s="5" t="s">
        <v>9</v>
      </c>
      <c r="F764" s="9">
        <v>45196</v>
      </c>
      <c r="G764" s="4">
        <v>44</v>
      </c>
      <c r="H764" s="23">
        <v>3.7</v>
      </c>
      <c r="I764">
        <f>IF(MONTH(Calls[[#This Row],[Date of Call]])&lt;6,YEAR(Calls[[#This Row],[Date of Call]]),YEAR(Calls[[#This Row],[Date of Call]])+1)</f>
        <v>2024</v>
      </c>
      <c r="J764" t="str">
        <f>TEXT(Calls[[#This Row],[Date of Call]],"DDDD")</f>
        <v>Wednesday</v>
      </c>
      <c r="K764" t="str" cm="1">
        <f t="array" ref="K764">_xlfn.IFS(Calls[[#This Row],[Duration]]&lt;10,"Under 10 Mins",Calls[[#This Row],[Duration]]&lt;=30,"10 - 30 Mins",Calls[[#This Row],[Duration]]&lt;=60,"30 - 60 Mins",Calls[[#This Row],[Duration]]&lt;=120,"1 - 2 Hours",TRUE,"More than 2  Hours")</f>
        <v>More than 2  Hours</v>
      </c>
      <c r="L764">
        <f>ROUND(Calls[[#This Row],[Satisfaction Rating]],0)</f>
        <v>4</v>
      </c>
    </row>
    <row r="765" spans="2:12" x14ac:dyDescent="0.3">
      <c r="B765" s="22" t="s">
        <v>787</v>
      </c>
      <c r="C765" s="4" t="s">
        <v>23</v>
      </c>
      <c r="D765" s="4">
        <v>135</v>
      </c>
      <c r="E765" s="5" t="s">
        <v>13</v>
      </c>
      <c r="F765" s="9">
        <v>45197</v>
      </c>
      <c r="G765" s="4">
        <v>92</v>
      </c>
      <c r="H765" s="23">
        <v>3.9</v>
      </c>
      <c r="I765">
        <f>IF(MONTH(Calls[[#This Row],[Date of Call]])&lt;6,YEAR(Calls[[#This Row],[Date of Call]]),YEAR(Calls[[#This Row],[Date of Call]])+1)</f>
        <v>2024</v>
      </c>
      <c r="J765" t="str">
        <f>TEXT(Calls[[#This Row],[Date of Call]],"DDDD")</f>
        <v>Thursday</v>
      </c>
      <c r="K765" t="str" cm="1">
        <f t="array" ref="K765">_xlfn.IFS(Calls[[#This Row],[Duration]]&lt;10,"Under 10 Mins",Calls[[#This Row],[Duration]]&lt;=30,"10 - 30 Mins",Calls[[#This Row],[Duration]]&lt;=60,"30 - 60 Mins",Calls[[#This Row],[Duration]]&lt;=120,"1 - 2 Hours",TRUE,"More than 2  Hours")</f>
        <v>More than 2  Hours</v>
      </c>
      <c r="L765">
        <f>ROUND(Calls[[#This Row],[Satisfaction Rating]],0)</f>
        <v>4</v>
      </c>
    </row>
    <row r="766" spans="2:12" x14ac:dyDescent="0.3">
      <c r="B766" s="22" t="s">
        <v>788</v>
      </c>
      <c r="C766" s="4" t="s">
        <v>7</v>
      </c>
      <c r="D766" s="4">
        <v>110</v>
      </c>
      <c r="E766" s="5" t="s">
        <v>10</v>
      </c>
      <c r="F766" s="9">
        <v>45198</v>
      </c>
      <c r="G766" s="4">
        <v>90</v>
      </c>
      <c r="H766" s="23">
        <v>3.1</v>
      </c>
      <c r="I766">
        <f>IF(MONTH(Calls[[#This Row],[Date of Call]])&lt;6,YEAR(Calls[[#This Row],[Date of Call]]),YEAR(Calls[[#This Row],[Date of Call]])+1)</f>
        <v>2024</v>
      </c>
      <c r="J766" t="str">
        <f>TEXT(Calls[[#This Row],[Date of Call]],"DDDD")</f>
        <v>Friday</v>
      </c>
      <c r="K766" t="str" cm="1">
        <f t="array" ref="K766">_xlfn.IFS(Calls[[#This Row],[Duration]]&lt;10,"Under 10 Mins",Calls[[#This Row],[Duration]]&lt;=30,"10 - 30 Mins",Calls[[#This Row],[Duration]]&lt;=60,"30 - 60 Mins",Calls[[#This Row],[Duration]]&lt;=120,"1 - 2 Hours",TRUE,"More than 2  Hours")</f>
        <v>1 - 2 Hours</v>
      </c>
      <c r="L766">
        <f>ROUND(Calls[[#This Row],[Satisfaction Rating]],0)</f>
        <v>3</v>
      </c>
    </row>
    <row r="767" spans="2:12" x14ac:dyDescent="0.3">
      <c r="B767" s="22" t="s">
        <v>789</v>
      </c>
      <c r="C767" s="4" t="s">
        <v>19</v>
      </c>
      <c r="D767" s="4">
        <v>64</v>
      </c>
      <c r="E767" s="5" t="s">
        <v>13</v>
      </c>
      <c r="F767" s="9">
        <v>45198</v>
      </c>
      <c r="G767" s="4">
        <v>112</v>
      </c>
      <c r="H767" s="23">
        <v>2</v>
      </c>
      <c r="I767">
        <f>IF(MONTH(Calls[[#This Row],[Date of Call]])&lt;6,YEAR(Calls[[#This Row],[Date of Call]]),YEAR(Calls[[#This Row],[Date of Call]])+1)</f>
        <v>2024</v>
      </c>
      <c r="J767" t="str">
        <f>TEXT(Calls[[#This Row],[Date of Call]],"DDDD")</f>
        <v>Friday</v>
      </c>
      <c r="K767" t="str" cm="1">
        <f t="array" ref="K767">_xlfn.IFS(Calls[[#This Row],[Duration]]&lt;10,"Under 10 Mins",Calls[[#This Row],[Duration]]&lt;=30,"10 - 30 Mins",Calls[[#This Row],[Duration]]&lt;=60,"30 - 60 Mins",Calls[[#This Row],[Duration]]&lt;=120,"1 - 2 Hours",TRUE,"More than 2  Hours")</f>
        <v>1 - 2 Hours</v>
      </c>
      <c r="L767">
        <f>ROUND(Calls[[#This Row],[Satisfaction Rating]],0)</f>
        <v>2</v>
      </c>
    </row>
    <row r="768" spans="2:12" x14ac:dyDescent="0.3">
      <c r="B768" s="22" t="s">
        <v>790</v>
      </c>
      <c r="C768" s="4" t="s">
        <v>22</v>
      </c>
      <c r="D768" s="4">
        <v>127</v>
      </c>
      <c r="E768" s="5" t="s">
        <v>9</v>
      </c>
      <c r="F768" s="9">
        <v>45198</v>
      </c>
      <c r="G768" s="4">
        <v>112</v>
      </c>
      <c r="H768" s="23">
        <v>4.5999999999999996</v>
      </c>
      <c r="I768">
        <f>IF(MONTH(Calls[[#This Row],[Date of Call]])&lt;6,YEAR(Calls[[#This Row],[Date of Call]]),YEAR(Calls[[#This Row],[Date of Call]])+1)</f>
        <v>2024</v>
      </c>
      <c r="J768" t="str">
        <f>TEXT(Calls[[#This Row],[Date of Call]],"DDDD")</f>
        <v>Friday</v>
      </c>
      <c r="K768" t="str" cm="1">
        <f t="array" ref="K768">_xlfn.IFS(Calls[[#This Row],[Duration]]&lt;10,"Under 10 Mins",Calls[[#This Row],[Duration]]&lt;=30,"10 - 30 Mins",Calls[[#This Row],[Duration]]&lt;=60,"30 - 60 Mins",Calls[[#This Row],[Duration]]&lt;=120,"1 - 2 Hours",TRUE,"More than 2  Hours")</f>
        <v>More than 2  Hours</v>
      </c>
      <c r="L768">
        <f>ROUND(Calls[[#This Row],[Satisfaction Rating]],0)</f>
        <v>5</v>
      </c>
    </row>
    <row r="769" spans="2:12" x14ac:dyDescent="0.3">
      <c r="B769" s="22" t="s">
        <v>791</v>
      </c>
      <c r="C769" s="4" t="s">
        <v>5</v>
      </c>
      <c r="D769" s="4">
        <v>124</v>
      </c>
      <c r="E769" s="5" t="s">
        <v>11</v>
      </c>
      <c r="F769" s="9">
        <v>45198</v>
      </c>
      <c r="G769" s="4">
        <v>48</v>
      </c>
      <c r="H769" s="23">
        <v>3.7</v>
      </c>
      <c r="I769">
        <f>IF(MONTH(Calls[[#This Row],[Date of Call]])&lt;6,YEAR(Calls[[#This Row],[Date of Call]]),YEAR(Calls[[#This Row],[Date of Call]])+1)</f>
        <v>2024</v>
      </c>
      <c r="J769" t="str">
        <f>TEXT(Calls[[#This Row],[Date of Call]],"DDDD")</f>
        <v>Friday</v>
      </c>
      <c r="K769" t="str" cm="1">
        <f t="array" ref="K769">_xlfn.IFS(Calls[[#This Row],[Duration]]&lt;10,"Under 10 Mins",Calls[[#This Row],[Duration]]&lt;=30,"10 - 30 Mins",Calls[[#This Row],[Duration]]&lt;=60,"30 - 60 Mins",Calls[[#This Row],[Duration]]&lt;=120,"1 - 2 Hours",TRUE,"More than 2  Hours")</f>
        <v>More than 2  Hours</v>
      </c>
      <c r="L769">
        <f>ROUND(Calls[[#This Row],[Satisfaction Rating]],0)</f>
        <v>4</v>
      </c>
    </row>
    <row r="770" spans="2:12" x14ac:dyDescent="0.3">
      <c r="B770" s="22" t="s">
        <v>792</v>
      </c>
      <c r="C770" s="4" t="s">
        <v>19</v>
      </c>
      <c r="D770" s="4">
        <v>125</v>
      </c>
      <c r="E770" s="5" t="s">
        <v>9</v>
      </c>
      <c r="F770" s="9">
        <v>45198</v>
      </c>
      <c r="G770" s="4">
        <v>116</v>
      </c>
      <c r="H770" s="23">
        <v>4.4000000000000004</v>
      </c>
      <c r="I770">
        <f>IF(MONTH(Calls[[#This Row],[Date of Call]])&lt;6,YEAR(Calls[[#This Row],[Date of Call]]),YEAR(Calls[[#This Row],[Date of Call]])+1)</f>
        <v>2024</v>
      </c>
      <c r="J770" t="str">
        <f>TEXT(Calls[[#This Row],[Date of Call]],"DDDD")</f>
        <v>Friday</v>
      </c>
      <c r="K770" t="str" cm="1">
        <f t="array" ref="K770">_xlfn.IFS(Calls[[#This Row],[Duration]]&lt;10,"Under 10 Mins",Calls[[#This Row],[Duration]]&lt;=30,"10 - 30 Mins",Calls[[#This Row],[Duration]]&lt;=60,"30 - 60 Mins",Calls[[#This Row],[Duration]]&lt;=120,"1 - 2 Hours",TRUE,"More than 2  Hours")</f>
        <v>More than 2  Hours</v>
      </c>
      <c r="L770">
        <f>ROUND(Calls[[#This Row],[Satisfaction Rating]],0)</f>
        <v>4</v>
      </c>
    </row>
    <row r="771" spans="2:12" x14ac:dyDescent="0.3">
      <c r="B771" s="22" t="s">
        <v>793</v>
      </c>
      <c r="C771" s="4" t="s">
        <v>12</v>
      </c>
      <c r="D771" s="4">
        <v>70</v>
      </c>
      <c r="E771" s="5" t="s">
        <v>9</v>
      </c>
      <c r="F771" s="9">
        <v>45198</v>
      </c>
      <c r="G771" s="4">
        <v>29</v>
      </c>
      <c r="H771" s="23">
        <v>2.1</v>
      </c>
      <c r="I771">
        <f>IF(MONTH(Calls[[#This Row],[Date of Call]])&lt;6,YEAR(Calls[[#This Row],[Date of Call]]),YEAR(Calls[[#This Row],[Date of Call]])+1)</f>
        <v>2024</v>
      </c>
      <c r="J771" t="str">
        <f>TEXT(Calls[[#This Row],[Date of Call]],"DDDD")</f>
        <v>Friday</v>
      </c>
      <c r="K771" t="str" cm="1">
        <f t="array" ref="K771">_xlfn.IFS(Calls[[#This Row],[Duration]]&lt;10,"Under 10 Mins",Calls[[#This Row],[Duration]]&lt;=30,"10 - 30 Mins",Calls[[#This Row],[Duration]]&lt;=60,"30 - 60 Mins",Calls[[#This Row],[Duration]]&lt;=120,"1 - 2 Hours",TRUE,"More than 2  Hours")</f>
        <v>1 - 2 Hours</v>
      </c>
      <c r="L771">
        <f>ROUND(Calls[[#This Row],[Satisfaction Rating]],0)</f>
        <v>2</v>
      </c>
    </row>
    <row r="772" spans="2:12" x14ac:dyDescent="0.3">
      <c r="B772" s="22" t="s">
        <v>794</v>
      </c>
      <c r="C772" s="4" t="s">
        <v>22</v>
      </c>
      <c r="D772" s="4">
        <v>93</v>
      </c>
      <c r="E772" s="5" t="s">
        <v>13</v>
      </c>
      <c r="F772" s="9">
        <v>45199</v>
      </c>
      <c r="G772" s="4">
        <v>170</v>
      </c>
      <c r="H772" s="23">
        <v>2.2000000000000002</v>
      </c>
      <c r="I772">
        <f>IF(MONTH(Calls[[#This Row],[Date of Call]])&lt;6,YEAR(Calls[[#This Row],[Date of Call]]),YEAR(Calls[[#This Row],[Date of Call]])+1)</f>
        <v>2024</v>
      </c>
      <c r="J772" t="str">
        <f>TEXT(Calls[[#This Row],[Date of Call]],"DDDD")</f>
        <v>Saturday</v>
      </c>
      <c r="K772" t="str" cm="1">
        <f t="array" ref="K772">_xlfn.IFS(Calls[[#This Row],[Duration]]&lt;10,"Under 10 Mins",Calls[[#This Row],[Duration]]&lt;=30,"10 - 30 Mins",Calls[[#This Row],[Duration]]&lt;=60,"30 - 60 Mins",Calls[[#This Row],[Duration]]&lt;=120,"1 - 2 Hours",TRUE,"More than 2  Hours")</f>
        <v>1 - 2 Hours</v>
      </c>
      <c r="L772">
        <f>ROUND(Calls[[#This Row],[Satisfaction Rating]],0)</f>
        <v>2</v>
      </c>
    </row>
    <row r="773" spans="2:12" x14ac:dyDescent="0.3">
      <c r="B773" s="22" t="s">
        <v>795</v>
      </c>
      <c r="C773" s="4" t="s">
        <v>12</v>
      </c>
      <c r="D773" s="4">
        <v>120</v>
      </c>
      <c r="E773" s="5" t="s">
        <v>6</v>
      </c>
      <c r="F773" s="9">
        <v>45199</v>
      </c>
      <c r="G773" s="4">
        <v>68</v>
      </c>
      <c r="H773" s="23">
        <v>3.4</v>
      </c>
      <c r="I773">
        <f>IF(MONTH(Calls[[#This Row],[Date of Call]])&lt;6,YEAR(Calls[[#This Row],[Date of Call]]),YEAR(Calls[[#This Row],[Date of Call]])+1)</f>
        <v>2024</v>
      </c>
      <c r="J773" t="str">
        <f>TEXT(Calls[[#This Row],[Date of Call]],"DDDD")</f>
        <v>Saturday</v>
      </c>
      <c r="K773" t="str" cm="1">
        <f t="array" ref="K773">_xlfn.IFS(Calls[[#This Row],[Duration]]&lt;10,"Under 10 Mins",Calls[[#This Row],[Duration]]&lt;=30,"10 - 30 Mins",Calls[[#This Row],[Duration]]&lt;=60,"30 - 60 Mins",Calls[[#This Row],[Duration]]&lt;=120,"1 - 2 Hours",TRUE,"More than 2  Hours")</f>
        <v>1 - 2 Hours</v>
      </c>
      <c r="L773">
        <f>ROUND(Calls[[#This Row],[Satisfaction Rating]],0)</f>
        <v>3</v>
      </c>
    </row>
    <row r="774" spans="2:12" x14ac:dyDescent="0.3">
      <c r="B774" s="22" t="s">
        <v>796</v>
      </c>
      <c r="C774" s="4" t="s">
        <v>8</v>
      </c>
      <c r="D774" s="4">
        <v>96</v>
      </c>
      <c r="E774" s="5" t="s">
        <v>10</v>
      </c>
      <c r="F774" s="9">
        <v>45199</v>
      </c>
      <c r="G774" s="4">
        <v>195</v>
      </c>
      <c r="H774" s="23">
        <v>2.7</v>
      </c>
      <c r="I774">
        <f>IF(MONTH(Calls[[#This Row],[Date of Call]])&lt;6,YEAR(Calls[[#This Row],[Date of Call]]),YEAR(Calls[[#This Row],[Date of Call]])+1)</f>
        <v>2024</v>
      </c>
      <c r="J774" t="str">
        <f>TEXT(Calls[[#This Row],[Date of Call]],"DDDD")</f>
        <v>Saturday</v>
      </c>
      <c r="K774" t="str" cm="1">
        <f t="array" ref="K774">_xlfn.IFS(Calls[[#This Row],[Duration]]&lt;10,"Under 10 Mins",Calls[[#This Row],[Duration]]&lt;=30,"10 - 30 Mins",Calls[[#This Row],[Duration]]&lt;=60,"30 - 60 Mins",Calls[[#This Row],[Duration]]&lt;=120,"1 - 2 Hours",TRUE,"More than 2  Hours")</f>
        <v>1 - 2 Hours</v>
      </c>
      <c r="L774">
        <f>ROUND(Calls[[#This Row],[Satisfaction Rating]],0)</f>
        <v>3</v>
      </c>
    </row>
    <row r="775" spans="2:12" x14ac:dyDescent="0.3">
      <c r="B775" s="22" t="s">
        <v>797</v>
      </c>
      <c r="C775" s="4" t="s">
        <v>21</v>
      </c>
      <c r="D775" s="4">
        <v>67</v>
      </c>
      <c r="E775" s="5" t="s">
        <v>10</v>
      </c>
      <c r="F775" s="9">
        <v>45199</v>
      </c>
      <c r="G775" s="4">
        <v>96</v>
      </c>
      <c r="H775" s="23">
        <v>3.7</v>
      </c>
      <c r="I775">
        <f>IF(MONTH(Calls[[#This Row],[Date of Call]])&lt;6,YEAR(Calls[[#This Row],[Date of Call]]),YEAR(Calls[[#This Row],[Date of Call]])+1)</f>
        <v>2024</v>
      </c>
      <c r="J775" t="str">
        <f>TEXT(Calls[[#This Row],[Date of Call]],"DDDD")</f>
        <v>Saturday</v>
      </c>
      <c r="K775" t="str" cm="1">
        <f t="array" ref="K775">_xlfn.IFS(Calls[[#This Row],[Duration]]&lt;10,"Under 10 Mins",Calls[[#This Row],[Duration]]&lt;=30,"10 - 30 Mins",Calls[[#This Row],[Duration]]&lt;=60,"30 - 60 Mins",Calls[[#This Row],[Duration]]&lt;=120,"1 - 2 Hours",TRUE,"More than 2  Hours")</f>
        <v>1 - 2 Hours</v>
      </c>
      <c r="L775">
        <f>ROUND(Calls[[#This Row],[Satisfaction Rating]],0)</f>
        <v>4</v>
      </c>
    </row>
    <row r="776" spans="2:12" x14ac:dyDescent="0.3">
      <c r="B776" s="22" t="s">
        <v>798</v>
      </c>
      <c r="C776" s="4" t="s">
        <v>19</v>
      </c>
      <c r="D776" s="4">
        <v>119</v>
      </c>
      <c r="E776" s="5" t="s">
        <v>10</v>
      </c>
      <c r="F776" s="9">
        <v>45199</v>
      </c>
      <c r="G776" s="4">
        <v>96</v>
      </c>
      <c r="H776" s="23">
        <v>3.1</v>
      </c>
      <c r="I776">
        <f>IF(MONTH(Calls[[#This Row],[Date of Call]])&lt;6,YEAR(Calls[[#This Row],[Date of Call]]),YEAR(Calls[[#This Row],[Date of Call]])+1)</f>
        <v>2024</v>
      </c>
      <c r="J776" t="str">
        <f>TEXT(Calls[[#This Row],[Date of Call]],"DDDD")</f>
        <v>Saturday</v>
      </c>
      <c r="K776" t="str" cm="1">
        <f t="array" ref="K776">_xlfn.IFS(Calls[[#This Row],[Duration]]&lt;10,"Under 10 Mins",Calls[[#This Row],[Duration]]&lt;=30,"10 - 30 Mins",Calls[[#This Row],[Duration]]&lt;=60,"30 - 60 Mins",Calls[[#This Row],[Duration]]&lt;=120,"1 - 2 Hours",TRUE,"More than 2  Hours")</f>
        <v>1 - 2 Hours</v>
      </c>
      <c r="L776">
        <f>ROUND(Calls[[#This Row],[Satisfaction Rating]],0)</f>
        <v>3</v>
      </c>
    </row>
    <row r="777" spans="2:12" x14ac:dyDescent="0.3">
      <c r="B777" s="22" t="s">
        <v>799</v>
      </c>
      <c r="C777" s="4" t="s">
        <v>5</v>
      </c>
      <c r="D777" s="4">
        <v>61</v>
      </c>
      <c r="E777" s="5" t="s">
        <v>11</v>
      </c>
      <c r="F777" s="9">
        <v>45199</v>
      </c>
      <c r="G777" s="4">
        <v>117</v>
      </c>
      <c r="H777" s="23">
        <v>4.0999999999999996</v>
      </c>
      <c r="I777">
        <f>IF(MONTH(Calls[[#This Row],[Date of Call]])&lt;6,YEAR(Calls[[#This Row],[Date of Call]]),YEAR(Calls[[#This Row],[Date of Call]])+1)</f>
        <v>2024</v>
      </c>
      <c r="J777" t="str">
        <f>TEXT(Calls[[#This Row],[Date of Call]],"DDDD")</f>
        <v>Saturday</v>
      </c>
      <c r="K777" t="str" cm="1">
        <f t="array" ref="K777">_xlfn.IFS(Calls[[#This Row],[Duration]]&lt;10,"Under 10 Mins",Calls[[#This Row],[Duration]]&lt;=30,"10 - 30 Mins",Calls[[#This Row],[Duration]]&lt;=60,"30 - 60 Mins",Calls[[#This Row],[Duration]]&lt;=120,"1 - 2 Hours",TRUE,"More than 2  Hours")</f>
        <v>1 - 2 Hours</v>
      </c>
      <c r="L777">
        <f>ROUND(Calls[[#This Row],[Satisfaction Rating]],0)</f>
        <v>4</v>
      </c>
    </row>
    <row r="778" spans="2:12" x14ac:dyDescent="0.3">
      <c r="B778" s="22" t="s">
        <v>800</v>
      </c>
      <c r="C778" s="4" t="s">
        <v>8</v>
      </c>
      <c r="D778" s="4">
        <v>29</v>
      </c>
      <c r="E778" s="5" t="s">
        <v>13</v>
      </c>
      <c r="F778" s="9">
        <v>45199</v>
      </c>
      <c r="G778" s="4">
        <v>80</v>
      </c>
      <c r="H778" s="23">
        <v>4.8</v>
      </c>
      <c r="I778">
        <f>IF(MONTH(Calls[[#This Row],[Date of Call]])&lt;6,YEAR(Calls[[#This Row],[Date of Call]]),YEAR(Calls[[#This Row],[Date of Call]])+1)</f>
        <v>2024</v>
      </c>
      <c r="J778" t="str">
        <f>TEXT(Calls[[#This Row],[Date of Call]],"DDDD")</f>
        <v>Saturday</v>
      </c>
      <c r="K778" t="str" cm="1">
        <f t="array" ref="K778">_xlfn.IFS(Calls[[#This Row],[Duration]]&lt;10,"Under 10 Mins",Calls[[#This Row],[Duration]]&lt;=30,"10 - 30 Mins",Calls[[#This Row],[Duration]]&lt;=60,"30 - 60 Mins",Calls[[#This Row],[Duration]]&lt;=120,"1 - 2 Hours",TRUE,"More than 2  Hours")</f>
        <v>10 - 30 Mins</v>
      </c>
      <c r="L778">
        <f>ROUND(Calls[[#This Row],[Satisfaction Rating]],0)</f>
        <v>5</v>
      </c>
    </row>
    <row r="779" spans="2:12" x14ac:dyDescent="0.3">
      <c r="B779" s="22" t="s">
        <v>801</v>
      </c>
      <c r="C779" s="4" t="s">
        <v>24</v>
      </c>
      <c r="D779" s="4">
        <v>134</v>
      </c>
      <c r="E779" s="5" t="s">
        <v>6</v>
      </c>
      <c r="F779" s="9">
        <v>45199</v>
      </c>
      <c r="G779" s="4">
        <v>117</v>
      </c>
      <c r="H779" s="23">
        <v>4</v>
      </c>
      <c r="I779">
        <f>IF(MONTH(Calls[[#This Row],[Date of Call]])&lt;6,YEAR(Calls[[#This Row],[Date of Call]]),YEAR(Calls[[#This Row],[Date of Call]])+1)</f>
        <v>2024</v>
      </c>
      <c r="J779" t="str">
        <f>TEXT(Calls[[#This Row],[Date of Call]],"DDDD")</f>
        <v>Saturday</v>
      </c>
      <c r="K779" t="str" cm="1">
        <f t="array" ref="K779">_xlfn.IFS(Calls[[#This Row],[Duration]]&lt;10,"Under 10 Mins",Calls[[#This Row],[Duration]]&lt;=30,"10 - 30 Mins",Calls[[#This Row],[Duration]]&lt;=60,"30 - 60 Mins",Calls[[#This Row],[Duration]]&lt;=120,"1 - 2 Hours",TRUE,"More than 2  Hours")</f>
        <v>More than 2  Hours</v>
      </c>
      <c r="L779">
        <f>ROUND(Calls[[#This Row],[Satisfaction Rating]],0)</f>
        <v>4</v>
      </c>
    </row>
    <row r="780" spans="2:12" x14ac:dyDescent="0.3">
      <c r="B780" s="22" t="s">
        <v>802</v>
      </c>
      <c r="C780" s="4" t="s">
        <v>7</v>
      </c>
      <c r="D780" s="4">
        <v>113</v>
      </c>
      <c r="E780" s="5" t="s">
        <v>10</v>
      </c>
      <c r="F780" s="9">
        <v>45200</v>
      </c>
      <c r="G780" s="4">
        <v>40</v>
      </c>
      <c r="H780" s="23">
        <v>3</v>
      </c>
      <c r="I780">
        <f>IF(MONTH(Calls[[#This Row],[Date of Call]])&lt;6,YEAR(Calls[[#This Row],[Date of Call]]),YEAR(Calls[[#This Row],[Date of Call]])+1)</f>
        <v>2024</v>
      </c>
      <c r="J780" t="str">
        <f>TEXT(Calls[[#This Row],[Date of Call]],"DDDD")</f>
        <v>Sunday</v>
      </c>
      <c r="K780" t="str" cm="1">
        <f t="array" ref="K780">_xlfn.IFS(Calls[[#This Row],[Duration]]&lt;10,"Under 10 Mins",Calls[[#This Row],[Duration]]&lt;=30,"10 - 30 Mins",Calls[[#This Row],[Duration]]&lt;=60,"30 - 60 Mins",Calls[[#This Row],[Duration]]&lt;=120,"1 - 2 Hours",TRUE,"More than 2  Hours")</f>
        <v>1 - 2 Hours</v>
      </c>
      <c r="L780">
        <f>ROUND(Calls[[#This Row],[Satisfaction Rating]],0)</f>
        <v>3</v>
      </c>
    </row>
    <row r="781" spans="2:12" x14ac:dyDescent="0.3">
      <c r="B781" s="22" t="s">
        <v>803</v>
      </c>
      <c r="C781" s="4" t="s">
        <v>17</v>
      </c>
      <c r="D781" s="4">
        <v>12</v>
      </c>
      <c r="E781" s="5" t="s">
        <v>6</v>
      </c>
      <c r="F781" s="9">
        <v>45200</v>
      </c>
      <c r="G781" s="4">
        <v>117</v>
      </c>
      <c r="H781" s="23">
        <v>4.8</v>
      </c>
      <c r="I781">
        <f>IF(MONTH(Calls[[#This Row],[Date of Call]])&lt;6,YEAR(Calls[[#This Row],[Date of Call]]),YEAR(Calls[[#This Row],[Date of Call]])+1)</f>
        <v>2024</v>
      </c>
      <c r="J781" t="str">
        <f>TEXT(Calls[[#This Row],[Date of Call]],"DDDD")</f>
        <v>Sunday</v>
      </c>
      <c r="K781" t="str" cm="1">
        <f t="array" ref="K781">_xlfn.IFS(Calls[[#This Row],[Duration]]&lt;10,"Under 10 Mins",Calls[[#This Row],[Duration]]&lt;=30,"10 - 30 Mins",Calls[[#This Row],[Duration]]&lt;=60,"30 - 60 Mins",Calls[[#This Row],[Duration]]&lt;=120,"1 - 2 Hours",TRUE,"More than 2  Hours")</f>
        <v>10 - 30 Mins</v>
      </c>
      <c r="L781">
        <f>ROUND(Calls[[#This Row],[Satisfaction Rating]],0)</f>
        <v>5</v>
      </c>
    </row>
    <row r="782" spans="2:12" x14ac:dyDescent="0.3">
      <c r="B782" s="22" t="s">
        <v>804</v>
      </c>
      <c r="C782" s="4" t="s">
        <v>14</v>
      </c>
      <c r="D782" s="4">
        <v>78</v>
      </c>
      <c r="E782" s="5" t="s">
        <v>13</v>
      </c>
      <c r="F782" s="9">
        <v>45200</v>
      </c>
      <c r="G782" s="4">
        <v>135</v>
      </c>
      <c r="H782" s="23">
        <v>4.0999999999999996</v>
      </c>
      <c r="I782">
        <f>IF(MONTH(Calls[[#This Row],[Date of Call]])&lt;6,YEAR(Calls[[#This Row],[Date of Call]]),YEAR(Calls[[#This Row],[Date of Call]])+1)</f>
        <v>2024</v>
      </c>
      <c r="J782" t="str">
        <f>TEXT(Calls[[#This Row],[Date of Call]],"DDDD")</f>
        <v>Sunday</v>
      </c>
      <c r="K782" t="str" cm="1">
        <f t="array" ref="K782">_xlfn.IFS(Calls[[#This Row],[Duration]]&lt;10,"Under 10 Mins",Calls[[#This Row],[Duration]]&lt;=30,"10 - 30 Mins",Calls[[#This Row],[Duration]]&lt;=60,"30 - 60 Mins",Calls[[#This Row],[Duration]]&lt;=120,"1 - 2 Hours",TRUE,"More than 2  Hours")</f>
        <v>1 - 2 Hours</v>
      </c>
      <c r="L782">
        <f>ROUND(Calls[[#This Row],[Satisfaction Rating]],0)</f>
        <v>4</v>
      </c>
    </row>
    <row r="783" spans="2:12" x14ac:dyDescent="0.3">
      <c r="B783" s="22" t="s">
        <v>805</v>
      </c>
      <c r="C783" s="4" t="s">
        <v>19</v>
      </c>
      <c r="D783" s="4">
        <v>82</v>
      </c>
      <c r="E783" s="5" t="s">
        <v>9</v>
      </c>
      <c r="F783" s="9">
        <v>45200</v>
      </c>
      <c r="G783" s="4">
        <v>99</v>
      </c>
      <c r="H783" s="23">
        <v>4.2</v>
      </c>
      <c r="I783">
        <f>IF(MONTH(Calls[[#This Row],[Date of Call]])&lt;6,YEAR(Calls[[#This Row],[Date of Call]]),YEAR(Calls[[#This Row],[Date of Call]])+1)</f>
        <v>2024</v>
      </c>
      <c r="J783" t="str">
        <f>TEXT(Calls[[#This Row],[Date of Call]],"DDDD")</f>
        <v>Sunday</v>
      </c>
      <c r="K783" t="str" cm="1">
        <f t="array" ref="K783">_xlfn.IFS(Calls[[#This Row],[Duration]]&lt;10,"Under 10 Mins",Calls[[#This Row],[Duration]]&lt;=30,"10 - 30 Mins",Calls[[#This Row],[Duration]]&lt;=60,"30 - 60 Mins",Calls[[#This Row],[Duration]]&lt;=120,"1 - 2 Hours",TRUE,"More than 2  Hours")</f>
        <v>1 - 2 Hours</v>
      </c>
      <c r="L783">
        <f>ROUND(Calls[[#This Row],[Satisfaction Rating]],0)</f>
        <v>4</v>
      </c>
    </row>
    <row r="784" spans="2:12" x14ac:dyDescent="0.3">
      <c r="B784" s="22" t="s">
        <v>806</v>
      </c>
      <c r="C784" s="4" t="s">
        <v>18</v>
      </c>
      <c r="D784" s="4">
        <v>149</v>
      </c>
      <c r="E784" s="5" t="s">
        <v>11</v>
      </c>
      <c r="F784" s="9">
        <v>45200</v>
      </c>
      <c r="G784" s="4">
        <v>130</v>
      </c>
      <c r="H784" s="23">
        <v>3.3</v>
      </c>
      <c r="I784">
        <f>IF(MONTH(Calls[[#This Row],[Date of Call]])&lt;6,YEAR(Calls[[#This Row],[Date of Call]]),YEAR(Calls[[#This Row],[Date of Call]])+1)</f>
        <v>2024</v>
      </c>
      <c r="J784" t="str">
        <f>TEXT(Calls[[#This Row],[Date of Call]],"DDDD")</f>
        <v>Sunday</v>
      </c>
      <c r="K784" t="str" cm="1">
        <f t="array" ref="K784">_xlfn.IFS(Calls[[#This Row],[Duration]]&lt;10,"Under 10 Mins",Calls[[#This Row],[Duration]]&lt;=30,"10 - 30 Mins",Calls[[#This Row],[Duration]]&lt;=60,"30 - 60 Mins",Calls[[#This Row],[Duration]]&lt;=120,"1 - 2 Hours",TRUE,"More than 2  Hours")</f>
        <v>More than 2  Hours</v>
      </c>
      <c r="L784">
        <f>ROUND(Calls[[#This Row],[Satisfaction Rating]],0)</f>
        <v>3</v>
      </c>
    </row>
    <row r="785" spans="2:12" x14ac:dyDescent="0.3">
      <c r="B785" s="22" t="s">
        <v>807</v>
      </c>
      <c r="C785" s="4" t="s">
        <v>15</v>
      </c>
      <c r="D785" s="4">
        <v>56</v>
      </c>
      <c r="E785" s="5" t="s">
        <v>6</v>
      </c>
      <c r="F785" s="9">
        <v>45200</v>
      </c>
      <c r="G785" s="4">
        <v>96</v>
      </c>
      <c r="H785" s="23">
        <v>4.7</v>
      </c>
      <c r="I785">
        <f>IF(MONTH(Calls[[#This Row],[Date of Call]])&lt;6,YEAR(Calls[[#This Row],[Date of Call]]),YEAR(Calls[[#This Row],[Date of Call]])+1)</f>
        <v>2024</v>
      </c>
      <c r="J785" t="str">
        <f>TEXT(Calls[[#This Row],[Date of Call]],"DDDD")</f>
        <v>Sunday</v>
      </c>
      <c r="K785" t="str" cm="1">
        <f t="array" ref="K785">_xlfn.IFS(Calls[[#This Row],[Duration]]&lt;10,"Under 10 Mins",Calls[[#This Row],[Duration]]&lt;=30,"10 - 30 Mins",Calls[[#This Row],[Duration]]&lt;=60,"30 - 60 Mins",Calls[[#This Row],[Duration]]&lt;=120,"1 - 2 Hours",TRUE,"More than 2  Hours")</f>
        <v>30 - 60 Mins</v>
      </c>
      <c r="L785">
        <f>ROUND(Calls[[#This Row],[Satisfaction Rating]],0)</f>
        <v>5</v>
      </c>
    </row>
    <row r="786" spans="2:12" x14ac:dyDescent="0.3">
      <c r="B786" s="22" t="s">
        <v>808</v>
      </c>
      <c r="C786" s="4" t="s">
        <v>8</v>
      </c>
      <c r="D786" s="4">
        <v>80</v>
      </c>
      <c r="E786" s="5" t="s">
        <v>11</v>
      </c>
      <c r="F786" s="9">
        <v>45200</v>
      </c>
      <c r="G786" s="4">
        <v>128</v>
      </c>
      <c r="H786" s="23">
        <v>3.7</v>
      </c>
      <c r="I786">
        <f>IF(MONTH(Calls[[#This Row],[Date of Call]])&lt;6,YEAR(Calls[[#This Row],[Date of Call]]),YEAR(Calls[[#This Row],[Date of Call]])+1)</f>
        <v>2024</v>
      </c>
      <c r="J786" t="str">
        <f>TEXT(Calls[[#This Row],[Date of Call]],"DDDD")</f>
        <v>Sunday</v>
      </c>
      <c r="K786" t="str" cm="1">
        <f t="array" ref="K786">_xlfn.IFS(Calls[[#This Row],[Duration]]&lt;10,"Under 10 Mins",Calls[[#This Row],[Duration]]&lt;=30,"10 - 30 Mins",Calls[[#This Row],[Duration]]&lt;=60,"30 - 60 Mins",Calls[[#This Row],[Duration]]&lt;=120,"1 - 2 Hours",TRUE,"More than 2  Hours")</f>
        <v>1 - 2 Hours</v>
      </c>
      <c r="L786">
        <f>ROUND(Calls[[#This Row],[Satisfaction Rating]],0)</f>
        <v>4</v>
      </c>
    </row>
    <row r="787" spans="2:12" x14ac:dyDescent="0.3">
      <c r="B787" s="22" t="s">
        <v>809</v>
      </c>
      <c r="C787" s="4" t="s">
        <v>5</v>
      </c>
      <c r="D787" s="4">
        <v>131</v>
      </c>
      <c r="E787" s="5" t="s">
        <v>10</v>
      </c>
      <c r="F787" s="9">
        <v>45200</v>
      </c>
      <c r="G787" s="4">
        <v>69</v>
      </c>
      <c r="H787" s="23">
        <v>4.7</v>
      </c>
      <c r="I787">
        <f>IF(MONTH(Calls[[#This Row],[Date of Call]])&lt;6,YEAR(Calls[[#This Row],[Date of Call]]),YEAR(Calls[[#This Row],[Date of Call]])+1)</f>
        <v>2024</v>
      </c>
      <c r="J787" t="str">
        <f>TEXT(Calls[[#This Row],[Date of Call]],"DDDD")</f>
        <v>Sunday</v>
      </c>
      <c r="K787" t="str" cm="1">
        <f t="array" ref="K787">_xlfn.IFS(Calls[[#This Row],[Duration]]&lt;10,"Under 10 Mins",Calls[[#This Row],[Duration]]&lt;=30,"10 - 30 Mins",Calls[[#This Row],[Duration]]&lt;=60,"30 - 60 Mins",Calls[[#This Row],[Duration]]&lt;=120,"1 - 2 Hours",TRUE,"More than 2  Hours")</f>
        <v>More than 2  Hours</v>
      </c>
      <c r="L787">
        <f>ROUND(Calls[[#This Row],[Satisfaction Rating]],0)</f>
        <v>5</v>
      </c>
    </row>
    <row r="788" spans="2:12" x14ac:dyDescent="0.3">
      <c r="B788" s="22" t="s">
        <v>810</v>
      </c>
      <c r="C788" s="4" t="s">
        <v>5</v>
      </c>
      <c r="D788" s="4">
        <v>109</v>
      </c>
      <c r="E788" s="5" t="s">
        <v>10</v>
      </c>
      <c r="F788" s="9">
        <v>45200</v>
      </c>
      <c r="G788" s="4">
        <v>44</v>
      </c>
      <c r="H788" s="23">
        <v>4.5999999999999996</v>
      </c>
      <c r="I788">
        <f>IF(MONTH(Calls[[#This Row],[Date of Call]])&lt;6,YEAR(Calls[[#This Row],[Date of Call]]),YEAR(Calls[[#This Row],[Date of Call]])+1)</f>
        <v>2024</v>
      </c>
      <c r="J788" t="str">
        <f>TEXT(Calls[[#This Row],[Date of Call]],"DDDD")</f>
        <v>Sunday</v>
      </c>
      <c r="K788" t="str" cm="1">
        <f t="array" ref="K788">_xlfn.IFS(Calls[[#This Row],[Duration]]&lt;10,"Under 10 Mins",Calls[[#This Row],[Duration]]&lt;=30,"10 - 30 Mins",Calls[[#This Row],[Duration]]&lt;=60,"30 - 60 Mins",Calls[[#This Row],[Duration]]&lt;=120,"1 - 2 Hours",TRUE,"More than 2  Hours")</f>
        <v>1 - 2 Hours</v>
      </c>
      <c r="L788">
        <f>ROUND(Calls[[#This Row],[Satisfaction Rating]],0)</f>
        <v>5</v>
      </c>
    </row>
    <row r="789" spans="2:12" x14ac:dyDescent="0.3">
      <c r="B789" s="22" t="s">
        <v>811</v>
      </c>
      <c r="C789" s="4" t="s">
        <v>15</v>
      </c>
      <c r="D789" s="4">
        <v>142</v>
      </c>
      <c r="E789" s="5" t="s">
        <v>10</v>
      </c>
      <c r="F789" s="9">
        <v>45200</v>
      </c>
      <c r="G789" s="4">
        <v>44</v>
      </c>
      <c r="H789" s="23">
        <v>4.8</v>
      </c>
      <c r="I789">
        <f>IF(MONTH(Calls[[#This Row],[Date of Call]])&lt;6,YEAR(Calls[[#This Row],[Date of Call]]),YEAR(Calls[[#This Row],[Date of Call]])+1)</f>
        <v>2024</v>
      </c>
      <c r="J789" t="str">
        <f>TEXT(Calls[[#This Row],[Date of Call]],"DDDD")</f>
        <v>Sunday</v>
      </c>
      <c r="K789" t="str" cm="1">
        <f t="array" ref="K789">_xlfn.IFS(Calls[[#This Row],[Duration]]&lt;10,"Under 10 Mins",Calls[[#This Row],[Duration]]&lt;=30,"10 - 30 Mins",Calls[[#This Row],[Duration]]&lt;=60,"30 - 60 Mins",Calls[[#This Row],[Duration]]&lt;=120,"1 - 2 Hours",TRUE,"More than 2  Hours")</f>
        <v>More than 2  Hours</v>
      </c>
      <c r="L789">
        <f>ROUND(Calls[[#This Row],[Satisfaction Rating]],0)</f>
        <v>5</v>
      </c>
    </row>
    <row r="790" spans="2:12" x14ac:dyDescent="0.3">
      <c r="B790" s="22" t="s">
        <v>812</v>
      </c>
      <c r="C790" s="4" t="s">
        <v>22</v>
      </c>
      <c r="D790" s="4">
        <v>114</v>
      </c>
      <c r="E790" s="5" t="s">
        <v>6</v>
      </c>
      <c r="F790" s="9">
        <v>45201</v>
      </c>
      <c r="G790" s="4">
        <v>135</v>
      </c>
      <c r="H790" s="23">
        <v>2</v>
      </c>
      <c r="I790">
        <f>IF(MONTH(Calls[[#This Row],[Date of Call]])&lt;6,YEAR(Calls[[#This Row],[Date of Call]]),YEAR(Calls[[#This Row],[Date of Call]])+1)</f>
        <v>2024</v>
      </c>
      <c r="J790" t="str">
        <f>TEXT(Calls[[#This Row],[Date of Call]],"DDDD")</f>
        <v>Monday</v>
      </c>
      <c r="K790" t="str" cm="1">
        <f t="array" ref="K790">_xlfn.IFS(Calls[[#This Row],[Duration]]&lt;10,"Under 10 Mins",Calls[[#This Row],[Duration]]&lt;=30,"10 - 30 Mins",Calls[[#This Row],[Duration]]&lt;=60,"30 - 60 Mins",Calls[[#This Row],[Duration]]&lt;=120,"1 - 2 Hours",TRUE,"More than 2  Hours")</f>
        <v>1 - 2 Hours</v>
      </c>
      <c r="L790">
        <f>ROUND(Calls[[#This Row],[Satisfaction Rating]],0)</f>
        <v>2</v>
      </c>
    </row>
    <row r="791" spans="2:12" x14ac:dyDescent="0.3">
      <c r="B791" s="22" t="s">
        <v>813</v>
      </c>
      <c r="C791" s="4" t="s">
        <v>21</v>
      </c>
      <c r="D791" s="4">
        <v>93</v>
      </c>
      <c r="E791" s="5" t="s">
        <v>11</v>
      </c>
      <c r="F791" s="9">
        <v>45201</v>
      </c>
      <c r="G791" s="4">
        <v>45</v>
      </c>
      <c r="H791" s="23">
        <v>3.9</v>
      </c>
      <c r="I791">
        <f>IF(MONTH(Calls[[#This Row],[Date of Call]])&lt;6,YEAR(Calls[[#This Row],[Date of Call]]),YEAR(Calls[[#This Row],[Date of Call]])+1)</f>
        <v>2024</v>
      </c>
      <c r="J791" t="str">
        <f>TEXT(Calls[[#This Row],[Date of Call]],"DDDD")</f>
        <v>Monday</v>
      </c>
      <c r="K791" t="str" cm="1">
        <f t="array" ref="K791">_xlfn.IFS(Calls[[#This Row],[Duration]]&lt;10,"Under 10 Mins",Calls[[#This Row],[Duration]]&lt;=30,"10 - 30 Mins",Calls[[#This Row],[Duration]]&lt;=60,"30 - 60 Mins",Calls[[#This Row],[Duration]]&lt;=120,"1 - 2 Hours",TRUE,"More than 2  Hours")</f>
        <v>1 - 2 Hours</v>
      </c>
      <c r="L791">
        <f>ROUND(Calls[[#This Row],[Satisfaction Rating]],0)</f>
        <v>4</v>
      </c>
    </row>
    <row r="792" spans="2:12" x14ac:dyDescent="0.3">
      <c r="B792" s="22" t="s">
        <v>814</v>
      </c>
      <c r="C792" s="4" t="s">
        <v>17</v>
      </c>
      <c r="D792" s="4">
        <v>43</v>
      </c>
      <c r="E792" s="5" t="s">
        <v>11</v>
      </c>
      <c r="F792" s="9">
        <v>45201</v>
      </c>
      <c r="G792" s="4">
        <v>87</v>
      </c>
      <c r="H792" s="23">
        <v>3</v>
      </c>
      <c r="I792">
        <f>IF(MONTH(Calls[[#This Row],[Date of Call]])&lt;6,YEAR(Calls[[#This Row],[Date of Call]]),YEAR(Calls[[#This Row],[Date of Call]])+1)</f>
        <v>2024</v>
      </c>
      <c r="J792" t="str">
        <f>TEXT(Calls[[#This Row],[Date of Call]],"DDDD")</f>
        <v>Monday</v>
      </c>
      <c r="K792" t="str" cm="1">
        <f t="array" ref="K792">_xlfn.IFS(Calls[[#This Row],[Duration]]&lt;10,"Under 10 Mins",Calls[[#This Row],[Duration]]&lt;=30,"10 - 30 Mins",Calls[[#This Row],[Duration]]&lt;=60,"30 - 60 Mins",Calls[[#This Row],[Duration]]&lt;=120,"1 - 2 Hours",TRUE,"More than 2  Hours")</f>
        <v>30 - 60 Mins</v>
      </c>
      <c r="L792">
        <f>ROUND(Calls[[#This Row],[Satisfaction Rating]],0)</f>
        <v>3</v>
      </c>
    </row>
    <row r="793" spans="2:12" x14ac:dyDescent="0.3">
      <c r="B793" s="22" t="s">
        <v>815</v>
      </c>
      <c r="C793" s="4" t="s">
        <v>24</v>
      </c>
      <c r="D793" s="4">
        <v>78</v>
      </c>
      <c r="E793" s="5" t="s">
        <v>13</v>
      </c>
      <c r="F793" s="9">
        <v>45202</v>
      </c>
      <c r="G793" s="4">
        <v>84</v>
      </c>
      <c r="H793" s="23">
        <v>4.5999999999999996</v>
      </c>
      <c r="I793">
        <f>IF(MONTH(Calls[[#This Row],[Date of Call]])&lt;6,YEAR(Calls[[#This Row],[Date of Call]]),YEAR(Calls[[#This Row],[Date of Call]])+1)</f>
        <v>2024</v>
      </c>
      <c r="J793" t="str">
        <f>TEXT(Calls[[#This Row],[Date of Call]],"DDDD")</f>
        <v>Tuesday</v>
      </c>
      <c r="K793" t="str" cm="1">
        <f t="array" ref="K793">_xlfn.IFS(Calls[[#This Row],[Duration]]&lt;10,"Under 10 Mins",Calls[[#This Row],[Duration]]&lt;=30,"10 - 30 Mins",Calls[[#This Row],[Duration]]&lt;=60,"30 - 60 Mins",Calls[[#This Row],[Duration]]&lt;=120,"1 - 2 Hours",TRUE,"More than 2  Hours")</f>
        <v>1 - 2 Hours</v>
      </c>
      <c r="L793">
        <f>ROUND(Calls[[#This Row],[Satisfaction Rating]],0)</f>
        <v>5</v>
      </c>
    </row>
    <row r="794" spans="2:12" x14ac:dyDescent="0.3">
      <c r="B794" s="22" t="s">
        <v>816</v>
      </c>
      <c r="C794" s="4" t="s">
        <v>22</v>
      </c>
      <c r="D794" s="4">
        <v>89</v>
      </c>
      <c r="E794" s="5" t="s">
        <v>10</v>
      </c>
      <c r="F794" s="9">
        <v>45202</v>
      </c>
      <c r="G794" s="4">
        <v>81</v>
      </c>
      <c r="H794" s="23">
        <v>3.8</v>
      </c>
      <c r="I794">
        <f>IF(MONTH(Calls[[#This Row],[Date of Call]])&lt;6,YEAR(Calls[[#This Row],[Date of Call]]),YEAR(Calls[[#This Row],[Date of Call]])+1)</f>
        <v>2024</v>
      </c>
      <c r="J794" t="str">
        <f>TEXT(Calls[[#This Row],[Date of Call]],"DDDD")</f>
        <v>Tuesday</v>
      </c>
      <c r="K794" t="str" cm="1">
        <f t="array" ref="K794">_xlfn.IFS(Calls[[#This Row],[Duration]]&lt;10,"Under 10 Mins",Calls[[#This Row],[Duration]]&lt;=30,"10 - 30 Mins",Calls[[#This Row],[Duration]]&lt;=60,"30 - 60 Mins",Calls[[#This Row],[Duration]]&lt;=120,"1 - 2 Hours",TRUE,"More than 2  Hours")</f>
        <v>1 - 2 Hours</v>
      </c>
      <c r="L794">
        <f>ROUND(Calls[[#This Row],[Satisfaction Rating]],0)</f>
        <v>4</v>
      </c>
    </row>
    <row r="795" spans="2:12" x14ac:dyDescent="0.3">
      <c r="B795" s="22" t="s">
        <v>817</v>
      </c>
      <c r="C795" s="4" t="s">
        <v>15</v>
      </c>
      <c r="D795" s="4">
        <v>82</v>
      </c>
      <c r="E795" s="5" t="s">
        <v>9</v>
      </c>
      <c r="F795" s="9">
        <v>45202</v>
      </c>
      <c r="G795" s="4">
        <v>130</v>
      </c>
      <c r="H795" s="23">
        <v>4.4000000000000004</v>
      </c>
      <c r="I795">
        <f>IF(MONTH(Calls[[#This Row],[Date of Call]])&lt;6,YEAR(Calls[[#This Row],[Date of Call]]),YEAR(Calls[[#This Row],[Date of Call]])+1)</f>
        <v>2024</v>
      </c>
      <c r="J795" t="str">
        <f>TEXT(Calls[[#This Row],[Date of Call]],"DDDD")</f>
        <v>Tuesday</v>
      </c>
      <c r="K795" t="str" cm="1">
        <f t="array" ref="K795">_xlfn.IFS(Calls[[#This Row],[Duration]]&lt;10,"Under 10 Mins",Calls[[#This Row],[Duration]]&lt;=30,"10 - 30 Mins",Calls[[#This Row],[Duration]]&lt;=60,"30 - 60 Mins",Calls[[#This Row],[Duration]]&lt;=120,"1 - 2 Hours",TRUE,"More than 2  Hours")</f>
        <v>1 - 2 Hours</v>
      </c>
      <c r="L795">
        <f>ROUND(Calls[[#This Row],[Satisfaction Rating]],0)</f>
        <v>4</v>
      </c>
    </row>
    <row r="796" spans="2:12" x14ac:dyDescent="0.3">
      <c r="B796" s="22" t="s">
        <v>818</v>
      </c>
      <c r="C796" s="4" t="s">
        <v>8</v>
      </c>
      <c r="D796" s="4">
        <v>86</v>
      </c>
      <c r="E796" s="5" t="s">
        <v>10</v>
      </c>
      <c r="F796" s="9">
        <v>45203</v>
      </c>
      <c r="G796" s="4">
        <v>92</v>
      </c>
      <c r="H796" s="23">
        <v>2.4</v>
      </c>
      <c r="I796">
        <f>IF(MONTH(Calls[[#This Row],[Date of Call]])&lt;6,YEAR(Calls[[#This Row],[Date of Call]]),YEAR(Calls[[#This Row],[Date of Call]])+1)</f>
        <v>2024</v>
      </c>
      <c r="J796" t="str">
        <f>TEXT(Calls[[#This Row],[Date of Call]],"DDDD")</f>
        <v>Wednesday</v>
      </c>
      <c r="K796" t="str" cm="1">
        <f t="array" ref="K796">_xlfn.IFS(Calls[[#This Row],[Duration]]&lt;10,"Under 10 Mins",Calls[[#This Row],[Duration]]&lt;=30,"10 - 30 Mins",Calls[[#This Row],[Duration]]&lt;=60,"30 - 60 Mins",Calls[[#This Row],[Duration]]&lt;=120,"1 - 2 Hours",TRUE,"More than 2  Hours")</f>
        <v>1 - 2 Hours</v>
      </c>
      <c r="L796">
        <f>ROUND(Calls[[#This Row],[Satisfaction Rating]],0)</f>
        <v>2</v>
      </c>
    </row>
    <row r="797" spans="2:12" x14ac:dyDescent="0.3">
      <c r="B797" s="22" t="s">
        <v>819</v>
      </c>
      <c r="C797" s="4" t="s">
        <v>16</v>
      </c>
      <c r="D797" s="4">
        <v>57</v>
      </c>
      <c r="E797" s="5" t="s">
        <v>13</v>
      </c>
      <c r="F797" s="9">
        <v>45203</v>
      </c>
      <c r="G797" s="4">
        <v>48</v>
      </c>
      <c r="H797" s="23">
        <v>4.5</v>
      </c>
      <c r="I797">
        <f>IF(MONTH(Calls[[#This Row],[Date of Call]])&lt;6,YEAR(Calls[[#This Row],[Date of Call]]),YEAR(Calls[[#This Row],[Date of Call]])+1)</f>
        <v>2024</v>
      </c>
      <c r="J797" t="str">
        <f>TEXT(Calls[[#This Row],[Date of Call]],"DDDD")</f>
        <v>Wednesday</v>
      </c>
      <c r="K797" t="str" cm="1">
        <f t="array" ref="K797">_xlfn.IFS(Calls[[#This Row],[Duration]]&lt;10,"Under 10 Mins",Calls[[#This Row],[Duration]]&lt;=30,"10 - 30 Mins",Calls[[#This Row],[Duration]]&lt;=60,"30 - 60 Mins",Calls[[#This Row],[Duration]]&lt;=120,"1 - 2 Hours",TRUE,"More than 2  Hours")</f>
        <v>30 - 60 Mins</v>
      </c>
      <c r="L797">
        <f>ROUND(Calls[[#This Row],[Satisfaction Rating]],0)</f>
        <v>5</v>
      </c>
    </row>
    <row r="798" spans="2:12" x14ac:dyDescent="0.3">
      <c r="B798" s="22" t="s">
        <v>820</v>
      </c>
      <c r="C798" s="4" t="s">
        <v>21</v>
      </c>
      <c r="D798" s="4">
        <v>103</v>
      </c>
      <c r="E798" s="5" t="s">
        <v>6</v>
      </c>
      <c r="F798" s="9">
        <v>45203</v>
      </c>
      <c r="G798" s="4">
        <v>160</v>
      </c>
      <c r="H798" s="23">
        <v>4.5</v>
      </c>
      <c r="I798">
        <f>IF(MONTH(Calls[[#This Row],[Date of Call]])&lt;6,YEAR(Calls[[#This Row],[Date of Call]]),YEAR(Calls[[#This Row],[Date of Call]])+1)</f>
        <v>2024</v>
      </c>
      <c r="J798" t="str">
        <f>TEXT(Calls[[#This Row],[Date of Call]],"DDDD")</f>
        <v>Wednesday</v>
      </c>
      <c r="K798" t="str" cm="1">
        <f t="array" ref="K798">_xlfn.IFS(Calls[[#This Row],[Duration]]&lt;10,"Under 10 Mins",Calls[[#This Row],[Duration]]&lt;=30,"10 - 30 Mins",Calls[[#This Row],[Duration]]&lt;=60,"30 - 60 Mins",Calls[[#This Row],[Duration]]&lt;=120,"1 - 2 Hours",TRUE,"More than 2  Hours")</f>
        <v>1 - 2 Hours</v>
      </c>
      <c r="L798">
        <f>ROUND(Calls[[#This Row],[Satisfaction Rating]],0)</f>
        <v>5</v>
      </c>
    </row>
    <row r="799" spans="2:12" x14ac:dyDescent="0.3">
      <c r="B799" s="22" t="s">
        <v>821</v>
      </c>
      <c r="C799" s="4" t="s">
        <v>14</v>
      </c>
      <c r="D799" s="4">
        <v>138</v>
      </c>
      <c r="E799" s="5" t="s">
        <v>13</v>
      </c>
      <c r="F799" s="9">
        <v>45204</v>
      </c>
      <c r="G799" s="4">
        <v>155</v>
      </c>
      <c r="H799" s="23">
        <v>2.7</v>
      </c>
      <c r="I799">
        <f>IF(MONTH(Calls[[#This Row],[Date of Call]])&lt;6,YEAR(Calls[[#This Row],[Date of Call]]),YEAR(Calls[[#This Row],[Date of Call]])+1)</f>
        <v>2024</v>
      </c>
      <c r="J799" t="str">
        <f>TEXT(Calls[[#This Row],[Date of Call]],"DDDD")</f>
        <v>Thursday</v>
      </c>
      <c r="K799" t="str" cm="1">
        <f t="array" ref="K799">_xlfn.IFS(Calls[[#This Row],[Duration]]&lt;10,"Under 10 Mins",Calls[[#This Row],[Duration]]&lt;=30,"10 - 30 Mins",Calls[[#This Row],[Duration]]&lt;=60,"30 - 60 Mins",Calls[[#This Row],[Duration]]&lt;=120,"1 - 2 Hours",TRUE,"More than 2  Hours")</f>
        <v>More than 2  Hours</v>
      </c>
      <c r="L799">
        <f>ROUND(Calls[[#This Row],[Satisfaction Rating]],0)</f>
        <v>3</v>
      </c>
    </row>
    <row r="800" spans="2:12" x14ac:dyDescent="0.3">
      <c r="B800" s="22" t="s">
        <v>822</v>
      </c>
      <c r="C800" s="4" t="s">
        <v>18</v>
      </c>
      <c r="D800" s="4">
        <v>88</v>
      </c>
      <c r="E800" s="5" t="s">
        <v>9</v>
      </c>
      <c r="F800" s="9">
        <v>45204</v>
      </c>
      <c r="G800" s="4">
        <v>100</v>
      </c>
      <c r="H800" s="23">
        <v>4.9000000000000004</v>
      </c>
      <c r="I800">
        <f>IF(MONTH(Calls[[#This Row],[Date of Call]])&lt;6,YEAR(Calls[[#This Row],[Date of Call]]),YEAR(Calls[[#This Row],[Date of Call]])+1)</f>
        <v>2024</v>
      </c>
      <c r="J800" t="str">
        <f>TEXT(Calls[[#This Row],[Date of Call]],"DDDD")</f>
        <v>Thursday</v>
      </c>
      <c r="K800" t="str" cm="1">
        <f t="array" ref="K800">_xlfn.IFS(Calls[[#This Row],[Duration]]&lt;10,"Under 10 Mins",Calls[[#This Row],[Duration]]&lt;=30,"10 - 30 Mins",Calls[[#This Row],[Duration]]&lt;=60,"30 - 60 Mins",Calls[[#This Row],[Duration]]&lt;=120,"1 - 2 Hours",TRUE,"More than 2  Hours")</f>
        <v>1 - 2 Hours</v>
      </c>
      <c r="L800">
        <f>ROUND(Calls[[#This Row],[Satisfaction Rating]],0)</f>
        <v>5</v>
      </c>
    </row>
    <row r="801" spans="2:12" x14ac:dyDescent="0.3">
      <c r="B801" s="22" t="s">
        <v>823</v>
      </c>
      <c r="C801" s="4" t="s">
        <v>22</v>
      </c>
      <c r="D801" s="4">
        <v>118</v>
      </c>
      <c r="E801" s="5" t="s">
        <v>11</v>
      </c>
      <c r="F801" s="9">
        <v>45204</v>
      </c>
      <c r="G801" s="4">
        <v>56</v>
      </c>
      <c r="H801" s="23">
        <v>3.7</v>
      </c>
      <c r="I801">
        <f>IF(MONTH(Calls[[#This Row],[Date of Call]])&lt;6,YEAR(Calls[[#This Row],[Date of Call]]),YEAR(Calls[[#This Row],[Date of Call]])+1)</f>
        <v>2024</v>
      </c>
      <c r="J801" t="str">
        <f>TEXT(Calls[[#This Row],[Date of Call]],"DDDD")</f>
        <v>Thursday</v>
      </c>
      <c r="K801" t="str" cm="1">
        <f t="array" ref="K801">_xlfn.IFS(Calls[[#This Row],[Duration]]&lt;10,"Under 10 Mins",Calls[[#This Row],[Duration]]&lt;=30,"10 - 30 Mins",Calls[[#This Row],[Duration]]&lt;=60,"30 - 60 Mins",Calls[[#This Row],[Duration]]&lt;=120,"1 - 2 Hours",TRUE,"More than 2  Hours")</f>
        <v>1 - 2 Hours</v>
      </c>
      <c r="L801">
        <f>ROUND(Calls[[#This Row],[Satisfaction Rating]],0)</f>
        <v>4</v>
      </c>
    </row>
    <row r="802" spans="2:12" x14ac:dyDescent="0.3">
      <c r="B802" s="22" t="s">
        <v>824</v>
      </c>
      <c r="C802" s="4" t="s">
        <v>8</v>
      </c>
      <c r="D802" s="4">
        <v>4</v>
      </c>
      <c r="E802" s="5" t="s">
        <v>10</v>
      </c>
      <c r="F802" s="9">
        <v>45204</v>
      </c>
      <c r="G802" s="4">
        <v>170</v>
      </c>
      <c r="H802" s="23">
        <v>3.9</v>
      </c>
      <c r="I802">
        <f>IF(MONTH(Calls[[#This Row],[Date of Call]])&lt;6,YEAR(Calls[[#This Row],[Date of Call]]),YEAR(Calls[[#This Row],[Date of Call]])+1)</f>
        <v>2024</v>
      </c>
      <c r="J802" t="str">
        <f>TEXT(Calls[[#This Row],[Date of Call]],"DDDD")</f>
        <v>Thursday</v>
      </c>
      <c r="K802" t="str" cm="1">
        <f t="array" ref="K802">_xlfn.IFS(Calls[[#This Row],[Duration]]&lt;10,"Under 10 Mins",Calls[[#This Row],[Duration]]&lt;=30,"10 - 30 Mins",Calls[[#This Row],[Duration]]&lt;=60,"30 - 60 Mins",Calls[[#This Row],[Duration]]&lt;=120,"1 - 2 Hours",TRUE,"More than 2  Hours")</f>
        <v>Under 10 Mins</v>
      </c>
      <c r="L802">
        <f>ROUND(Calls[[#This Row],[Satisfaction Rating]],0)</f>
        <v>4</v>
      </c>
    </row>
    <row r="803" spans="2:12" x14ac:dyDescent="0.3">
      <c r="B803" s="22" t="s">
        <v>825</v>
      </c>
      <c r="C803" s="4" t="s">
        <v>17</v>
      </c>
      <c r="D803" s="4">
        <v>78</v>
      </c>
      <c r="E803" s="5" t="s">
        <v>6</v>
      </c>
      <c r="F803" s="9">
        <v>45205</v>
      </c>
      <c r="G803" s="4">
        <v>74</v>
      </c>
      <c r="H803" s="23">
        <v>3.5</v>
      </c>
      <c r="I803">
        <f>IF(MONTH(Calls[[#This Row],[Date of Call]])&lt;6,YEAR(Calls[[#This Row],[Date of Call]]),YEAR(Calls[[#This Row],[Date of Call]])+1)</f>
        <v>2024</v>
      </c>
      <c r="J803" t="str">
        <f>TEXT(Calls[[#This Row],[Date of Call]],"DDDD")</f>
        <v>Friday</v>
      </c>
      <c r="K803" t="str" cm="1">
        <f t="array" ref="K803">_xlfn.IFS(Calls[[#This Row],[Duration]]&lt;10,"Under 10 Mins",Calls[[#This Row],[Duration]]&lt;=30,"10 - 30 Mins",Calls[[#This Row],[Duration]]&lt;=60,"30 - 60 Mins",Calls[[#This Row],[Duration]]&lt;=120,"1 - 2 Hours",TRUE,"More than 2  Hours")</f>
        <v>1 - 2 Hours</v>
      </c>
      <c r="L803">
        <f>ROUND(Calls[[#This Row],[Satisfaction Rating]],0)</f>
        <v>4</v>
      </c>
    </row>
    <row r="804" spans="2:12" x14ac:dyDescent="0.3">
      <c r="B804" s="22" t="s">
        <v>826</v>
      </c>
      <c r="C804" s="4" t="s">
        <v>7</v>
      </c>
      <c r="D804" s="4">
        <v>69</v>
      </c>
      <c r="E804" s="5" t="s">
        <v>10</v>
      </c>
      <c r="F804" s="9">
        <v>45205</v>
      </c>
      <c r="G804" s="4">
        <v>99</v>
      </c>
      <c r="H804" s="23">
        <v>2.7</v>
      </c>
      <c r="I804">
        <f>IF(MONTH(Calls[[#This Row],[Date of Call]])&lt;6,YEAR(Calls[[#This Row],[Date of Call]]),YEAR(Calls[[#This Row],[Date of Call]])+1)</f>
        <v>2024</v>
      </c>
      <c r="J804" t="str">
        <f>TEXT(Calls[[#This Row],[Date of Call]],"DDDD")</f>
        <v>Friday</v>
      </c>
      <c r="K804" t="str" cm="1">
        <f t="array" ref="K804">_xlfn.IFS(Calls[[#This Row],[Duration]]&lt;10,"Under 10 Mins",Calls[[#This Row],[Duration]]&lt;=30,"10 - 30 Mins",Calls[[#This Row],[Duration]]&lt;=60,"30 - 60 Mins",Calls[[#This Row],[Duration]]&lt;=120,"1 - 2 Hours",TRUE,"More than 2  Hours")</f>
        <v>1 - 2 Hours</v>
      </c>
      <c r="L804">
        <f>ROUND(Calls[[#This Row],[Satisfaction Rating]],0)</f>
        <v>3</v>
      </c>
    </row>
    <row r="805" spans="2:12" x14ac:dyDescent="0.3">
      <c r="B805" s="22" t="s">
        <v>827</v>
      </c>
      <c r="C805" s="4" t="s">
        <v>15</v>
      </c>
      <c r="D805" s="4">
        <v>90</v>
      </c>
      <c r="E805" s="5" t="s">
        <v>13</v>
      </c>
      <c r="F805" s="9">
        <v>45205</v>
      </c>
      <c r="G805" s="4">
        <v>84</v>
      </c>
      <c r="H805" s="23">
        <v>3.9</v>
      </c>
      <c r="I805">
        <f>IF(MONTH(Calls[[#This Row],[Date of Call]])&lt;6,YEAR(Calls[[#This Row],[Date of Call]]),YEAR(Calls[[#This Row],[Date of Call]])+1)</f>
        <v>2024</v>
      </c>
      <c r="J805" t="str">
        <f>TEXT(Calls[[#This Row],[Date of Call]],"DDDD")</f>
        <v>Friday</v>
      </c>
      <c r="K805" t="str" cm="1">
        <f t="array" ref="K805">_xlfn.IFS(Calls[[#This Row],[Duration]]&lt;10,"Under 10 Mins",Calls[[#This Row],[Duration]]&lt;=30,"10 - 30 Mins",Calls[[#This Row],[Duration]]&lt;=60,"30 - 60 Mins",Calls[[#This Row],[Duration]]&lt;=120,"1 - 2 Hours",TRUE,"More than 2  Hours")</f>
        <v>1 - 2 Hours</v>
      </c>
      <c r="L805">
        <f>ROUND(Calls[[#This Row],[Satisfaction Rating]],0)</f>
        <v>4</v>
      </c>
    </row>
    <row r="806" spans="2:12" x14ac:dyDescent="0.3">
      <c r="B806" s="22" t="s">
        <v>828</v>
      </c>
      <c r="C806" s="4" t="s">
        <v>7</v>
      </c>
      <c r="D806" s="4">
        <v>134</v>
      </c>
      <c r="E806" s="5" t="s">
        <v>10</v>
      </c>
      <c r="F806" s="9">
        <v>45205</v>
      </c>
      <c r="G806" s="4">
        <v>35</v>
      </c>
      <c r="H806" s="23">
        <v>3.4</v>
      </c>
      <c r="I806">
        <f>IF(MONTH(Calls[[#This Row],[Date of Call]])&lt;6,YEAR(Calls[[#This Row],[Date of Call]]),YEAR(Calls[[#This Row],[Date of Call]])+1)</f>
        <v>2024</v>
      </c>
      <c r="J806" t="str">
        <f>TEXT(Calls[[#This Row],[Date of Call]],"DDDD")</f>
        <v>Friday</v>
      </c>
      <c r="K806" t="str" cm="1">
        <f t="array" ref="K806">_xlfn.IFS(Calls[[#This Row],[Duration]]&lt;10,"Under 10 Mins",Calls[[#This Row],[Duration]]&lt;=30,"10 - 30 Mins",Calls[[#This Row],[Duration]]&lt;=60,"30 - 60 Mins",Calls[[#This Row],[Duration]]&lt;=120,"1 - 2 Hours",TRUE,"More than 2  Hours")</f>
        <v>More than 2  Hours</v>
      </c>
      <c r="L806">
        <f>ROUND(Calls[[#This Row],[Satisfaction Rating]],0)</f>
        <v>3</v>
      </c>
    </row>
    <row r="807" spans="2:12" x14ac:dyDescent="0.3">
      <c r="B807" s="22" t="s">
        <v>829</v>
      </c>
      <c r="C807" s="4" t="s">
        <v>12</v>
      </c>
      <c r="D807" s="4">
        <v>65</v>
      </c>
      <c r="E807" s="5" t="s">
        <v>11</v>
      </c>
      <c r="F807" s="9">
        <v>45205</v>
      </c>
      <c r="G807" s="4">
        <v>150</v>
      </c>
      <c r="H807" s="23">
        <v>5</v>
      </c>
      <c r="I807">
        <f>IF(MONTH(Calls[[#This Row],[Date of Call]])&lt;6,YEAR(Calls[[#This Row],[Date of Call]]),YEAR(Calls[[#This Row],[Date of Call]])+1)</f>
        <v>2024</v>
      </c>
      <c r="J807" t="str">
        <f>TEXT(Calls[[#This Row],[Date of Call]],"DDDD")</f>
        <v>Friday</v>
      </c>
      <c r="K807" t="str" cm="1">
        <f t="array" ref="K807">_xlfn.IFS(Calls[[#This Row],[Duration]]&lt;10,"Under 10 Mins",Calls[[#This Row],[Duration]]&lt;=30,"10 - 30 Mins",Calls[[#This Row],[Duration]]&lt;=60,"30 - 60 Mins",Calls[[#This Row],[Duration]]&lt;=120,"1 - 2 Hours",TRUE,"More than 2  Hours")</f>
        <v>1 - 2 Hours</v>
      </c>
      <c r="L807">
        <f>ROUND(Calls[[#This Row],[Satisfaction Rating]],0)</f>
        <v>5</v>
      </c>
    </row>
    <row r="808" spans="2:12" x14ac:dyDescent="0.3">
      <c r="B808" s="22" t="s">
        <v>830</v>
      </c>
      <c r="C808" s="4" t="s">
        <v>23</v>
      </c>
      <c r="D808" s="4">
        <v>54</v>
      </c>
      <c r="E808" s="5" t="s">
        <v>6</v>
      </c>
      <c r="F808" s="9">
        <v>45206</v>
      </c>
      <c r="G808" s="4">
        <v>176</v>
      </c>
      <c r="H808" s="23">
        <v>4.4000000000000004</v>
      </c>
      <c r="I808">
        <f>IF(MONTH(Calls[[#This Row],[Date of Call]])&lt;6,YEAR(Calls[[#This Row],[Date of Call]]),YEAR(Calls[[#This Row],[Date of Call]])+1)</f>
        <v>2024</v>
      </c>
      <c r="J808" t="str">
        <f>TEXT(Calls[[#This Row],[Date of Call]],"DDDD")</f>
        <v>Saturday</v>
      </c>
      <c r="K808" t="str" cm="1">
        <f t="array" ref="K808">_xlfn.IFS(Calls[[#This Row],[Duration]]&lt;10,"Under 10 Mins",Calls[[#This Row],[Duration]]&lt;=30,"10 - 30 Mins",Calls[[#This Row],[Duration]]&lt;=60,"30 - 60 Mins",Calls[[#This Row],[Duration]]&lt;=120,"1 - 2 Hours",TRUE,"More than 2  Hours")</f>
        <v>30 - 60 Mins</v>
      </c>
      <c r="L808">
        <f>ROUND(Calls[[#This Row],[Satisfaction Rating]],0)</f>
        <v>4</v>
      </c>
    </row>
    <row r="809" spans="2:12" x14ac:dyDescent="0.3">
      <c r="B809" s="22" t="s">
        <v>831</v>
      </c>
      <c r="C809" s="4" t="s">
        <v>23</v>
      </c>
      <c r="D809" s="4">
        <v>90</v>
      </c>
      <c r="E809" s="5" t="s">
        <v>6</v>
      </c>
      <c r="F809" s="9">
        <v>45206</v>
      </c>
      <c r="G809" s="4">
        <v>84</v>
      </c>
      <c r="H809" s="23">
        <v>4.3</v>
      </c>
      <c r="I809">
        <f>IF(MONTH(Calls[[#This Row],[Date of Call]])&lt;6,YEAR(Calls[[#This Row],[Date of Call]]),YEAR(Calls[[#This Row],[Date of Call]])+1)</f>
        <v>2024</v>
      </c>
      <c r="J809" t="str">
        <f>TEXT(Calls[[#This Row],[Date of Call]],"DDDD")</f>
        <v>Saturday</v>
      </c>
      <c r="K809" t="str" cm="1">
        <f t="array" ref="K809">_xlfn.IFS(Calls[[#This Row],[Duration]]&lt;10,"Under 10 Mins",Calls[[#This Row],[Duration]]&lt;=30,"10 - 30 Mins",Calls[[#This Row],[Duration]]&lt;=60,"30 - 60 Mins",Calls[[#This Row],[Duration]]&lt;=120,"1 - 2 Hours",TRUE,"More than 2  Hours")</f>
        <v>1 - 2 Hours</v>
      </c>
      <c r="L809">
        <f>ROUND(Calls[[#This Row],[Satisfaction Rating]],0)</f>
        <v>4</v>
      </c>
    </row>
    <row r="810" spans="2:12" x14ac:dyDescent="0.3">
      <c r="B810" s="22" t="s">
        <v>832</v>
      </c>
      <c r="C810" s="4" t="s">
        <v>15</v>
      </c>
      <c r="D810" s="4">
        <v>66</v>
      </c>
      <c r="E810" s="5" t="s">
        <v>6</v>
      </c>
      <c r="F810" s="9">
        <v>45206</v>
      </c>
      <c r="G810" s="4">
        <v>136</v>
      </c>
      <c r="H810" s="23">
        <v>4.7</v>
      </c>
      <c r="I810">
        <f>IF(MONTH(Calls[[#This Row],[Date of Call]])&lt;6,YEAR(Calls[[#This Row],[Date of Call]]),YEAR(Calls[[#This Row],[Date of Call]])+1)</f>
        <v>2024</v>
      </c>
      <c r="J810" t="str">
        <f>TEXT(Calls[[#This Row],[Date of Call]],"DDDD")</f>
        <v>Saturday</v>
      </c>
      <c r="K810" t="str" cm="1">
        <f t="array" ref="K810">_xlfn.IFS(Calls[[#This Row],[Duration]]&lt;10,"Under 10 Mins",Calls[[#This Row],[Duration]]&lt;=30,"10 - 30 Mins",Calls[[#This Row],[Duration]]&lt;=60,"30 - 60 Mins",Calls[[#This Row],[Duration]]&lt;=120,"1 - 2 Hours",TRUE,"More than 2  Hours")</f>
        <v>1 - 2 Hours</v>
      </c>
      <c r="L810">
        <f>ROUND(Calls[[#This Row],[Satisfaction Rating]],0)</f>
        <v>5</v>
      </c>
    </row>
    <row r="811" spans="2:12" x14ac:dyDescent="0.3">
      <c r="B811" s="22" t="s">
        <v>833</v>
      </c>
      <c r="C811" s="4" t="s">
        <v>8</v>
      </c>
      <c r="D811" s="4">
        <v>150</v>
      </c>
      <c r="E811" s="5" t="s">
        <v>6</v>
      </c>
      <c r="F811" s="9">
        <v>45207</v>
      </c>
      <c r="G811" s="4">
        <v>70</v>
      </c>
      <c r="H811" s="23">
        <v>4.0999999999999996</v>
      </c>
      <c r="I811">
        <f>IF(MONTH(Calls[[#This Row],[Date of Call]])&lt;6,YEAR(Calls[[#This Row],[Date of Call]]),YEAR(Calls[[#This Row],[Date of Call]])+1)</f>
        <v>2024</v>
      </c>
      <c r="J811" t="str">
        <f>TEXT(Calls[[#This Row],[Date of Call]],"DDDD")</f>
        <v>Sunday</v>
      </c>
      <c r="K811" t="str" cm="1">
        <f t="array" ref="K811">_xlfn.IFS(Calls[[#This Row],[Duration]]&lt;10,"Under 10 Mins",Calls[[#This Row],[Duration]]&lt;=30,"10 - 30 Mins",Calls[[#This Row],[Duration]]&lt;=60,"30 - 60 Mins",Calls[[#This Row],[Duration]]&lt;=120,"1 - 2 Hours",TRUE,"More than 2  Hours")</f>
        <v>More than 2  Hours</v>
      </c>
      <c r="L811">
        <f>ROUND(Calls[[#This Row],[Satisfaction Rating]],0)</f>
        <v>4</v>
      </c>
    </row>
    <row r="812" spans="2:12" x14ac:dyDescent="0.3">
      <c r="B812" s="22" t="s">
        <v>834</v>
      </c>
      <c r="C812" s="4" t="s">
        <v>24</v>
      </c>
      <c r="D812" s="4">
        <v>18</v>
      </c>
      <c r="E812" s="5" t="s">
        <v>11</v>
      </c>
      <c r="F812" s="9">
        <v>45207</v>
      </c>
      <c r="G812" s="4">
        <v>96</v>
      </c>
      <c r="H812" s="23">
        <v>4.8</v>
      </c>
      <c r="I812">
        <f>IF(MONTH(Calls[[#This Row],[Date of Call]])&lt;6,YEAR(Calls[[#This Row],[Date of Call]]),YEAR(Calls[[#This Row],[Date of Call]])+1)</f>
        <v>2024</v>
      </c>
      <c r="J812" t="str">
        <f>TEXT(Calls[[#This Row],[Date of Call]],"DDDD")</f>
        <v>Sunday</v>
      </c>
      <c r="K812" t="str" cm="1">
        <f t="array" ref="K812">_xlfn.IFS(Calls[[#This Row],[Duration]]&lt;10,"Under 10 Mins",Calls[[#This Row],[Duration]]&lt;=30,"10 - 30 Mins",Calls[[#This Row],[Duration]]&lt;=60,"30 - 60 Mins",Calls[[#This Row],[Duration]]&lt;=120,"1 - 2 Hours",TRUE,"More than 2  Hours")</f>
        <v>10 - 30 Mins</v>
      </c>
      <c r="L812">
        <f>ROUND(Calls[[#This Row],[Satisfaction Rating]],0)</f>
        <v>5</v>
      </c>
    </row>
    <row r="813" spans="2:12" x14ac:dyDescent="0.3">
      <c r="B813" s="22" t="s">
        <v>835</v>
      </c>
      <c r="C813" s="4" t="s">
        <v>23</v>
      </c>
      <c r="D813" s="4">
        <v>87</v>
      </c>
      <c r="E813" s="5" t="s">
        <v>11</v>
      </c>
      <c r="F813" s="9">
        <v>45207</v>
      </c>
      <c r="G813" s="4">
        <v>23</v>
      </c>
      <c r="H813" s="23">
        <v>4.2</v>
      </c>
      <c r="I813">
        <f>IF(MONTH(Calls[[#This Row],[Date of Call]])&lt;6,YEAR(Calls[[#This Row],[Date of Call]]),YEAR(Calls[[#This Row],[Date of Call]])+1)</f>
        <v>2024</v>
      </c>
      <c r="J813" t="str">
        <f>TEXT(Calls[[#This Row],[Date of Call]],"DDDD")</f>
        <v>Sunday</v>
      </c>
      <c r="K813" t="str" cm="1">
        <f t="array" ref="K813">_xlfn.IFS(Calls[[#This Row],[Duration]]&lt;10,"Under 10 Mins",Calls[[#This Row],[Duration]]&lt;=30,"10 - 30 Mins",Calls[[#This Row],[Duration]]&lt;=60,"30 - 60 Mins",Calls[[#This Row],[Duration]]&lt;=120,"1 - 2 Hours",TRUE,"More than 2  Hours")</f>
        <v>1 - 2 Hours</v>
      </c>
      <c r="L813">
        <f>ROUND(Calls[[#This Row],[Satisfaction Rating]],0)</f>
        <v>4</v>
      </c>
    </row>
    <row r="814" spans="2:12" x14ac:dyDescent="0.3">
      <c r="B814" s="22" t="s">
        <v>836</v>
      </c>
      <c r="C814" s="4" t="s">
        <v>14</v>
      </c>
      <c r="D814" s="4">
        <v>94</v>
      </c>
      <c r="E814" s="5" t="s">
        <v>6</v>
      </c>
      <c r="F814" s="9">
        <v>45208</v>
      </c>
      <c r="G814" s="4">
        <v>120</v>
      </c>
      <c r="H814" s="23">
        <v>3.4</v>
      </c>
      <c r="I814">
        <f>IF(MONTH(Calls[[#This Row],[Date of Call]])&lt;6,YEAR(Calls[[#This Row],[Date of Call]]),YEAR(Calls[[#This Row],[Date of Call]])+1)</f>
        <v>2024</v>
      </c>
      <c r="J814" t="str">
        <f>TEXT(Calls[[#This Row],[Date of Call]],"DDDD")</f>
        <v>Monday</v>
      </c>
      <c r="K814" t="str" cm="1">
        <f t="array" ref="K814">_xlfn.IFS(Calls[[#This Row],[Duration]]&lt;10,"Under 10 Mins",Calls[[#This Row],[Duration]]&lt;=30,"10 - 30 Mins",Calls[[#This Row],[Duration]]&lt;=60,"30 - 60 Mins",Calls[[#This Row],[Duration]]&lt;=120,"1 - 2 Hours",TRUE,"More than 2  Hours")</f>
        <v>1 - 2 Hours</v>
      </c>
      <c r="L814">
        <f>ROUND(Calls[[#This Row],[Satisfaction Rating]],0)</f>
        <v>3</v>
      </c>
    </row>
    <row r="815" spans="2:12" x14ac:dyDescent="0.3">
      <c r="B815" s="22" t="s">
        <v>837</v>
      </c>
      <c r="C815" s="4" t="s">
        <v>16</v>
      </c>
      <c r="D815" s="4">
        <v>56</v>
      </c>
      <c r="E815" s="5" t="s">
        <v>6</v>
      </c>
      <c r="F815" s="9">
        <v>45208</v>
      </c>
      <c r="G815" s="4">
        <v>205</v>
      </c>
      <c r="H815" s="23">
        <v>3.3</v>
      </c>
      <c r="I815">
        <f>IF(MONTH(Calls[[#This Row],[Date of Call]])&lt;6,YEAR(Calls[[#This Row],[Date of Call]]),YEAR(Calls[[#This Row],[Date of Call]])+1)</f>
        <v>2024</v>
      </c>
      <c r="J815" t="str">
        <f>TEXT(Calls[[#This Row],[Date of Call]],"DDDD")</f>
        <v>Monday</v>
      </c>
      <c r="K815" t="str" cm="1">
        <f t="array" ref="K815">_xlfn.IFS(Calls[[#This Row],[Duration]]&lt;10,"Under 10 Mins",Calls[[#This Row],[Duration]]&lt;=30,"10 - 30 Mins",Calls[[#This Row],[Duration]]&lt;=60,"30 - 60 Mins",Calls[[#This Row],[Duration]]&lt;=120,"1 - 2 Hours",TRUE,"More than 2  Hours")</f>
        <v>30 - 60 Mins</v>
      </c>
      <c r="L815">
        <f>ROUND(Calls[[#This Row],[Satisfaction Rating]],0)</f>
        <v>3</v>
      </c>
    </row>
    <row r="816" spans="2:12" x14ac:dyDescent="0.3">
      <c r="B816" s="22" t="s">
        <v>838</v>
      </c>
      <c r="C816" s="4" t="s">
        <v>22</v>
      </c>
      <c r="D816" s="4">
        <v>41</v>
      </c>
      <c r="E816" s="5" t="s">
        <v>9</v>
      </c>
      <c r="F816" s="9">
        <v>45209</v>
      </c>
      <c r="G816" s="4">
        <v>42</v>
      </c>
      <c r="H816" s="23">
        <v>3.8</v>
      </c>
      <c r="I816">
        <f>IF(MONTH(Calls[[#This Row],[Date of Call]])&lt;6,YEAR(Calls[[#This Row],[Date of Call]]),YEAR(Calls[[#This Row],[Date of Call]])+1)</f>
        <v>2024</v>
      </c>
      <c r="J816" t="str">
        <f>TEXT(Calls[[#This Row],[Date of Call]],"DDDD")</f>
        <v>Tuesday</v>
      </c>
      <c r="K816" t="str" cm="1">
        <f t="array" ref="K816">_xlfn.IFS(Calls[[#This Row],[Duration]]&lt;10,"Under 10 Mins",Calls[[#This Row],[Duration]]&lt;=30,"10 - 30 Mins",Calls[[#This Row],[Duration]]&lt;=60,"30 - 60 Mins",Calls[[#This Row],[Duration]]&lt;=120,"1 - 2 Hours",TRUE,"More than 2  Hours")</f>
        <v>30 - 60 Mins</v>
      </c>
      <c r="L816">
        <f>ROUND(Calls[[#This Row],[Satisfaction Rating]],0)</f>
        <v>4</v>
      </c>
    </row>
    <row r="817" spans="2:12" x14ac:dyDescent="0.3">
      <c r="B817" s="22" t="s">
        <v>839</v>
      </c>
      <c r="C817" s="4" t="s">
        <v>8</v>
      </c>
      <c r="D817" s="4">
        <v>119</v>
      </c>
      <c r="E817" s="5" t="s">
        <v>13</v>
      </c>
      <c r="F817" s="9">
        <v>45209</v>
      </c>
      <c r="G817" s="4">
        <v>111</v>
      </c>
      <c r="H817" s="23">
        <v>3.9</v>
      </c>
      <c r="I817">
        <f>IF(MONTH(Calls[[#This Row],[Date of Call]])&lt;6,YEAR(Calls[[#This Row],[Date of Call]]),YEAR(Calls[[#This Row],[Date of Call]])+1)</f>
        <v>2024</v>
      </c>
      <c r="J817" t="str">
        <f>TEXT(Calls[[#This Row],[Date of Call]],"DDDD")</f>
        <v>Tuesday</v>
      </c>
      <c r="K817" t="str" cm="1">
        <f t="array" ref="K817">_xlfn.IFS(Calls[[#This Row],[Duration]]&lt;10,"Under 10 Mins",Calls[[#This Row],[Duration]]&lt;=30,"10 - 30 Mins",Calls[[#This Row],[Duration]]&lt;=60,"30 - 60 Mins",Calls[[#This Row],[Duration]]&lt;=120,"1 - 2 Hours",TRUE,"More than 2  Hours")</f>
        <v>1 - 2 Hours</v>
      </c>
      <c r="L817">
        <f>ROUND(Calls[[#This Row],[Satisfaction Rating]],0)</f>
        <v>4</v>
      </c>
    </row>
    <row r="818" spans="2:12" x14ac:dyDescent="0.3">
      <c r="B818" s="22" t="s">
        <v>840</v>
      </c>
      <c r="C818" s="4" t="s">
        <v>21</v>
      </c>
      <c r="D818" s="4">
        <v>108</v>
      </c>
      <c r="E818" s="5" t="s">
        <v>6</v>
      </c>
      <c r="F818" s="9">
        <v>45209</v>
      </c>
      <c r="G818" s="4">
        <v>68</v>
      </c>
      <c r="H818" s="23">
        <v>2.5</v>
      </c>
      <c r="I818">
        <f>IF(MONTH(Calls[[#This Row],[Date of Call]])&lt;6,YEAR(Calls[[#This Row],[Date of Call]]),YEAR(Calls[[#This Row],[Date of Call]])+1)</f>
        <v>2024</v>
      </c>
      <c r="J818" t="str">
        <f>TEXT(Calls[[#This Row],[Date of Call]],"DDDD")</f>
        <v>Tuesday</v>
      </c>
      <c r="K818" t="str" cm="1">
        <f t="array" ref="K818">_xlfn.IFS(Calls[[#This Row],[Duration]]&lt;10,"Under 10 Mins",Calls[[#This Row],[Duration]]&lt;=30,"10 - 30 Mins",Calls[[#This Row],[Duration]]&lt;=60,"30 - 60 Mins",Calls[[#This Row],[Duration]]&lt;=120,"1 - 2 Hours",TRUE,"More than 2  Hours")</f>
        <v>1 - 2 Hours</v>
      </c>
      <c r="L818">
        <f>ROUND(Calls[[#This Row],[Satisfaction Rating]],0)</f>
        <v>3</v>
      </c>
    </row>
    <row r="819" spans="2:12" x14ac:dyDescent="0.3">
      <c r="B819" s="22" t="s">
        <v>841</v>
      </c>
      <c r="C819" s="4" t="s">
        <v>17</v>
      </c>
      <c r="D819" s="4">
        <v>63</v>
      </c>
      <c r="E819" s="5" t="s">
        <v>10</v>
      </c>
      <c r="F819" s="9">
        <v>45209</v>
      </c>
      <c r="G819" s="4">
        <v>172</v>
      </c>
      <c r="H819" s="23">
        <v>4.9000000000000004</v>
      </c>
      <c r="I819">
        <f>IF(MONTH(Calls[[#This Row],[Date of Call]])&lt;6,YEAR(Calls[[#This Row],[Date of Call]]),YEAR(Calls[[#This Row],[Date of Call]])+1)</f>
        <v>2024</v>
      </c>
      <c r="J819" t="str">
        <f>TEXT(Calls[[#This Row],[Date of Call]],"DDDD")</f>
        <v>Tuesday</v>
      </c>
      <c r="K819" t="str" cm="1">
        <f t="array" ref="K819">_xlfn.IFS(Calls[[#This Row],[Duration]]&lt;10,"Under 10 Mins",Calls[[#This Row],[Duration]]&lt;=30,"10 - 30 Mins",Calls[[#This Row],[Duration]]&lt;=60,"30 - 60 Mins",Calls[[#This Row],[Duration]]&lt;=120,"1 - 2 Hours",TRUE,"More than 2  Hours")</f>
        <v>1 - 2 Hours</v>
      </c>
      <c r="L819">
        <f>ROUND(Calls[[#This Row],[Satisfaction Rating]],0)</f>
        <v>5</v>
      </c>
    </row>
    <row r="820" spans="2:12" x14ac:dyDescent="0.3">
      <c r="B820" s="22" t="s">
        <v>842</v>
      </c>
      <c r="C820" s="4" t="s">
        <v>19</v>
      </c>
      <c r="D820" s="4">
        <v>59</v>
      </c>
      <c r="E820" s="5" t="s">
        <v>6</v>
      </c>
      <c r="F820" s="9">
        <v>45209</v>
      </c>
      <c r="G820" s="4">
        <v>152</v>
      </c>
      <c r="H820" s="23">
        <v>4.8</v>
      </c>
      <c r="I820">
        <f>IF(MONTH(Calls[[#This Row],[Date of Call]])&lt;6,YEAR(Calls[[#This Row],[Date of Call]]),YEAR(Calls[[#This Row],[Date of Call]])+1)</f>
        <v>2024</v>
      </c>
      <c r="J820" t="str">
        <f>TEXT(Calls[[#This Row],[Date of Call]],"DDDD")</f>
        <v>Tuesday</v>
      </c>
      <c r="K820" t="str" cm="1">
        <f t="array" ref="K820">_xlfn.IFS(Calls[[#This Row],[Duration]]&lt;10,"Under 10 Mins",Calls[[#This Row],[Duration]]&lt;=30,"10 - 30 Mins",Calls[[#This Row],[Duration]]&lt;=60,"30 - 60 Mins",Calls[[#This Row],[Duration]]&lt;=120,"1 - 2 Hours",TRUE,"More than 2  Hours")</f>
        <v>30 - 60 Mins</v>
      </c>
      <c r="L820">
        <f>ROUND(Calls[[#This Row],[Satisfaction Rating]],0)</f>
        <v>5</v>
      </c>
    </row>
    <row r="821" spans="2:12" x14ac:dyDescent="0.3">
      <c r="B821" s="22" t="s">
        <v>843</v>
      </c>
      <c r="C821" s="4" t="s">
        <v>19</v>
      </c>
      <c r="D821" s="4">
        <v>90</v>
      </c>
      <c r="E821" s="5" t="s">
        <v>9</v>
      </c>
      <c r="F821" s="9">
        <v>45209</v>
      </c>
      <c r="G821" s="4">
        <v>48</v>
      </c>
      <c r="H821" s="23">
        <v>4.7</v>
      </c>
      <c r="I821">
        <f>IF(MONTH(Calls[[#This Row],[Date of Call]])&lt;6,YEAR(Calls[[#This Row],[Date of Call]]),YEAR(Calls[[#This Row],[Date of Call]])+1)</f>
        <v>2024</v>
      </c>
      <c r="J821" t="str">
        <f>TEXT(Calls[[#This Row],[Date of Call]],"DDDD")</f>
        <v>Tuesday</v>
      </c>
      <c r="K821" t="str" cm="1">
        <f t="array" ref="K821">_xlfn.IFS(Calls[[#This Row],[Duration]]&lt;10,"Under 10 Mins",Calls[[#This Row],[Duration]]&lt;=30,"10 - 30 Mins",Calls[[#This Row],[Duration]]&lt;=60,"30 - 60 Mins",Calls[[#This Row],[Duration]]&lt;=120,"1 - 2 Hours",TRUE,"More than 2  Hours")</f>
        <v>1 - 2 Hours</v>
      </c>
      <c r="L821">
        <f>ROUND(Calls[[#This Row],[Satisfaction Rating]],0)</f>
        <v>5</v>
      </c>
    </row>
    <row r="822" spans="2:12" x14ac:dyDescent="0.3">
      <c r="B822" s="22" t="s">
        <v>844</v>
      </c>
      <c r="C822" s="4" t="s">
        <v>18</v>
      </c>
      <c r="D822" s="4">
        <v>55</v>
      </c>
      <c r="E822" s="5" t="s">
        <v>9</v>
      </c>
      <c r="F822" s="9">
        <v>45209</v>
      </c>
      <c r="G822" s="4">
        <v>25</v>
      </c>
      <c r="H822" s="23">
        <v>4.7</v>
      </c>
      <c r="I822">
        <f>IF(MONTH(Calls[[#This Row],[Date of Call]])&lt;6,YEAR(Calls[[#This Row],[Date of Call]]),YEAR(Calls[[#This Row],[Date of Call]])+1)</f>
        <v>2024</v>
      </c>
      <c r="J822" t="str">
        <f>TEXT(Calls[[#This Row],[Date of Call]],"DDDD")</f>
        <v>Tuesday</v>
      </c>
      <c r="K822" t="str" cm="1">
        <f t="array" ref="K822">_xlfn.IFS(Calls[[#This Row],[Duration]]&lt;10,"Under 10 Mins",Calls[[#This Row],[Duration]]&lt;=30,"10 - 30 Mins",Calls[[#This Row],[Duration]]&lt;=60,"30 - 60 Mins",Calls[[#This Row],[Duration]]&lt;=120,"1 - 2 Hours",TRUE,"More than 2  Hours")</f>
        <v>30 - 60 Mins</v>
      </c>
      <c r="L822">
        <f>ROUND(Calls[[#This Row],[Satisfaction Rating]],0)</f>
        <v>5</v>
      </c>
    </row>
    <row r="823" spans="2:12" x14ac:dyDescent="0.3">
      <c r="B823" s="22" t="s">
        <v>845</v>
      </c>
      <c r="C823" s="4" t="s">
        <v>21</v>
      </c>
      <c r="D823" s="4">
        <v>84</v>
      </c>
      <c r="E823" s="5" t="s">
        <v>13</v>
      </c>
      <c r="F823" s="9">
        <v>45210</v>
      </c>
      <c r="G823" s="4">
        <v>54</v>
      </c>
      <c r="H823" s="23">
        <v>3.3</v>
      </c>
      <c r="I823">
        <f>IF(MONTH(Calls[[#This Row],[Date of Call]])&lt;6,YEAR(Calls[[#This Row],[Date of Call]]),YEAR(Calls[[#This Row],[Date of Call]])+1)</f>
        <v>2024</v>
      </c>
      <c r="J823" t="str">
        <f>TEXT(Calls[[#This Row],[Date of Call]],"DDDD")</f>
        <v>Wednesday</v>
      </c>
      <c r="K823" t="str" cm="1">
        <f t="array" ref="K823">_xlfn.IFS(Calls[[#This Row],[Duration]]&lt;10,"Under 10 Mins",Calls[[#This Row],[Duration]]&lt;=30,"10 - 30 Mins",Calls[[#This Row],[Duration]]&lt;=60,"30 - 60 Mins",Calls[[#This Row],[Duration]]&lt;=120,"1 - 2 Hours",TRUE,"More than 2  Hours")</f>
        <v>1 - 2 Hours</v>
      </c>
      <c r="L823">
        <f>ROUND(Calls[[#This Row],[Satisfaction Rating]],0)</f>
        <v>3</v>
      </c>
    </row>
    <row r="824" spans="2:12" x14ac:dyDescent="0.3">
      <c r="B824" s="22" t="s">
        <v>846</v>
      </c>
      <c r="C824" s="4" t="s">
        <v>21</v>
      </c>
      <c r="D824" s="4">
        <v>150</v>
      </c>
      <c r="E824" s="5" t="s">
        <v>11</v>
      </c>
      <c r="F824" s="9">
        <v>45210</v>
      </c>
      <c r="G824" s="4">
        <v>108</v>
      </c>
      <c r="H824" s="23">
        <v>4.7</v>
      </c>
      <c r="I824">
        <f>IF(MONTH(Calls[[#This Row],[Date of Call]])&lt;6,YEAR(Calls[[#This Row],[Date of Call]]),YEAR(Calls[[#This Row],[Date of Call]])+1)</f>
        <v>2024</v>
      </c>
      <c r="J824" t="str">
        <f>TEXT(Calls[[#This Row],[Date of Call]],"DDDD")</f>
        <v>Wednesday</v>
      </c>
      <c r="K824" t="str" cm="1">
        <f t="array" ref="K824">_xlfn.IFS(Calls[[#This Row],[Duration]]&lt;10,"Under 10 Mins",Calls[[#This Row],[Duration]]&lt;=30,"10 - 30 Mins",Calls[[#This Row],[Duration]]&lt;=60,"30 - 60 Mins",Calls[[#This Row],[Duration]]&lt;=120,"1 - 2 Hours",TRUE,"More than 2  Hours")</f>
        <v>More than 2  Hours</v>
      </c>
      <c r="L824">
        <f>ROUND(Calls[[#This Row],[Satisfaction Rating]],0)</f>
        <v>5</v>
      </c>
    </row>
    <row r="825" spans="2:12" x14ac:dyDescent="0.3">
      <c r="B825" s="22" t="s">
        <v>847</v>
      </c>
      <c r="C825" s="4" t="s">
        <v>5</v>
      </c>
      <c r="D825" s="4">
        <v>69</v>
      </c>
      <c r="E825" s="5" t="s">
        <v>6</v>
      </c>
      <c r="F825" s="9">
        <v>45210</v>
      </c>
      <c r="G825" s="4">
        <v>36</v>
      </c>
      <c r="H825" s="23">
        <v>4.5</v>
      </c>
      <c r="I825">
        <f>IF(MONTH(Calls[[#This Row],[Date of Call]])&lt;6,YEAR(Calls[[#This Row],[Date of Call]]),YEAR(Calls[[#This Row],[Date of Call]])+1)</f>
        <v>2024</v>
      </c>
      <c r="J825" t="str">
        <f>TEXT(Calls[[#This Row],[Date of Call]],"DDDD")</f>
        <v>Wednesday</v>
      </c>
      <c r="K825" t="str" cm="1">
        <f t="array" ref="K825">_xlfn.IFS(Calls[[#This Row],[Duration]]&lt;10,"Under 10 Mins",Calls[[#This Row],[Duration]]&lt;=30,"10 - 30 Mins",Calls[[#This Row],[Duration]]&lt;=60,"30 - 60 Mins",Calls[[#This Row],[Duration]]&lt;=120,"1 - 2 Hours",TRUE,"More than 2  Hours")</f>
        <v>1 - 2 Hours</v>
      </c>
      <c r="L825">
        <f>ROUND(Calls[[#This Row],[Satisfaction Rating]],0)</f>
        <v>5</v>
      </c>
    </row>
    <row r="826" spans="2:12" x14ac:dyDescent="0.3">
      <c r="B826" s="22" t="s">
        <v>848</v>
      </c>
      <c r="C826" s="4" t="s">
        <v>20</v>
      </c>
      <c r="D826" s="4">
        <v>120</v>
      </c>
      <c r="E826" s="5" t="s">
        <v>9</v>
      </c>
      <c r="F826" s="9">
        <v>45211</v>
      </c>
      <c r="G826" s="4">
        <v>140</v>
      </c>
      <c r="H826" s="23">
        <v>4.5999999999999996</v>
      </c>
      <c r="I826">
        <f>IF(MONTH(Calls[[#This Row],[Date of Call]])&lt;6,YEAR(Calls[[#This Row],[Date of Call]]),YEAR(Calls[[#This Row],[Date of Call]])+1)</f>
        <v>2024</v>
      </c>
      <c r="J826" t="str">
        <f>TEXT(Calls[[#This Row],[Date of Call]],"DDDD")</f>
        <v>Thursday</v>
      </c>
      <c r="K826" t="str" cm="1">
        <f t="array" ref="K826">_xlfn.IFS(Calls[[#This Row],[Duration]]&lt;10,"Under 10 Mins",Calls[[#This Row],[Duration]]&lt;=30,"10 - 30 Mins",Calls[[#This Row],[Duration]]&lt;=60,"30 - 60 Mins",Calls[[#This Row],[Duration]]&lt;=120,"1 - 2 Hours",TRUE,"More than 2  Hours")</f>
        <v>1 - 2 Hours</v>
      </c>
      <c r="L826">
        <f>ROUND(Calls[[#This Row],[Satisfaction Rating]],0)</f>
        <v>5</v>
      </c>
    </row>
    <row r="827" spans="2:12" x14ac:dyDescent="0.3">
      <c r="B827" s="22" t="s">
        <v>849</v>
      </c>
      <c r="C827" s="4" t="s">
        <v>23</v>
      </c>
      <c r="D827" s="4">
        <v>126</v>
      </c>
      <c r="E827" s="5" t="s">
        <v>13</v>
      </c>
      <c r="F827" s="9">
        <v>45211</v>
      </c>
      <c r="G827" s="4">
        <v>50</v>
      </c>
      <c r="H827" s="23">
        <v>4.8</v>
      </c>
      <c r="I827">
        <f>IF(MONTH(Calls[[#This Row],[Date of Call]])&lt;6,YEAR(Calls[[#This Row],[Date of Call]]),YEAR(Calls[[#This Row],[Date of Call]])+1)</f>
        <v>2024</v>
      </c>
      <c r="J827" t="str">
        <f>TEXT(Calls[[#This Row],[Date of Call]],"DDDD")</f>
        <v>Thursday</v>
      </c>
      <c r="K827" t="str" cm="1">
        <f t="array" ref="K827">_xlfn.IFS(Calls[[#This Row],[Duration]]&lt;10,"Under 10 Mins",Calls[[#This Row],[Duration]]&lt;=30,"10 - 30 Mins",Calls[[#This Row],[Duration]]&lt;=60,"30 - 60 Mins",Calls[[#This Row],[Duration]]&lt;=120,"1 - 2 Hours",TRUE,"More than 2  Hours")</f>
        <v>More than 2  Hours</v>
      </c>
      <c r="L827">
        <f>ROUND(Calls[[#This Row],[Satisfaction Rating]],0)</f>
        <v>5</v>
      </c>
    </row>
    <row r="828" spans="2:12" x14ac:dyDescent="0.3">
      <c r="B828" s="22" t="s">
        <v>850</v>
      </c>
      <c r="C828" s="4" t="s">
        <v>5</v>
      </c>
      <c r="D828" s="4">
        <v>120</v>
      </c>
      <c r="E828" s="5" t="s">
        <v>10</v>
      </c>
      <c r="F828" s="9">
        <v>45211</v>
      </c>
      <c r="G828" s="4">
        <v>195</v>
      </c>
      <c r="H828" s="23">
        <v>4.3</v>
      </c>
      <c r="I828">
        <f>IF(MONTH(Calls[[#This Row],[Date of Call]])&lt;6,YEAR(Calls[[#This Row],[Date of Call]]),YEAR(Calls[[#This Row],[Date of Call]])+1)</f>
        <v>2024</v>
      </c>
      <c r="J828" t="str">
        <f>TEXT(Calls[[#This Row],[Date of Call]],"DDDD")</f>
        <v>Thursday</v>
      </c>
      <c r="K828" t="str" cm="1">
        <f t="array" ref="K828">_xlfn.IFS(Calls[[#This Row],[Duration]]&lt;10,"Under 10 Mins",Calls[[#This Row],[Duration]]&lt;=30,"10 - 30 Mins",Calls[[#This Row],[Duration]]&lt;=60,"30 - 60 Mins",Calls[[#This Row],[Duration]]&lt;=120,"1 - 2 Hours",TRUE,"More than 2  Hours")</f>
        <v>1 - 2 Hours</v>
      </c>
      <c r="L828">
        <f>ROUND(Calls[[#This Row],[Satisfaction Rating]],0)</f>
        <v>4</v>
      </c>
    </row>
    <row r="829" spans="2:12" x14ac:dyDescent="0.3">
      <c r="B829" s="22" t="s">
        <v>851</v>
      </c>
      <c r="C829" s="4" t="s">
        <v>23</v>
      </c>
      <c r="D829" s="4">
        <v>139</v>
      </c>
      <c r="E829" s="5" t="s">
        <v>9</v>
      </c>
      <c r="F829" s="9">
        <v>45212</v>
      </c>
      <c r="G829" s="4">
        <v>48</v>
      </c>
      <c r="H829" s="23">
        <v>4.7</v>
      </c>
      <c r="I829">
        <f>IF(MONTH(Calls[[#This Row],[Date of Call]])&lt;6,YEAR(Calls[[#This Row],[Date of Call]]),YEAR(Calls[[#This Row],[Date of Call]])+1)</f>
        <v>2024</v>
      </c>
      <c r="J829" t="str">
        <f>TEXT(Calls[[#This Row],[Date of Call]],"DDDD")</f>
        <v>Friday</v>
      </c>
      <c r="K829" t="str" cm="1">
        <f t="array" ref="K829">_xlfn.IFS(Calls[[#This Row],[Duration]]&lt;10,"Under 10 Mins",Calls[[#This Row],[Duration]]&lt;=30,"10 - 30 Mins",Calls[[#This Row],[Duration]]&lt;=60,"30 - 60 Mins",Calls[[#This Row],[Duration]]&lt;=120,"1 - 2 Hours",TRUE,"More than 2  Hours")</f>
        <v>More than 2  Hours</v>
      </c>
      <c r="L829">
        <f>ROUND(Calls[[#This Row],[Satisfaction Rating]],0)</f>
        <v>5</v>
      </c>
    </row>
    <row r="830" spans="2:12" x14ac:dyDescent="0.3">
      <c r="B830" s="22" t="s">
        <v>852</v>
      </c>
      <c r="C830" s="4" t="s">
        <v>18</v>
      </c>
      <c r="D830" s="4">
        <v>124</v>
      </c>
      <c r="E830" s="5" t="s">
        <v>6</v>
      </c>
      <c r="F830" s="9">
        <v>45213</v>
      </c>
      <c r="G830" s="4">
        <v>29</v>
      </c>
      <c r="H830" s="23">
        <v>4.8</v>
      </c>
      <c r="I830">
        <f>IF(MONTH(Calls[[#This Row],[Date of Call]])&lt;6,YEAR(Calls[[#This Row],[Date of Call]]),YEAR(Calls[[#This Row],[Date of Call]])+1)</f>
        <v>2024</v>
      </c>
      <c r="J830" t="str">
        <f>TEXT(Calls[[#This Row],[Date of Call]],"DDDD")</f>
        <v>Saturday</v>
      </c>
      <c r="K830" t="str" cm="1">
        <f t="array" ref="K830">_xlfn.IFS(Calls[[#This Row],[Duration]]&lt;10,"Under 10 Mins",Calls[[#This Row],[Duration]]&lt;=30,"10 - 30 Mins",Calls[[#This Row],[Duration]]&lt;=60,"30 - 60 Mins",Calls[[#This Row],[Duration]]&lt;=120,"1 - 2 Hours",TRUE,"More than 2  Hours")</f>
        <v>More than 2  Hours</v>
      </c>
      <c r="L830">
        <f>ROUND(Calls[[#This Row],[Satisfaction Rating]],0)</f>
        <v>5</v>
      </c>
    </row>
    <row r="831" spans="2:12" x14ac:dyDescent="0.3">
      <c r="B831" s="22" t="s">
        <v>853</v>
      </c>
      <c r="C831" s="4" t="s">
        <v>20</v>
      </c>
      <c r="D831" s="4">
        <v>108</v>
      </c>
      <c r="E831" s="5" t="s">
        <v>10</v>
      </c>
      <c r="F831" s="9">
        <v>45213</v>
      </c>
      <c r="G831" s="4">
        <v>44</v>
      </c>
      <c r="H831" s="23">
        <v>4.7</v>
      </c>
      <c r="I831">
        <f>IF(MONTH(Calls[[#This Row],[Date of Call]])&lt;6,YEAR(Calls[[#This Row],[Date of Call]]),YEAR(Calls[[#This Row],[Date of Call]])+1)</f>
        <v>2024</v>
      </c>
      <c r="J831" t="str">
        <f>TEXT(Calls[[#This Row],[Date of Call]],"DDDD")</f>
        <v>Saturday</v>
      </c>
      <c r="K831" t="str" cm="1">
        <f t="array" ref="K831">_xlfn.IFS(Calls[[#This Row],[Duration]]&lt;10,"Under 10 Mins",Calls[[#This Row],[Duration]]&lt;=30,"10 - 30 Mins",Calls[[#This Row],[Duration]]&lt;=60,"30 - 60 Mins",Calls[[#This Row],[Duration]]&lt;=120,"1 - 2 Hours",TRUE,"More than 2  Hours")</f>
        <v>1 - 2 Hours</v>
      </c>
      <c r="L831">
        <f>ROUND(Calls[[#This Row],[Satisfaction Rating]],0)</f>
        <v>5</v>
      </c>
    </row>
    <row r="832" spans="2:12" x14ac:dyDescent="0.3">
      <c r="B832" s="22" t="s">
        <v>854</v>
      </c>
      <c r="C832" s="4" t="s">
        <v>12</v>
      </c>
      <c r="D832" s="4">
        <v>132</v>
      </c>
      <c r="E832" s="5" t="s">
        <v>11</v>
      </c>
      <c r="F832" s="9">
        <v>45213</v>
      </c>
      <c r="G832" s="4">
        <v>140</v>
      </c>
      <c r="H832" s="23">
        <v>4.3</v>
      </c>
      <c r="I832">
        <f>IF(MONTH(Calls[[#This Row],[Date of Call]])&lt;6,YEAR(Calls[[#This Row],[Date of Call]]),YEAR(Calls[[#This Row],[Date of Call]])+1)</f>
        <v>2024</v>
      </c>
      <c r="J832" t="str">
        <f>TEXT(Calls[[#This Row],[Date of Call]],"DDDD")</f>
        <v>Saturday</v>
      </c>
      <c r="K832" t="str" cm="1">
        <f t="array" ref="K832">_xlfn.IFS(Calls[[#This Row],[Duration]]&lt;10,"Under 10 Mins",Calls[[#This Row],[Duration]]&lt;=30,"10 - 30 Mins",Calls[[#This Row],[Duration]]&lt;=60,"30 - 60 Mins",Calls[[#This Row],[Duration]]&lt;=120,"1 - 2 Hours",TRUE,"More than 2  Hours")</f>
        <v>More than 2  Hours</v>
      </c>
      <c r="L832">
        <f>ROUND(Calls[[#This Row],[Satisfaction Rating]],0)</f>
        <v>4</v>
      </c>
    </row>
    <row r="833" spans="2:12" x14ac:dyDescent="0.3">
      <c r="B833" s="22" t="s">
        <v>855</v>
      </c>
      <c r="C833" s="4" t="s">
        <v>17</v>
      </c>
      <c r="D833" s="4">
        <v>67</v>
      </c>
      <c r="E833" s="5" t="s">
        <v>11</v>
      </c>
      <c r="F833" s="9">
        <v>45213</v>
      </c>
      <c r="G833" s="4">
        <v>105</v>
      </c>
      <c r="H833" s="23">
        <v>3.8</v>
      </c>
      <c r="I833">
        <f>IF(MONTH(Calls[[#This Row],[Date of Call]])&lt;6,YEAR(Calls[[#This Row],[Date of Call]]),YEAR(Calls[[#This Row],[Date of Call]])+1)</f>
        <v>2024</v>
      </c>
      <c r="J833" t="str">
        <f>TEXT(Calls[[#This Row],[Date of Call]],"DDDD")</f>
        <v>Saturday</v>
      </c>
      <c r="K833" t="str" cm="1">
        <f t="array" ref="K833">_xlfn.IFS(Calls[[#This Row],[Duration]]&lt;10,"Under 10 Mins",Calls[[#This Row],[Duration]]&lt;=30,"10 - 30 Mins",Calls[[#This Row],[Duration]]&lt;=60,"30 - 60 Mins",Calls[[#This Row],[Duration]]&lt;=120,"1 - 2 Hours",TRUE,"More than 2  Hours")</f>
        <v>1 - 2 Hours</v>
      </c>
      <c r="L833">
        <f>ROUND(Calls[[#This Row],[Satisfaction Rating]],0)</f>
        <v>4</v>
      </c>
    </row>
    <row r="834" spans="2:12" x14ac:dyDescent="0.3">
      <c r="B834" s="22" t="s">
        <v>856</v>
      </c>
      <c r="C834" s="4" t="s">
        <v>15</v>
      </c>
      <c r="D834" s="4">
        <v>125</v>
      </c>
      <c r="E834" s="5" t="s">
        <v>11</v>
      </c>
      <c r="F834" s="9">
        <v>45213</v>
      </c>
      <c r="G834" s="4">
        <v>82</v>
      </c>
      <c r="H834" s="23">
        <v>4.5999999999999996</v>
      </c>
      <c r="I834">
        <f>IF(MONTH(Calls[[#This Row],[Date of Call]])&lt;6,YEAR(Calls[[#This Row],[Date of Call]]),YEAR(Calls[[#This Row],[Date of Call]])+1)</f>
        <v>2024</v>
      </c>
      <c r="J834" t="str">
        <f>TEXT(Calls[[#This Row],[Date of Call]],"DDDD")</f>
        <v>Saturday</v>
      </c>
      <c r="K834" t="str" cm="1">
        <f t="array" ref="K834">_xlfn.IFS(Calls[[#This Row],[Duration]]&lt;10,"Under 10 Mins",Calls[[#This Row],[Duration]]&lt;=30,"10 - 30 Mins",Calls[[#This Row],[Duration]]&lt;=60,"30 - 60 Mins",Calls[[#This Row],[Duration]]&lt;=120,"1 - 2 Hours",TRUE,"More than 2  Hours")</f>
        <v>More than 2  Hours</v>
      </c>
      <c r="L834">
        <f>ROUND(Calls[[#This Row],[Satisfaction Rating]],0)</f>
        <v>5</v>
      </c>
    </row>
    <row r="835" spans="2:12" x14ac:dyDescent="0.3">
      <c r="B835" s="22" t="s">
        <v>857</v>
      </c>
      <c r="C835" s="4" t="s">
        <v>20</v>
      </c>
      <c r="D835" s="4">
        <v>23</v>
      </c>
      <c r="E835" s="5" t="s">
        <v>10</v>
      </c>
      <c r="F835" s="9">
        <v>45213</v>
      </c>
      <c r="G835" s="4">
        <v>24</v>
      </c>
      <c r="H835" s="23">
        <v>2.9</v>
      </c>
      <c r="I835">
        <f>IF(MONTH(Calls[[#This Row],[Date of Call]])&lt;6,YEAR(Calls[[#This Row],[Date of Call]]),YEAR(Calls[[#This Row],[Date of Call]])+1)</f>
        <v>2024</v>
      </c>
      <c r="J835" t="str">
        <f>TEXT(Calls[[#This Row],[Date of Call]],"DDDD")</f>
        <v>Saturday</v>
      </c>
      <c r="K835" t="str" cm="1">
        <f t="array" ref="K835">_xlfn.IFS(Calls[[#This Row],[Duration]]&lt;10,"Under 10 Mins",Calls[[#This Row],[Duration]]&lt;=30,"10 - 30 Mins",Calls[[#This Row],[Duration]]&lt;=60,"30 - 60 Mins",Calls[[#This Row],[Duration]]&lt;=120,"1 - 2 Hours",TRUE,"More than 2  Hours")</f>
        <v>10 - 30 Mins</v>
      </c>
      <c r="L835">
        <f>ROUND(Calls[[#This Row],[Satisfaction Rating]],0)</f>
        <v>3</v>
      </c>
    </row>
    <row r="836" spans="2:12" x14ac:dyDescent="0.3">
      <c r="B836" s="22" t="s">
        <v>858</v>
      </c>
      <c r="C836" s="4" t="s">
        <v>8</v>
      </c>
      <c r="D836" s="4">
        <v>131</v>
      </c>
      <c r="E836" s="5" t="s">
        <v>6</v>
      </c>
      <c r="F836" s="9">
        <v>45214</v>
      </c>
      <c r="G836" s="4">
        <v>205</v>
      </c>
      <c r="H836" s="23">
        <v>4.8</v>
      </c>
      <c r="I836">
        <f>IF(MONTH(Calls[[#This Row],[Date of Call]])&lt;6,YEAR(Calls[[#This Row],[Date of Call]]),YEAR(Calls[[#This Row],[Date of Call]])+1)</f>
        <v>2024</v>
      </c>
      <c r="J836" t="str">
        <f>TEXT(Calls[[#This Row],[Date of Call]],"DDDD")</f>
        <v>Sunday</v>
      </c>
      <c r="K836" t="str" cm="1">
        <f t="array" ref="K836">_xlfn.IFS(Calls[[#This Row],[Duration]]&lt;10,"Under 10 Mins",Calls[[#This Row],[Duration]]&lt;=30,"10 - 30 Mins",Calls[[#This Row],[Duration]]&lt;=60,"30 - 60 Mins",Calls[[#This Row],[Duration]]&lt;=120,"1 - 2 Hours",TRUE,"More than 2  Hours")</f>
        <v>More than 2  Hours</v>
      </c>
      <c r="L836">
        <f>ROUND(Calls[[#This Row],[Satisfaction Rating]],0)</f>
        <v>5</v>
      </c>
    </row>
    <row r="837" spans="2:12" x14ac:dyDescent="0.3">
      <c r="B837" s="22" t="s">
        <v>859</v>
      </c>
      <c r="C837" s="4" t="s">
        <v>12</v>
      </c>
      <c r="D837" s="4">
        <v>56</v>
      </c>
      <c r="E837" s="5" t="s">
        <v>9</v>
      </c>
      <c r="F837" s="9">
        <v>45214</v>
      </c>
      <c r="G837" s="4">
        <v>225</v>
      </c>
      <c r="H837" s="23">
        <v>4.9000000000000004</v>
      </c>
      <c r="I837">
        <f>IF(MONTH(Calls[[#This Row],[Date of Call]])&lt;6,YEAR(Calls[[#This Row],[Date of Call]]),YEAR(Calls[[#This Row],[Date of Call]])+1)</f>
        <v>2024</v>
      </c>
      <c r="J837" t="str">
        <f>TEXT(Calls[[#This Row],[Date of Call]],"DDDD")</f>
        <v>Sunday</v>
      </c>
      <c r="K837" t="str" cm="1">
        <f t="array" ref="K837">_xlfn.IFS(Calls[[#This Row],[Duration]]&lt;10,"Under 10 Mins",Calls[[#This Row],[Duration]]&lt;=30,"10 - 30 Mins",Calls[[#This Row],[Duration]]&lt;=60,"30 - 60 Mins",Calls[[#This Row],[Duration]]&lt;=120,"1 - 2 Hours",TRUE,"More than 2  Hours")</f>
        <v>30 - 60 Mins</v>
      </c>
      <c r="L837">
        <f>ROUND(Calls[[#This Row],[Satisfaction Rating]],0)</f>
        <v>5</v>
      </c>
    </row>
    <row r="838" spans="2:12" x14ac:dyDescent="0.3">
      <c r="B838" s="22" t="s">
        <v>860</v>
      </c>
      <c r="C838" s="4" t="s">
        <v>8</v>
      </c>
      <c r="D838" s="4">
        <v>70</v>
      </c>
      <c r="E838" s="5" t="s">
        <v>6</v>
      </c>
      <c r="F838" s="9">
        <v>45214</v>
      </c>
      <c r="G838" s="4">
        <v>50</v>
      </c>
      <c r="H838" s="23">
        <v>3.4</v>
      </c>
      <c r="I838">
        <f>IF(MONTH(Calls[[#This Row],[Date of Call]])&lt;6,YEAR(Calls[[#This Row],[Date of Call]]),YEAR(Calls[[#This Row],[Date of Call]])+1)</f>
        <v>2024</v>
      </c>
      <c r="J838" t="str">
        <f>TEXT(Calls[[#This Row],[Date of Call]],"DDDD")</f>
        <v>Sunday</v>
      </c>
      <c r="K838" t="str" cm="1">
        <f t="array" ref="K838">_xlfn.IFS(Calls[[#This Row],[Duration]]&lt;10,"Under 10 Mins",Calls[[#This Row],[Duration]]&lt;=30,"10 - 30 Mins",Calls[[#This Row],[Duration]]&lt;=60,"30 - 60 Mins",Calls[[#This Row],[Duration]]&lt;=120,"1 - 2 Hours",TRUE,"More than 2  Hours")</f>
        <v>1 - 2 Hours</v>
      </c>
      <c r="L838">
        <f>ROUND(Calls[[#This Row],[Satisfaction Rating]],0)</f>
        <v>3</v>
      </c>
    </row>
    <row r="839" spans="2:12" x14ac:dyDescent="0.3">
      <c r="B839" s="22" t="s">
        <v>861</v>
      </c>
      <c r="C839" s="4" t="s">
        <v>8</v>
      </c>
      <c r="D839" s="4">
        <v>55</v>
      </c>
      <c r="E839" s="5" t="s">
        <v>11</v>
      </c>
      <c r="F839" s="9">
        <v>45214</v>
      </c>
      <c r="G839" s="4">
        <v>80</v>
      </c>
      <c r="H839" s="23">
        <v>4.3</v>
      </c>
      <c r="I839">
        <f>IF(MONTH(Calls[[#This Row],[Date of Call]])&lt;6,YEAR(Calls[[#This Row],[Date of Call]]),YEAR(Calls[[#This Row],[Date of Call]])+1)</f>
        <v>2024</v>
      </c>
      <c r="J839" t="str">
        <f>TEXT(Calls[[#This Row],[Date of Call]],"DDDD")</f>
        <v>Sunday</v>
      </c>
      <c r="K839" t="str" cm="1">
        <f t="array" ref="K839">_xlfn.IFS(Calls[[#This Row],[Duration]]&lt;10,"Under 10 Mins",Calls[[#This Row],[Duration]]&lt;=30,"10 - 30 Mins",Calls[[#This Row],[Duration]]&lt;=60,"30 - 60 Mins",Calls[[#This Row],[Duration]]&lt;=120,"1 - 2 Hours",TRUE,"More than 2  Hours")</f>
        <v>30 - 60 Mins</v>
      </c>
      <c r="L839">
        <f>ROUND(Calls[[#This Row],[Satisfaction Rating]],0)</f>
        <v>4</v>
      </c>
    </row>
    <row r="840" spans="2:12" x14ac:dyDescent="0.3">
      <c r="B840" s="22" t="s">
        <v>862</v>
      </c>
      <c r="C840" s="4" t="s">
        <v>15</v>
      </c>
      <c r="D840" s="4">
        <v>77</v>
      </c>
      <c r="E840" s="5" t="s">
        <v>9</v>
      </c>
      <c r="F840" s="9">
        <v>45214</v>
      </c>
      <c r="G840" s="4">
        <v>78</v>
      </c>
      <c r="H840" s="23">
        <v>3.9</v>
      </c>
      <c r="I840">
        <f>IF(MONTH(Calls[[#This Row],[Date of Call]])&lt;6,YEAR(Calls[[#This Row],[Date of Call]]),YEAR(Calls[[#This Row],[Date of Call]])+1)</f>
        <v>2024</v>
      </c>
      <c r="J840" t="str">
        <f>TEXT(Calls[[#This Row],[Date of Call]],"DDDD")</f>
        <v>Sunday</v>
      </c>
      <c r="K840" t="str" cm="1">
        <f t="array" ref="K840">_xlfn.IFS(Calls[[#This Row],[Duration]]&lt;10,"Under 10 Mins",Calls[[#This Row],[Duration]]&lt;=30,"10 - 30 Mins",Calls[[#This Row],[Duration]]&lt;=60,"30 - 60 Mins",Calls[[#This Row],[Duration]]&lt;=120,"1 - 2 Hours",TRUE,"More than 2  Hours")</f>
        <v>1 - 2 Hours</v>
      </c>
      <c r="L840">
        <f>ROUND(Calls[[#This Row],[Satisfaction Rating]],0)</f>
        <v>4</v>
      </c>
    </row>
    <row r="841" spans="2:12" x14ac:dyDescent="0.3">
      <c r="B841" s="22" t="s">
        <v>863</v>
      </c>
      <c r="C841" s="4" t="s">
        <v>21</v>
      </c>
      <c r="D841" s="4">
        <v>133</v>
      </c>
      <c r="E841" s="5" t="s">
        <v>6</v>
      </c>
      <c r="F841" s="9">
        <v>45215</v>
      </c>
      <c r="G841" s="4">
        <v>40</v>
      </c>
      <c r="H841" s="23">
        <v>3.9</v>
      </c>
      <c r="I841">
        <f>IF(MONTH(Calls[[#This Row],[Date of Call]])&lt;6,YEAR(Calls[[#This Row],[Date of Call]]),YEAR(Calls[[#This Row],[Date of Call]])+1)</f>
        <v>2024</v>
      </c>
      <c r="J841" t="str">
        <f>TEXT(Calls[[#This Row],[Date of Call]],"DDDD")</f>
        <v>Monday</v>
      </c>
      <c r="K841" t="str" cm="1">
        <f t="array" ref="K841">_xlfn.IFS(Calls[[#This Row],[Duration]]&lt;10,"Under 10 Mins",Calls[[#This Row],[Duration]]&lt;=30,"10 - 30 Mins",Calls[[#This Row],[Duration]]&lt;=60,"30 - 60 Mins",Calls[[#This Row],[Duration]]&lt;=120,"1 - 2 Hours",TRUE,"More than 2  Hours")</f>
        <v>More than 2  Hours</v>
      </c>
      <c r="L841">
        <f>ROUND(Calls[[#This Row],[Satisfaction Rating]],0)</f>
        <v>4</v>
      </c>
    </row>
    <row r="842" spans="2:12" x14ac:dyDescent="0.3">
      <c r="B842" s="22" t="s">
        <v>864</v>
      </c>
      <c r="C842" s="4" t="s">
        <v>15</v>
      </c>
      <c r="D842" s="4">
        <v>77</v>
      </c>
      <c r="E842" s="5" t="s">
        <v>9</v>
      </c>
      <c r="F842" s="9">
        <v>45215</v>
      </c>
      <c r="G842" s="4">
        <v>176</v>
      </c>
      <c r="H842" s="23">
        <v>1.5</v>
      </c>
      <c r="I842">
        <f>IF(MONTH(Calls[[#This Row],[Date of Call]])&lt;6,YEAR(Calls[[#This Row],[Date of Call]]),YEAR(Calls[[#This Row],[Date of Call]])+1)</f>
        <v>2024</v>
      </c>
      <c r="J842" t="str">
        <f>TEXT(Calls[[#This Row],[Date of Call]],"DDDD")</f>
        <v>Monday</v>
      </c>
      <c r="K842" t="str" cm="1">
        <f t="array" ref="K842">_xlfn.IFS(Calls[[#This Row],[Duration]]&lt;10,"Under 10 Mins",Calls[[#This Row],[Duration]]&lt;=30,"10 - 30 Mins",Calls[[#This Row],[Duration]]&lt;=60,"30 - 60 Mins",Calls[[#This Row],[Duration]]&lt;=120,"1 - 2 Hours",TRUE,"More than 2  Hours")</f>
        <v>1 - 2 Hours</v>
      </c>
      <c r="L842">
        <f>ROUND(Calls[[#This Row],[Satisfaction Rating]],0)</f>
        <v>2</v>
      </c>
    </row>
    <row r="843" spans="2:12" x14ac:dyDescent="0.3">
      <c r="B843" s="22" t="s">
        <v>865</v>
      </c>
      <c r="C843" s="4" t="s">
        <v>19</v>
      </c>
      <c r="D843" s="4">
        <v>103</v>
      </c>
      <c r="E843" s="5" t="s">
        <v>6</v>
      </c>
      <c r="F843" s="9">
        <v>45215</v>
      </c>
      <c r="G843" s="4">
        <v>78</v>
      </c>
      <c r="H843" s="23">
        <v>3</v>
      </c>
      <c r="I843">
        <f>IF(MONTH(Calls[[#This Row],[Date of Call]])&lt;6,YEAR(Calls[[#This Row],[Date of Call]]),YEAR(Calls[[#This Row],[Date of Call]])+1)</f>
        <v>2024</v>
      </c>
      <c r="J843" t="str">
        <f>TEXT(Calls[[#This Row],[Date of Call]],"DDDD")</f>
        <v>Monday</v>
      </c>
      <c r="K843" t="str" cm="1">
        <f t="array" ref="K843">_xlfn.IFS(Calls[[#This Row],[Duration]]&lt;10,"Under 10 Mins",Calls[[#This Row],[Duration]]&lt;=30,"10 - 30 Mins",Calls[[#This Row],[Duration]]&lt;=60,"30 - 60 Mins",Calls[[#This Row],[Duration]]&lt;=120,"1 - 2 Hours",TRUE,"More than 2  Hours")</f>
        <v>1 - 2 Hours</v>
      </c>
      <c r="L843">
        <f>ROUND(Calls[[#This Row],[Satisfaction Rating]],0)</f>
        <v>3</v>
      </c>
    </row>
    <row r="844" spans="2:12" x14ac:dyDescent="0.3">
      <c r="B844" s="22" t="s">
        <v>866</v>
      </c>
      <c r="C844" s="4" t="s">
        <v>5</v>
      </c>
      <c r="D844" s="4">
        <v>32</v>
      </c>
      <c r="E844" s="5" t="s">
        <v>9</v>
      </c>
      <c r="F844" s="9">
        <v>45215</v>
      </c>
      <c r="G844" s="4">
        <v>42</v>
      </c>
      <c r="H844" s="23">
        <v>4.2</v>
      </c>
      <c r="I844">
        <f>IF(MONTH(Calls[[#This Row],[Date of Call]])&lt;6,YEAR(Calls[[#This Row],[Date of Call]]),YEAR(Calls[[#This Row],[Date of Call]])+1)</f>
        <v>2024</v>
      </c>
      <c r="J844" t="str">
        <f>TEXT(Calls[[#This Row],[Date of Call]],"DDDD")</f>
        <v>Monday</v>
      </c>
      <c r="K844" t="str" cm="1">
        <f t="array" ref="K844">_xlfn.IFS(Calls[[#This Row],[Duration]]&lt;10,"Under 10 Mins",Calls[[#This Row],[Duration]]&lt;=30,"10 - 30 Mins",Calls[[#This Row],[Duration]]&lt;=60,"30 - 60 Mins",Calls[[#This Row],[Duration]]&lt;=120,"1 - 2 Hours",TRUE,"More than 2  Hours")</f>
        <v>30 - 60 Mins</v>
      </c>
      <c r="L844">
        <f>ROUND(Calls[[#This Row],[Satisfaction Rating]],0)</f>
        <v>4</v>
      </c>
    </row>
    <row r="845" spans="2:12" x14ac:dyDescent="0.3">
      <c r="B845" s="22" t="s">
        <v>867</v>
      </c>
      <c r="C845" s="4" t="s">
        <v>21</v>
      </c>
      <c r="D845" s="4">
        <v>30</v>
      </c>
      <c r="E845" s="5" t="s">
        <v>6</v>
      </c>
      <c r="F845" s="9">
        <v>45215</v>
      </c>
      <c r="G845" s="4">
        <v>38</v>
      </c>
      <c r="H845" s="23">
        <v>3.7</v>
      </c>
      <c r="I845">
        <f>IF(MONTH(Calls[[#This Row],[Date of Call]])&lt;6,YEAR(Calls[[#This Row],[Date of Call]]),YEAR(Calls[[#This Row],[Date of Call]])+1)</f>
        <v>2024</v>
      </c>
      <c r="J845" t="str">
        <f>TEXT(Calls[[#This Row],[Date of Call]],"DDDD")</f>
        <v>Monday</v>
      </c>
      <c r="K845" t="str" cm="1">
        <f t="array" ref="K845">_xlfn.IFS(Calls[[#This Row],[Duration]]&lt;10,"Under 10 Mins",Calls[[#This Row],[Duration]]&lt;=30,"10 - 30 Mins",Calls[[#This Row],[Duration]]&lt;=60,"30 - 60 Mins",Calls[[#This Row],[Duration]]&lt;=120,"1 - 2 Hours",TRUE,"More than 2  Hours")</f>
        <v>10 - 30 Mins</v>
      </c>
      <c r="L845">
        <f>ROUND(Calls[[#This Row],[Satisfaction Rating]],0)</f>
        <v>4</v>
      </c>
    </row>
    <row r="846" spans="2:12" x14ac:dyDescent="0.3">
      <c r="B846" s="22" t="s">
        <v>868</v>
      </c>
      <c r="C846" s="4" t="s">
        <v>23</v>
      </c>
      <c r="D846" s="4">
        <v>87</v>
      </c>
      <c r="E846" s="5" t="s">
        <v>13</v>
      </c>
      <c r="F846" s="9">
        <v>45215</v>
      </c>
      <c r="G846" s="4">
        <v>27</v>
      </c>
      <c r="H846" s="23">
        <v>4.2</v>
      </c>
      <c r="I846">
        <f>IF(MONTH(Calls[[#This Row],[Date of Call]])&lt;6,YEAR(Calls[[#This Row],[Date of Call]]),YEAR(Calls[[#This Row],[Date of Call]])+1)</f>
        <v>2024</v>
      </c>
      <c r="J846" t="str">
        <f>TEXT(Calls[[#This Row],[Date of Call]],"DDDD")</f>
        <v>Monday</v>
      </c>
      <c r="K846" t="str" cm="1">
        <f t="array" ref="K846">_xlfn.IFS(Calls[[#This Row],[Duration]]&lt;10,"Under 10 Mins",Calls[[#This Row],[Duration]]&lt;=30,"10 - 30 Mins",Calls[[#This Row],[Duration]]&lt;=60,"30 - 60 Mins",Calls[[#This Row],[Duration]]&lt;=120,"1 - 2 Hours",TRUE,"More than 2  Hours")</f>
        <v>1 - 2 Hours</v>
      </c>
      <c r="L846">
        <f>ROUND(Calls[[#This Row],[Satisfaction Rating]],0)</f>
        <v>4</v>
      </c>
    </row>
    <row r="847" spans="2:12" x14ac:dyDescent="0.3">
      <c r="B847" s="22" t="s">
        <v>869</v>
      </c>
      <c r="C847" s="4" t="s">
        <v>15</v>
      </c>
      <c r="D847" s="4">
        <v>137</v>
      </c>
      <c r="E847" s="5" t="s">
        <v>10</v>
      </c>
      <c r="F847" s="9">
        <v>45216</v>
      </c>
      <c r="G847" s="4">
        <v>45</v>
      </c>
      <c r="H847" s="23">
        <v>4.4000000000000004</v>
      </c>
      <c r="I847">
        <f>IF(MONTH(Calls[[#This Row],[Date of Call]])&lt;6,YEAR(Calls[[#This Row],[Date of Call]]),YEAR(Calls[[#This Row],[Date of Call]])+1)</f>
        <v>2024</v>
      </c>
      <c r="J847" t="str">
        <f>TEXT(Calls[[#This Row],[Date of Call]],"DDDD")</f>
        <v>Tuesday</v>
      </c>
      <c r="K847" t="str" cm="1">
        <f t="array" ref="K847">_xlfn.IFS(Calls[[#This Row],[Duration]]&lt;10,"Under 10 Mins",Calls[[#This Row],[Duration]]&lt;=30,"10 - 30 Mins",Calls[[#This Row],[Duration]]&lt;=60,"30 - 60 Mins",Calls[[#This Row],[Duration]]&lt;=120,"1 - 2 Hours",TRUE,"More than 2  Hours")</f>
        <v>More than 2  Hours</v>
      </c>
      <c r="L847">
        <f>ROUND(Calls[[#This Row],[Satisfaction Rating]],0)</f>
        <v>4</v>
      </c>
    </row>
    <row r="848" spans="2:12" x14ac:dyDescent="0.3">
      <c r="B848" s="22" t="s">
        <v>870</v>
      </c>
      <c r="C848" s="4" t="s">
        <v>14</v>
      </c>
      <c r="D848" s="4">
        <v>96</v>
      </c>
      <c r="E848" s="5" t="s">
        <v>6</v>
      </c>
      <c r="F848" s="9">
        <v>45216</v>
      </c>
      <c r="G848" s="4">
        <v>215</v>
      </c>
      <c r="H848" s="23">
        <v>4</v>
      </c>
      <c r="I848">
        <f>IF(MONTH(Calls[[#This Row],[Date of Call]])&lt;6,YEAR(Calls[[#This Row],[Date of Call]]),YEAR(Calls[[#This Row],[Date of Call]])+1)</f>
        <v>2024</v>
      </c>
      <c r="J848" t="str">
        <f>TEXT(Calls[[#This Row],[Date of Call]],"DDDD")</f>
        <v>Tuesday</v>
      </c>
      <c r="K848" t="str" cm="1">
        <f t="array" ref="K848">_xlfn.IFS(Calls[[#This Row],[Duration]]&lt;10,"Under 10 Mins",Calls[[#This Row],[Duration]]&lt;=30,"10 - 30 Mins",Calls[[#This Row],[Duration]]&lt;=60,"30 - 60 Mins",Calls[[#This Row],[Duration]]&lt;=120,"1 - 2 Hours",TRUE,"More than 2  Hours")</f>
        <v>1 - 2 Hours</v>
      </c>
      <c r="L848">
        <f>ROUND(Calls[[#This Row],[Satisfaction Rating]],0)</f>
        <v>4</v>
      </c>
    </row>
    <row r="849" spans="2:12" x14ac:dyDescent="0.3">
      <c r="B849" s="22" t="s">
        <v>871</v>
      </c>
      <c r="C849" s="4" t="s">
        <v>18</v>
      </c>
      <c r="D849" s="4">
        <v>155</v>
      </c>
      <c r="E849" s="5" t="s">
        <v>6</v>
      </c>
      <c r="F849" s="9">
        <v>45217</v>
      </c>
      <c r="G849" s="4">
        <v>72</v>
      </c>
      <c r="H849" s="23">
        <v>4.7</v>
      </c>
      <c r="I849">
        <f>IF(MONTH(Calls[[#This Row],[Date of Call]])&lt;6,YEAR(Calls[[#This Row],[Date of Call]]),YEAR(Calls[[#This Row],[Date of Call]])+1)</f>
        <v>2024</v>
      </c>
      <c r="J849" t="str">
        <f>TEXT(Calls[[#This Row],[Date of Call]],"DDDD")</f>
        <v>Wednesday</v>
      </c>
      <c r="K849" t="str" cm="1">
        <f t="array" ref="K849">_xlfn.IFS(Calls[[#This Row],[Duration]]&lt;10,"Under 10 Mins",Calls[[#This Row],[Duration]]&lt;=30,"10 - 30 Mins",Calls[[#This Row],[Duration]]&lt;=60,"30 - 60 Mins",Calls[[#This Row],[Duration]]&lt;=120,"1 - 2 Hours",TRUE,"More than 2  Hours")</f>
        <v>More than 2  Hours</v>
      </c>
      <c r="L849">
        <f>ROUND(Calls[[#This Row],[Satisfaction Rating]],0)</f>
        <v>5</v>
      </c>
    </row>
    <row r="850" spans="2:12" x14ac:dyDescent="0.3">
      <c r="B850" s="22" t="s">
        <v>872</v>
      </c>
      <c r="C850" s="4" t="s">
        <v>21</v>
      </c>
      <c r="D850" s="4">
        <v>173</v>
      </c>
      <c r="E850" s="5" t="s">
        <v>11</v>
      </c>
      <c r="F850" s="9">
        <v>45217</v>
      </c>
      <c r="G850" s="4">
        <v>160</v>
      </c>
      <c r="H850" s="23">
        <v>2.8</v>
      </c>
      <c r="I850">
        <f>IF(MONTH(Calls[[#This Row],[Date of Call]])&lt;6,YEAR(Calls[[#This Row],[Date of Call]]),YEAR(Calls[[#This Row],[Date of Call]])+1)</f>
        <v>2024</v>
      </c>
      <c r="J850" t="str">
        <f>TEXT(Calls[[#This Row],[Date of Call]],"DDDD")</f>
        <v>Wednesday</v>
      </c>
      <c r="K850" t="str" cm="1">
        <f t="array" ref="K850">_xlfn.IFS(Calls[[#This Row],[Duration]]&lt;10,"Under 10 Mins",Calls[[#This Row],[Duration]]&lt;=30,"10 - 30 Mins",Calls[[#This Row],[Duration]]&lt;=60,"30 - 60 Mins",Calls[[#This Row],[Duration]]&lt;=120,"1 - 2 Hours",TRUE,"More than 2  Hours")</f>
        <v>More than 2  Hours</v>
      </c>
      <c r="L850">
        <f>ROUND(Calls[[#This Row],[Satisfaction Rating]],0)</f>
        <v>3</v>
      </c>
    </row>
    <row r="851" spans="2:12" x14ac:dyDescent="0.3">
      <c r="B851" s="22" t="s">
        <v>873</v>
      </c>
      <c r="C851" s="4" t="s">
        <v>18</v>
      </c>
      <c r="D851" s="4">
        <v>127</v>
      </c>
      <c r="E851" s="5" t="s">
        <v>6</v>
      </c>
      <c r="F851" s="9">
        <v>45217</v>
      </c>
      <c r="G851" s="4">
        <v>165</v>
      </c>
      <c r="H851" s="23">
        <v>2.5</v>
      </c>
      <c r="I851">
        <f>IF(MONTH(Calls[[#This Row],[Date of Call]])&lt;6,YEAR(Calls[[#This Row],[Date of Call]]),YEAR(Calls[[#This Row],[Date of Call]])+1)</f>
        <v>2024</v>
      </c>
      <c r="J851" t="str">
        <f>TEXT(Calls[[#This Row],[Date of Call]],"DDDD")</f>
        <v>Wednesday</v>
      </c>
      <c r="K851" t="str" cm="1">
        <f t="array" ref="K851">_xlfn.IFS(Calls[[#This Row],[Duration]]&lt;10,"Under 10 Mins",Calls[[#This Row],[Duration]]&lt;=30,"10 - 30 Mins",Calls[[#This Row],[Duration]]&lt;=60,"30 - 60 Mins",Calls[[#This Row],[Duration]]&lt;=120,"1 - 2 Hours",TRUE,"More than 2  Hours")</f>
        <v>More than 2  Hours</v>
      </c>
      <c r="L851">
        <f>ROUND(Calls[[#This Row],[Satisfaction Rating]],0)</f>
        <v>3</v>
      </c>
    </row>
    <row r="852" spans="2:12" x14ac:dyDescent="0.3">
      <c r="B852" s="22" t="s">
        <v>874</v>
      </c>
      <c r="C852" s="4" t="s">
        <v>12</v>
      </c>
      <c r="D852" s="4">
        <v>117</v>
      </c>
      <c r="E852" s="5" t="s">
        <v>11</v>
      </c>
      <c r="F852" s="9">
        <v>45217</v>
      </c>
      <c r="G852" s="4">
        <v>120</v>
      </c>
      <c r="H852" s="23">
        <v>3.4</v>
      </c>
      <c r="I852">
        <f>IF(MONTH(Calls[[#This Row],[Date of Call]])&lt;6,YEAR(Calls[[#This Row],[Date of Call]]),YEAR(Calls[[#This Row],[Date of Call]])+1)</f>
        <v>2024</v>
      </c>
      <c r="J852" t="str">
        <f>TEXT(Calls[[#This Row],[Date of Call]],"DDDD")</f>
        <v>Wednesday</v>
      </c>
      <c r="K852" t="str" cm="1">
        <f t="array" ref="K852">_xlfn.IFS(Calls[[#This Row],[Duration]]&lt;10,"Under 10 Mins",Calls[[#This Row],[Duration]]&lt;=30,"10 - 30 Mins",Calls[[#This Row],[Duration]]&lt;=60,"30 - 60 Mins",Calls[[#This Row],[Duration]]&lt;=120,"1 - 2 Hours",TRUE,"More than 2  Hours")</f>
        <v>1 - 2 Hours</v>
      </c>
      <c r="L852">
        <f>ROUND(Calls[[#This Row],[Satisfaction Rating]],0)</f>
        <v>3</v>
      </c>
    </row>
    <row r="853" spans="2:12" x14ac:dyDescent="0.3">
      <c r="B853" s="22" t="s">
        <v>875</v>
      </c>
      <c r="C853" s="4" t="s">
        <v>20</v>
      </c>
      <c r="D853" s="4">
        <v>133</v>
      </c>
      <c r="E853" s="5" t="s">
        <v>9</v>
      </c>
      <c r="F853" s="9">
        <v>45217</v>
      </c>
      <c r="G853" s="4">
        <v>117</v>
      </c>
      <c r="H853" s="23">
        <v>4.8</v>
      </c>
      <c r="I853">
        <f>IF(MONTH(Calls[[#This Row],[Date of Call]])&lt;6,YEAR(Calls[[#This Row],[Date of Call]]),YEAR(Calls[[#This Row],[Date of Call]])+1)</f>
        <v>2024</v>
      </c>
      <c r="J853" t="str">
        <f>TEXT(Calls[[#This Row],[Date of Call]],"DDDD")</f>
        <v>Wednesday</v>
      </c>
      <c r="K853" t="str" cm="1">
        <f t="array" ref="K853">_xlfn.IFS(Calls[[#This Row],[Duration]]&lt;10,"Under 10 Mins",Calls[[#This Row],[Duration]]&lt;=30,"10 - 30 Mins",Calls[[#This Row],[Duration]]&lt;=60,"30 - 60 Mins",Calls[[#This Row],[Duration]]&lt;=120,"1 - 2 Hours",TRUE,"More than 2  Hours")</f>
        <v>More than 2  Hours</v>
      </c>
      <c r="L853">
        <f>ROUND(Calls[[#This Row],[Satisfaction Rating]],0)</f>
        <v>5</v>
      </c>
    </row>
    <row r="854" spans="2:12" x14ac:dyDescent="0.3">
      <c r="B854" s="22" t="s">
        <v>876</v>
      </c>
      <c r="C854" s="4" t="s">
        <v>24</v>
      </c>
      <c r="D854" s="4">
        <v>166</v>
      </c>
      <c r="E854" s="5" t="s">
        <v>13</v>
      </c>
      <c r="F854" s="9">
        <v>45218</v>
      </c>
      <c r="G854" s="4">
        <v>29</v>
      </c>
      <c r="H854" s="23">
        <v>4.3</v>
      </c>
      <c r="I854">
        <f>IF(MONTH(Calls[[#This Row],[Date of Call]])&lt;6,YEAR(Calls[[#This Row],[Date of Call]]),YEAR(Calls[[#This Row],[Date of Call]])+1)</f>
        <v>2024</v>
      </c>
      <c r="J854" t="str">
        <f>TEXT(Calls[[#This Row],[Date of Call]],"DDDD")</f>
        <v>Thursday</v>
      </c>
      <c r="K854" t="str" cm="1">
        <f t="array" ref="K854">_xlfn.IFS(Calls[[#This Row],[Duration]]&lt;10,"Under 10 Mins",Calls[[#This Row],[Duration]]&lt;=30,"10 - 30 Mins",Calls[[#This Row],[Duration]]&lt;=60,"30 - 60 Mins",Calls[[#This Row],[Duration]]&lt;=120,"1 - 2 Hours",TRUE,"More than 2  Hours")</f>
        <v>More than 2  Hours</v>
      </c>
      <c r="L854">
        <f>ROUND(Calls[[#This Row],[Satisfaction Rating]],0)</f>
        <v>4</v>
      </c>
    </row>
    <row r="855" spans="2:12" x14ac:dyDescent="0.3">
      <c r="B855" s="22" t="s">
        <v>877</v>
      </c>
      <c r="C855" s="4" t="s">
        <v>20</v>
      </c>
      <c r="D855" s="4">
        <v>50</v>
      </c>
      <c r="E855" s="5" t="s">
        <v>11</v>
      </c>
      <c r="F855" s="9">
        <v>45218</v>
      </c>
      <c r="G855" s="4">
        <v>64</v>
      </c>
      <c r="H855" s="23">
        <v>4.5</v>
      </c>
      <c r="I855">
        <f>IF(MONTH(Calls[[#This Row],[Date of Call]])&lt;6,YEAR(Calls[[#This Row],[Date of Call]]),YEAR(Calls[[#This Row],[Date of Call]])+1)</f>
        <v>2024</v>
      </c>
      <c r="J855" t="str">
        <f>TEXT(Calls[[#This Row],[Date of Call]],"DDDD")</f>
        <v>Thursday</v>
      </c>
      <c r="K855" t="str" cm="1">
        <f t="array" ref="K855">_xlfn.IFS(Calls[[#This Row],[Duration]]&lt;10,"Under 10 Mins",Calls[[#This Row],[Duration]]&lt;=30,"10 - 30 Mins",Calls[[#This Row],[Duration]]&lt;=60,"30 - 60 Mins",Calls[[#This Row],[Duration]]&lt;=120,"1 - 2 Hours",TRUE,"More than 2  Hours")</f>
        <v>30 - 60 Mins</v>
      </c>
      <c r="L855">
        <f>ROUND(Calls[[#This Row],[Satisfaction Rating]],0)</f>
        <v>5</v>
      </c>
    </row>
    <row r="856" spans="2:12" x14ac:dyDescent="0.3">
      <c r="B856" s="22" t="s">
        <v>878</v>
      </c>
      <c r="C856" s="4" t="s">
        <v>19</v>
      </c>
      <c r="D856" s="4">
        <v>43</v>
      </c>
      <c r="E856" s="5" t="s">
        <v>9</v>
      </c>
      <c r="F856" s="9">
        <v>45218</v>
      </c>
      <c r="G856" s="4">
        <v>84</v>
      </c>
      <c r="H856" s="23">
        <v>3.6</v>
      </c>
      <c r="I856">
        <f>IF(MONTH(Calls[[#This Row],[Date of Call]])&lt;6,YEAR(Calls[[#This Row],[Date of Call]]),YEAR(Calls[[#This Row],[Date of Call]])+1)</f>
        <v>2024</v>
      </c>
      <c r="J856" t="str">
        <f>TEXT(Calls[[#This Row],[Date of Call]],"DDDD")</f>
        <v>Thursday</v>
      </c>
      <c r="K856" t="str" cm="1">
        <f t="array" ref="K856">_xlfn.IFS(Calls[[#This Row],[Duration]]&lt;10,"Under 10 Mins",Calls[[#This Row],[Duration]]&lt;=30,"10 - 30 Mins",Calls[[#This Row],[Duration]]&lt;=60,"30 - 60 Mins",Calls[[#This Row],[Duration]]&lt;=120,"1 - 2 Hours",TRUE,"More than 2  Hours")</f>
        <v>30 - 60 Mins</v>
      </c>
      <c r="L856">
        <f>ROUND(Calls[[#This Row],[Satisfaction Rating]],0)</f>
        <v>4</v>
      </c>
    </row>
    <row r="857" spans="2:12" x14ac:dyDescent="0.3">
      <c r="B857" s="22" t="s">
        <v>879</v>
      </c>
      <c r="C857" s="4" t="s">
        <v>14</v>
      </c>
      <c r="D857" s="4">
        <v>124</v>
      </c>
      <c r="E857" s="5" t="s">
        <v>6</v>
      </c>
      <c r="F857" s="9">
        <v>45218</v>
      </c>
      <c r="G857" s="4">
        <v>42</v>
      </c>
      <c r="H857" s="23">
        <v>3.7</v>
      </c>
      <c r="I857">
        <f>IF(MONTH(Calls[[#This Row],[Date of Call]])&lt;6,YEAR(Calls[[#This Row],[Date of Call]]),YEAR(Calls[[#This Row],[Date of Call]])+1)</f>
        <v>2024</v>
      </c>
      <c r="J857" t="str">
        <f>TEXT(Calls[[#This Row],[Date of Call]],"DDDD")</f>
        <v>Thursday</v>
      </c>
      <c r="K857" t="str" cm="1">
        <f t="array" ref="K857">_xlfn.IFS(Calls[[#This Row],[Duration]]&lt;10,"Under 10 Mins",Calls[[#This Row],[Duration]]&lt;=30,"10 - 30 Mins",Calls[[#This Row],[Duration]]&lt;=60,"30 - 60 Mins",Calls[[#This Row],[Duration]]&lt;=120,"1 - 2 Hours",TRUE,"More than 2  Hours")</f>
        <v>More than 2  Hours</v>
      </c>
      <c r="L857">
        <f>ROUND(Calls[[#This Row],[Satisfaction Rating]],0)</f>
        <v>4</v>
      </c>
    </row>
    <row r="858" spans="2:12" x14ac:dyDescent="0.3">
      <c r="B858" s="22" t="s">
        <v>880</v>
      </c>
      <c r="C858" s="4" t="s">
        <v>21</v>
      </c>
      <c r="D858" s="4">
        <v>94</v>
      </c>
      <c r="E858" s="5" t="s">
        <v>6</v>
      </c>
      <c r="F858" s="9">
        <v>45218</v>
      </c>
      <c r="G858" s="4">
        <v>120</v>
      </c>
      <c r="H858" s="23">
        <v>3.5</v>
      </c>
      <c r="I858">
        <f>IF(MONTH(Calls[[#This Row],[Date of Call]])&lt;6,YEAR(Calls[[#This Row],[Date of Call]]),YEAR(Calls[[#This Row],[Date of Call]])+1)</f>
        <v>2024</v>
      </c>
      <c r="J858" t="str">
        <f>TEXT(Calls[[#This Row],[Date of Call]],"DDDD")</f>
        <v>Thursday</v>
      </c>
      <c r="K858" t="str" cm="1">
        <f t="array" ref="K858">_xlfn.IFS(Calls[[#This Row],[Duration]]&lt;10,"Under 10 Mins",Calls[[#This Row],[Duration]]&lt;=30,"10 - 30 Mins",Calls[[#This Row],[Duration]]&lt;=60,"30 - 60 Mins",Calls[[#This Row],[Duration]]&lt;=120,"1 - 2 Hours",TRUE,"More than 2  Hours")</f>
        <v>1 - 2 Hours</v>
      </c>
      <c r="L858">
        <f>ROUND(Calls[[#This Row],[Satisfaction Rating]],0)</f>
        <v>4</v>
      </c>
    </row>
    <row r="859" spans="2:12" x14ac:dyDescent="0.3">
      <c r="B859" s="22" t="s">
        <v>881</v>
      </c>
      <c r="C859" s="4" t="s">
        <v>19</v>
      </c>
      <c r="D859" s="4">
        <v>126</v>
      </c>
      <c r="E859" s="5" t="s">
        <v>13</v>
      </c>
      <c r="F859" s="9">
        <v>45219</v>
      </c>
      <c r="G859" s="4">
        <v>80</v>
      </c>
      <c r="H859" s="23">
        <v>4.7</v>
      </c>
      <c r="I859">
        <f>IF(MONTH(Calls[[#This Row],[Date of Call]])&lt;6,YEAR(Calls[[#This Row],[Date of Call]]),YEAR(Calls[[#This Row],[Date of Call]])+1)</f>
        <v>2024</v>
      </c>
      <c r="J859" t="str">
        <f>TEXT(Calls[[#This Row],[Date of Call]],"DDDD")</f>
        <v>Friday</v>
      </c>
      <c r="K859" t="str" cm="1">
        <f t="array" ref="K859">_xlfn.IFS(Calls[[#This Row],[Duration]]&lt;10,"Under 10 Mins",Calls[[#This Row],[Duration]]&lt;=30,"10 - 30 Mins",Calls[[#This Row],[Duration]]&lt;=60,"30 - 60 Mins",Calls[[#This Row],[Duration]]&lt;=120,"1 - 2 Hours",TRUE,"More than 2  Hours")</f>
        <v>More than 2  Hours</v>
      </c>
      <c r="L859">
        <f>ROUND(Calls[[#This Row],[Satisfaction Rating]],0)</f>
        <v>5</v>
      </c>
    </row>
    <row r="860" spans="2:12" x14ac:dyDescent="0.3">
      <c r="B860" s="22" t="s">
        <v>882</v>
      </c>
      <c r="C860" s="4" t="s">
        <v>24</v>
      </c>
      <c r="D860" s="4">
        <v>105</v>
      </c>
      <c r="E860" s="5" t="s">
        <v>11</v>
      </c>
      <c r="F860" s="9">
        <v>45219</v>
      </c>
      <c r="G860" s="4">
        <v>185</v>
      </c>
      <c r="H860" s="23">
        <v>3.5</v>
      </c>
      <c r="I860">
        <f>IF(MONTH(Calls[[#This Row],[Date of Call]])&lt;6,YEAR(Calls[[#This Row],[Date of Call]]),YEAR(Calls[[#This Row],[Date of Call]])+1)</f>
        <v>2024</v>
      </c>
      <c r="J860" t="str">
        <f>TEXT(Calls[[#This Row],[Date of Call]],"DDDD")</f>
        <v>Friday</v>
      </c>
      <c r="K860" t="str" cm="1">
        <f t="array" ref="K860">_xlfn.IFS(Calls[[#This Row],[Duration]]&lt;10,"Under 10 Mins",Calls[[#This Row],[Duration]]&lt;=30,"10 - 30 Mins",Calls[[#This Row],[Duration]]&lt;=60,"30 - 60 Mins",Calls[[#This Row],[Duration]]&lt;=120,"1 - 2 Hours",TRUE,"More than 2  Hours")</f>
        <v>1 - 2 Hours</v>
      </c>
      <c r="L860">
        <f>ROUND(Calls[[#This Row],[Satisfaction Rating]],0)</f>
        <v>4</v>
      </c>
    </row>
    <row r="861" spans="2:12" x14ac:dyDescent="0.3">
      <c r="B861" s="22" t="s">
        <v>883</v>
      </c>
      <c r="C861" s="4" t="s">
        <v>8</v>
      </c>
      <c r="D861" s="4">
        <v>60</v>
      </c>
      <c r="E861" s="5" t="s">
        <v>10</v>
      </c>
      <c r="F861" s="9">
        <v>45220</v>
      </c>
      <c r="G861" s="4">
        <v>135</v>
      </c>
      <c r="H861" s="23">
        <v>3.9</v>
      </c>
      <c r="I861">
        <f>IF(MONTH(Calls[[#This Row],[Date of Call]])&lt;6,YEAR(Calls[[#This Row],[Date of Call]]),YEAR(Calls[[#This Row],[Date of Call]])+1)</f>
        <v>2024</v>
      </c>
      <c r="J861" t="str">
        <f>TEXT(Calls[[#This Row],[Date of Call]],"DDDD")</f>
        <v>Saturday</v>
      </c>
      <c r="K861" t="str" cm="1">
        <f t="array" ref="K861">_xlfn.IFS(Calls[[#This Row],[Duration]]&lt;10,"Under 10 Mins",Calls[[#This Row],[Duration]]&lt;=30,"10 - 30 Mins",Calls[[#This Row],[Duration]]&lt;=60,"30 - 60 Mins",Calls[[#This Row],[Duration]]&lt;=120,"1 - 2 Hours",TRUE,"More than 2  Hours")</f>
        <v>30 - 60 Mins</v>
      </c>
      <c r="L861">
        <f>ROUND(Calls[[#This Row],[Satisfaction Rating]],0)</f>
        <v>4</v>
      </c>
    </row>
    <row r="862" spans="2:12" x14ac:dyDescent="0.3">
      <c r="B862" s="22" t="s">
        <v>884</v>
      </c>
      <c r="C862" s="4" t="s">
        <v>8</v>
      </c>
      <c r="D862" s="4">
        <v>72</v>
      </c>
      <c r="E862" s="5" t="s">
        <v>11</v>
      </c>
      <c r="F862" s="9">
        <v>45220</v>
      </c>
      <c r="G862" s="4">
        <v>20</v>
      </c>
      <c r="H862" s="23">
        <v>4.8</v>
      </c>
      <c r="I862">
        <f>IF(MONTH(Calls[[#This Row],[Date of Call]])&lt;6,YEAR(Calls[[#This Row],[Date of Call]]),YEAR(Calls[[#This Row],[Date of Call]])+1)</f>
        <v>2024</v>
      </c>
      <c r="J862" t="str">
        <f>TEXT(Calls[[#This Row],[Date of Call]],"DDDD")</f>
        <v>Saturday</v>
      </c>
      <c r="K862" t="str" cm="1">
        <f t="array" ref="K862">_xlfn.IFS(Calls[[#This Row],[Duration]]&lt;10,"Under 10 Mins",Calls[[#This Row],[Duration]]&lt;=30,"10 - 30 Mins",Calls[[#This Row],[Duration]]&lt;=60,"30 - 60 Mins",Calls[[#This Row],[Duration]]&lt;=120,"1 - 2 Hours",TRUE,"More than 2  Hours")</f>
        <v>1 - 2 Hours</v>
      </c>
      <c r="L862">
        <f>ROUND(Calls[[#This Row],[Satisfaction Rating]],0)</f>
        <v>5</v>
      </c>
    </row>
    <row r="863" spans="2:12" x14ac:dyDescent="0.3">
      <c r="B863" s="22" t="s">
        <v>885</v>
      </c>
      <c r="C863" s="4" t="s">
        <v>16</v>
      </c>
      <c r="D863" s="4">
        <v>40</v>
      </c>
      <c r="E863" s="5" t="s">
        <v>11</v>
      </c>
      <c r="F863" s="9">
        <v>45220</v>
      </c>
      <c r="G863" s="4">
        <v>31</v>
      </c>
      <c r="H863" s="23">
        <v>4</v>
      </c>
      <c r="I863">
        <f>IF(MONTH(Calls[[#This Row],[Date of Call]])&lt;6,YEAR(Calls[[#This Row],[Date of Call]]),YEAR(Calls[[#This Row],[Date of Call]])+1)</f>
        <v>2024</v>
      </c>
      <c r="J863" t="str">
        <f>TEXT(Calls[[#This Row],[Date of Call]],"DDDD")</f>
        <v>Saturday</v>
      </c>
      <c r="K863" t="str" cm="1">
        <f t="array" ref="K863">_xlfn.IFS(Calls[[#This Row],[Duration]]&lt;10,"Under 10 Mins",Calls[[#This Row],[Duration]]&lt;=30,"10 - 30 Mins",Calls[[#This Row],[Duration]]&lt;=60,"30 - 60 Mins",Calls[[#This Row],[Duration]]&lt;=120,"1 - 2 Hours",TRUE,"More than 2  Hours")</f>
        <v>30 - 60 Mins</v>
      </c>
      <c r="L863">
        <f>ROUND(Calls[[#This Row],[Satisfaction Rating]],0)</f>
        <v>4</v>
      </c>
    </row>
    <row r="864" spans="2:12" x14ac:dyDescent="0.3">
      <c r="B864" s="22" t="s">
        <v>886</v>
      </c>
      <c r="C864" s="4" t="s">
        <v>5</v>
      </c>
      <c r="D864" s="4">
        <v>54</v>
      </c>
      <c r="E864" s="5" t="s">
        <v>13</v>
      </c>
      <c r="F864" s="9">
        <v>45221</v>
      </c>
      <c r="G864" s="4">
        <v>120</v>
      </c>
      <c r="H864" s="23">
        <v>4.7</v>
      </c>
      <c r="I864">
        <f>IF(MONTH(Calls[[#This Row],[Date of Call]])&lt;6,YEAR(Calls[[#This Row],[Date of Call]]),YEAR(Calls[[#This Row],[Date of Call]])+1)</f>
        <v>2024</v>
      </c>
      <c r="J864" t="str">
        <f>TEXT(Calls[[#This Row],[Date of Call]],"DDDD")</f>
        <v>Sunday</v>
      </c>
      <c r="K864" t="str" cm="1">
        <f t="array" ref="K864">_xlfn.IFS(Calls[[#This Row],[Duration]]&lt;10,"Under 10 Mins",Calls[[#This Row],[Duration]]&lt;=30,"10 - 30 Mins",Calls[[#This Row],[Duration]]&lt;=60,"30 - 60 Mins",Calls[[#This Row],[Duration]]&lt;=120,"1 - 2 Hours",TRUE,"More than 2  Hours")</f>
        <v>30 - 60 Mins</v>
      </c>
      <c r="L864">
        <f>ROUND(Calls[[#This Row],[Satisfaction Rating]],0)</f>
        <v>5</v>
      </c>
    </row>
    <row r="865" spans="2:12" x14ac:dyDescent="0.3">
      <c r="B865" s="22" t="s">
        <v>887</v>
      </c>
      <c r="C865" s="4" t="s">
        <v>12</v>
      </c>
      <c r="D865" s="4">
        <v>81</v>
      </c>
      <c r="E865" s="5" t="s">
        <v>9</v>
      </c>
      <c r="F865" s="9">
        <v>45221</v>
      </c>
      <c r="G865" s="4">
        <v>117</v>
      </c>
      <c r="H865" s="23">
        <v>3.6</v>
      </c>
      <c r="I865">
        <f>IF(MONTH(Calls[[#This Row],[Date of Call]])&lt;6,YEAR(Calls[[#This Row],[Date of Call]]),YEAR(Calls[[#This Row],[Date of Call]])+1)</f>
        <v>2024</v>
      </c>
      <c r="J865" t="str">
        <f>TEXT(Calls[[#This Row],[Date of Call]],"DDDD")</f>
        <v>Sunday</v>
      </c>
      <c r="K865" t="str" cm="1">
        <f t="array" ref="K865">_xlfn.IFS(Calls[[#This Row],[Duration]]&lt;10,"Under 10 Mins",Calls[[#This Row],[Duration]]&lt;=30,"10 - 30 Mins",Calls[[#This Row],[Duration]]&lt;=60,"30 - 60 Mins",Calls[[#This Row],[Duration]]&lt;=120,"1 - 2 Hours",TRUE,"More than 2  Hours")</f>
        <v>1 - 2 Hours</v>
      </c>
      <c r="L865">
        <f>ROUND(Calls[[#This Row],[Satisfaction Rating]],0)</f>
        <v>4</v>
      </c>
    </row>
    <row r="866" spans="2:12" x14ac:dyDescent="0.3">
      <c r="B866" s="22" t="s">
        <v>888</v>
      </c>
      <c r="C866" s="4" t="s">
        <v>5</v>
      </c>
      <c r="D866" s="4">
        <v>76</v>
      </c>
      <c r="E866" s="5" t="s">
        <v>6</v>
      </c>
      <c r="F866" s="9">
        <v>45221</v>
      </c>
      <c r="G866" s="4">
        <v>80</v>
      </c>
      <c r="H866" s="23">
        <v>4.5</v>
      </c>
      <c r="I866">
        <f>IF(MONTH(Calls[[#This Row],[Date of Call]])&lt;6,YEAR(Calls[[#This Row],[Date of Call]]),YEAR(Calls[[#This Row],[Date of Call]])+1)</f>
        <v>2024</v>
      </c>
      <c r="J866" t="str">
        <f>TEXT(Calls[[#This Row],[Date of Call]],"DDDD")</f>
        <v>Sunday</v>
      </c>
      <c r="K866" t="str" cm="1">
        <f t="array" ref="K866">_xlfn.IFS(Calls[[#This Row],[Duration]]&lt;10,"Under 10 Mins",Calls[[#This Row],[Duration]]&lt;=30,"10 - 30 Mins",Calls[[#This Row],[Duration]]&lt;=60,"30 - 60 Mins",Calls[[#This Row],[Duration]]&lt;=120,"1 - 2 Hours",TRUE,"More than 2  Hours")</f>
        <v>1 - 2 Hours</v>
      </c>
      <c r="L866">
        <f>ROUND(Calls[[#This Row],[Satisfaction Rating]],0)</f>
        <v>5</v>
      </c>
    </row>
    <row r="867" spans="2:12" x14ac:dyDescent="0.3">
      <c r="B867" s="22" t="s">
        <v>889</v>
      </c>
      <c r="C867" s="4" t="s">
        <v>5</v>
      </c>
      <c r="D867" s="4">
        <v>37</v>
      </c>
      <c r="E867" s="5" t="s">
        <v>10</v>
      </c>
      <c r="F867" s="9">
        <v>45222</v>
      </c>
      <c r="G867" s="4">
        <v>117</v>
      </c>
      <c r="H867" s="23">
        <v>4</v>
      </c>
      <c r="I867">
        <f>IF(MONTH(Calls[[#This Row],[Date of Call]])&lt;6,YEAR(Calls[[#This Row],[Date of Call]]),YEAR(Calls[[#This Row],[Date of Call]])+1)</f>
        <v>2024</v>
      </c>
      <c r="J867" t="str">
        <f>TEXT(Calls[[#This Row],[Date of Call]],"DDDD")</f>
        <v>Monday</v>
      </c>
      <c r="K867" t="str" cm="1">
        <f t="array" ref="K867">_xlfn.IFS(Calls[[#This Row],[Duration]]&lt;10,"Under 10 Mins",Calls[[#This Row],[Duration]]&lt;=30,"10 - 30 Mins",Calls[[#This Row],[Duration]]&lt;=60,"30 - 60 Mins",Calls[[#This Row],[Duration]]&lt;=120,"1 - 2 Hours",TRUE,"More than 2  Hours")</f>
        <v>30 - 60 Mins</v>
      </c>
      <c r="L867">
        <f>ROUND(Calls[[#This Row],[Satisfaction Rating]],0)</f>
        <v>4</v>
      </c>
    </row>
    <row r="868" spans="2:12" x14ac:dyDescent="0.3">
      <c r="B868" s="22" t="s">
        <v>890</v>
      </c>
      <c r="C868" s="4" t="s">
        <v>24</v>
      </c>
      <c r="D868" s="4">
        <v>96</v>
      </c>
      <c r="E868" s="5" t="s">
        <v>13</v>
      </c>
      <c r="F868" s="9">
        <v>45222</v>
      </c>
      <c r="G868" s="4">
        <v>60</v>
      </c>
      <c r="H868" s="23">
        <v>4.5</v>
      </c>
      <c r="I868">
        <f>IF(MONTH(Calls[[#This Row],[Date of Call]])&lt;6,YEAR(Calls[[#This Row],[Date of Call]]),YEAR(Calls[[#This Row],[Date of Call]])+1)</f>
        <v>2024</v>
      </c>
      <c r="J868" t="str">
        <f>TEXT(Calls[[#This Row],[Date of Call]],"DDDD")</f>
        <v>Monday</v>
      </c>
      <c r="K868" t="str" cm="1">
        <f t="array" ref="K868">_xlfn.IFS(Calls[[#This Row],[Duration]]&lt;10,"Under 10 Mins",Calls[[#This Row],[Duration]]&lt;=30,"10 - 30 Mins",Calls[[#This Row],[Duration]]&lt;=60,"30 - 60 Mins",Calls[[#This Row],[Duration]]&lt;=120,"1 - 2 Hours",TRUE,"More than 2  Hours")</f>
        <v>1 - 2 Hours</v>
      </c>
      <c r="L868">
        <f>ROUND(Calls[[#This Row],[Satisfaction Rating]],0)</f>
        <v>5</v>
      </c>
    </row>
    <row r="869" spans="2:12" x14ac:dyDescent="0.3">
      <c r="B869" s="22" t="s">
        <v>891</v>
      </c>
      <c r="C869" s="4" t="s">
        <v>8</v>
      </c>
      <c r="D869" s="4">
        <v>19</v>
      </c>
      <c r="E869" s="5" t="s">
        <v>6</v>
      </c>
      <c r="F869" s="9">
        <v>45223</v>
      </c>
      <c r="G869" s="4">
        <v>58</v>
      </c>
      <c r="H869" s="23">
        <v>3.9</v>
      </c>
      <c r="I869">
        <f>IF(MONTH(Calls[[#This Row],[Date of Call]])&lt;6,YEAR(Calls[[#This Row],[Date of Call]]),YEAR(Calls[[#This Row],[Date of Call]])+1)</f>
        <v>2024</v>
      </c>
      <c r="J869" t="str">
        <f>TEXT(Calls[[#This Row],[Date of Call]],"DDDD")</f>
        <v>Tuesday</v>
      </c>
      <c r="K869" t="str" cm="1">
        <f t="array" ref="K869">_xlfn.IFS(Calls[[#This Row],[Duration]]&lt;10,"Under 10 Mins",Calls[[#This Row],[Duration]]&lt;=30,"10 - 30 Mins",Calls[[#This Row],[Duration]]&lt;=60,"30 - 60 Mins",Calls[[#This Row],[Duration]]&lt;=120,"1 - 2 Hours",TRUE,"More than 2  Hours")</f>
        <v>10 - 30 Mins</v>
      </c>
      <c r="L869">
        <f>ROUND(Calls[[#This Row],[Satisfaction Rating]],0)</f>
        <v>4</v>
      </c>
    </row>
    <row r="870" spans="2:12" x14ac:dyDescent="0.3">
      <c r="B870" s="22" t="s">
        <v>892</v>
      </c>
      <c r="C870" s="4" t="s">
        <v>16</v>
      </c>
      <c r="D870" s="4">
        <v>72</v>
      </c>
      <c r="E870" s="5" t="s">
        <v>10</v>
      </c>
      <c r="F870" s="9">
        <v>45223</v>
      </c>
      <c r="G870" s="4">
        <v>41</v>
      </c>
      <c r="H870" s="23">
        <v>4.3</v>
      </c>
      <c r="I870">
        <f>IF(MONTH(Calls[[#This Row],[Date of Call]])&lt;6,YEAR(Calls[[#This Row],[Date of Call]]),YEAR(Calls[[#This Row],[Date of Call]])+1)</f>
        <v>2024</v>
      </c>
      <c r="J870" t="str">
        <f>TEXT(Calls[[#This Row],[Date of Call]],"DDDD")</f>
        <v>Tuesday</v>
      </c>
      <c r="K870" t="str" cm="1">
        <f t="array" ref="K870">_xlfn.IFS(Calls[[#This Row],[Duration]]&lt;10,"Under 10 Mins",Calls[[#This Row],[Duration]]&lt;=30,"10 - 30 Mins",Calls[[#This Row],[Duration]]&lt;=60,"30 - 60 Mins",Calls[[#This Row],[Duration]]&lt;=120,"1 - 2 Hours",TRUE,"More than 2  Hours")</f>
        <v>1 - 2 Hours</v>
      </c>
      <c r="L870">
        <f>ROUND(Calls[[#This Row],[Satisfaction Rating]],0)</f>
        <v>4</v>
      </c>
    </row>
    <row r="871" spans="2:12" x14ac:dyDescent="0.3">
      <c r="B871" s="22" t="s">
        <v>893</v>
      </c>
      <c r="C871" s="4" t="s">
        <v>21</v>
      </c>
      <c r="D871" s="4">
        <v>73</v>
      </c>
      <c r="E871" s="5" t="s">
        <v>9</v>
      </c>
      <c r="F871" s="9">
        <v>45223</v>
      </c>
      <c r="G871" s="4">
        <v>180</v>
      </c>
      <c r="H871" s="23">
        <v>3.6</v>
      </c>
      <c r="I871">
        <f>IF(MONTH(Calls[[#This Row],[Date of Call]])&lt;6,YEAR(Calls[[#This Row],[Date of Call]]),YEAR(Calls[[#This Row],[Date of Call]])+1)</f>
        <v>2024</v>
      </c>
      <c r="J871" t="str">
        <f>TEXT(Calls[[#This Row],[Date of Call]],"DDDD")</f>
        <v>Tuesday</v>
      </c>
      <c r="K871" t="str" cm="1">
        <f t="array" ref="K871">_xlfn.IFS(Calls[[#This Row],[Duration]]&lt;10,"Under 10 Mins",Calls[[#This Row],[Duration]]&lt;=30,"10 - 30 Mins",Calls[[#This Row],[Duration]]&lt;=60,"30 - 60 Mins",Calls[[#This Row],[Duration]]&lt;=120,"1 - 2 Hours",TRUE,"More than 2  Hours")</f>
        <v>1 - 2 Hours</v>
      </c>
      <c r="L871">
        <f>ROUND(Calls[[#This Row],[Satisfaction Rating]],0)</f>
        <v>4</v>
      </c>
    </row>
    <row r="872" spans="2:12" x14ac:dyDescent="0.3">
      <c r="B872" s="22" t="s">
        <v>894</v>
      </c>
      <c r="C872" s="4" t="s">
        <v>17</v>
      </c>
      <c r="D872" s="4">
        <v>87</v>
      </c>
      <c r="E872" s="5" t="s">
        <v>9</v>
      </c>
      <c r="F872" s="9">
        <v>45223</v>
      </c>
      <c r="G872" s="4">
        <v>42</v>
      </c>
      <c r="H872" s="23">
        <v>3.6</v>
      </c>
      <c r="I872">
        <f>IF(MONTH(Calls[[#This Row],[Date of Call]])&lt;6,YEAR(Calls[[#This Row],[Date of Call]]),YEAR(Calls[[#This Row],[Date of Call]])+1)</f>
        <v>2024</v>
      </c>
      <c r="J872" t="str">
        <f>TEXT(Calls[[#This Row],[Date of Call]],"DDDD")</f>
        <v>Tuesday</v>
      </c>
      <c r="K872" t="str" cm="1">
        <f t="array" ref="K872">_xlfn.IFS(Calls[[#This Row],[Duration]]&lt;10,"Under 10 Mins",Calls[[#This Row],[Duration]]&lt;=30,"10 - 30 Mins",Calls[[#This Row],[Duration]]&lt;=60,"30 - 60 Mins",Calls[[#This Row],[Duration]]&lt;=120,"1 - 2 Hours",TRUE,"More than 2  Hours")</f>
        <v>1 - 2 Hours</v>
      </c>
      <c r="L872">
        <f>ROUND(Calls[[#This Row],[Satisfaction Rating]],0)</f>
        <v>4</v>
      </c>
    </row>
    <row r="873" spans="2:12" x14ac:dyDescent="0.3">
      <c r="B873" s="22" t="s">
        <v>895</v>
      </c>
      <c r="C873" s="4" t="s">
        <v>17</v>
      </c>
      <c r="D873" s="4">
        <v>68</v>
      </c>
      <c r="E873" s="5" t="s">
        <v>9</v>
      </c>
      <c r="F873" s="9">
        <v>45224</v>
      </c>
      <c r="G873" s="4">
        <v>24</v>
      </c>
      <c r="H873" s="23">
        <v>4</v>
      </c>
      <c r="I873">
        <f>IF(MONTH(Calls[[#This Row],[Date of Call]])&lt;6,YEAR(Calls[[#This Row],[Date of Call]]),YEAR(Calls[[#This Row],[Date of Call]])+1)</f>
        <v>2024</v>
      </c>
      <c r="J873" t="str">
        <f>TEXT(Calls[[#This Row],[Date of Call]],"DDDD")</f>
        <v>Wednesday</v>
      </c>
      <c r="K873" t="str" cm="1">
        <f t="array" ref="K873">_xlfn.IFS(Calls[[#This Row],[Duration]]&lt;10,"Under 10 Mins",Calls[[#This Row],[Duration]]&lt;=30,"10 - 30 Mins",Calls[[#This Row],[Duration]]&lt;=60,"30 - 60 Mins",Calls[[#This Row],[Duration]]&lt;=120,"1 - 2 Hours",TRUE,"More than 2  Hours")</f>
        <v>1 - 2 Hours</v>
      </c>
      <c r="L873">
        <f>ROUND(Calls[[#This Row],[Satisfaction Rating]],0)</f>
        <v>4</v>
      </c>
    </row>
    <row r="874" spans="2:12" x14ac:dyDescent="0.3">
      <c r="B874" s="22" t="s">
        <v>896</v>
      </c>
      <c r="C874" s="4" t="s">
        <v>16</v>
      </c>
      <c r="D874" s="4">
        <v>101</v>
      </c>
      <c r="E874" s="5" t="s">
        <v>9</v>
      </c>
      <c r="F874" s="9">
        <v>45224</v>
      </c>
      <c r="G874" s="4">
        <v>125</v>
      </c>
      <c r="H874" s="23">
        <v>4.2</v>
      </c>
      <c r="I874">
        <f>IF(MONTH(Calls[[#This Row],[Date of Call]])&lt;6,YEAR(Calls[[#This Row],[Date of Call]]),YEAR(Calls[[#This Row],[Date of Call]])+1)</f>
        <v>2024</v>
      </c>
      <c r="J874" t="str">
        <f>TEXT(Calls[[#This Row],[Date of Call]],"DDDD")</f>
        <v>Wednesday</v>
      </c>
      <c r="K874" t="str" cm="1">
        <f t="array" ref="K874">_xlfn.IFS(Calls[[#This Row],[Duration]]&lt;10,"Under 10 Mins",Calls[[#This Row],[Duration]]&lt;=30,"10 - 30 Mins",Calls[[#This Row],[Duration]]&lt;=60,"30 - 60 Mins",Calls[[#This Row],[Duration]]&lt;=120,"1 - 2 Hours",TRUE,"More than 2  Hours")</f>
        <v>1 - 2 Hours</v>
      </c>
      <c r="L874">
        <f>ROUND(Calls[[#This Row],[Satisfaction Rating]],0)</f>
        <v>4</v>
      </c>
    </row>
    <row r="875" spans="2:12" x14ac:dyDescent="0.3">
      <c r="B875" s="22" t="s">
        <v>897</v>
      </c>
      <c r="C875" s="4" t="s">
        <v>16</v>
      </c>
      <c r="D875" s="4">
        <v>107</v>
      </c>
      <c r="E875" s="5" t="s">
        <v>10</v>
      </c>
      <c r="F875" s="9">
        <v>45225</v>
      </c>
      <c r="G875" s="4">
        <v>78</v>
      </c>
      <c r="H875" s="23">
        <v>4.3</v>
      </c>
      <c r="I875">
        <f>IF(MONTH(Calls[[#This Row],[Date of Call]])&lt;6,YEAR(Calls[[#This Row],[Date of Call]]),YEAR(Calls[[#This Row],[Date of Call]])+1)</f>
        <v>2024</v>
      </c>
      <c r="J875" t="str">
        <f>TEXT(Calls[[#This Row],[Date of Call]],"DDDD")</f>
        <v>Thursday</v>
      </c>
      <c r="K875" t="str" cm="1">
        <f t="array" ref="K875">_xlfn.IFS(Calls[[#This Row],[Duration]]&lt;10,"Under 10 Mins",Calls[[#This Row],[Duration]]&lt;=30,"10 - 30 Mins",Calls[[#This Row],[Duration]]&lt;=60,"30 - 60 Mins",Calls[[#This Row],[Duration]]&lt;=120,"1 - 2 Hours",TRUE,"More than 2  Hours")</f>
        <v>1 - 2 Hours</v>
      </c>
      <c r="L875">
        <f>ROUND(Calls[[#This Row],[Satisfaction Rating]],0)</f>
        <v>4</v>
      </c>
    </row>
    <row r="876" spans="2:12" x14ac:dyDescent="0.3">
      <c r="B876" s="22" t="s">
        <v>898</v>
      </c>
      <c r="C876" s="4" t="s">
        <v>22</v>
      </c>
      <c r="D876" s="4">
        <v>109</v>
      </c>
      <c r="E876" s="5" t="s">
        <v>11</v>
      </c>
      <c r="F876" s="9">
        <v>45225</v>
      </c>
      <c r="G876" s="4">
        <v>180</v>
      </c>
      <c r="H876" s="23">
        <v>3.8</v>
      </c>
      <c r="I876">
        <f>IF(MONTH(Calls[[#This Row],[Date of Call]])&lt;6,YEAR(Calls[[#This Row],[Date of Call]]),YEAR(Calls[[#This Row],[Date of Call]])+1)</f>
        <v>2024</v>
      </c>
      <c r="J876" t="str">
        <f>TEXT(Calls[[#This Row],[Date of Call]],"DDDD")</f>
        <v>Thursday</v>
      </c>
      <c r="K876" t="str" cm="1">
        <f t="array" ref="K876">_xlfn.IFS(Calls[[#This Row],[Duration]]&lt;10,"Under 10 Mins",Calls[[#This Row],[Duration]]&lt;=30,"10 - 30 Mins",Calls[[#This Row],[Duration]]&lt;=60,"30 - 60 Mins",Calls[[#This Row],[Duration]]&lt;=120,"1 - 2 Hours",TRUE,"More than 2  Hours")</f>
        <v>1 - 2 Hours</v>
      </c>
      <c r="L876">
        <f>ROUND(Calls[[#This Row],[Satisfaction Rating]],0)</f>
        <v>4</v>
      </c>
    </row>
    <row r="877" spans="2:12" x14ac:dyDescent="0.3">
      <c r="B877" s="22" t="s">
        <v>899</v>
      </c>
      <c r="C877" s="4" t="s">
        <v>14</v>
      </c>
      <c r="D877" s="4">
        <v>171</v>
      </c>
      <c r="E877" s="5" t="s">
        <v>10</v>
      </c>
      <c r="F877" s="9">
        <v>45225</v>
      </c>
      <c r="G877" s="4">
        <v>84</v>
      </c>
      <c r="H877" s="23">
        <v>4.4000000000000004</v>
      </c>
      <c r="I877">
        <f>IF(MONTH(Calls[[#This Row],[Date of Call]])&lt;6,YEAR(Calls[[#This Row],[Date of Call]]),YEAR(Calls[[#This Row],[Date of Call]])+1)</f>
        <v>2024</v>
      </c>
      <c r="J877" t="str">
        <f>TEXT(Calls[[#This Row],[Date of Call]],"DDDD")</f>
        <v>Thursday</v>
      </c>
      <c r="K877" t="str" cm="1">
        <f t="array" ref="K877">_xlfn.IFS(Calls[[#This Row],[Duration]]&lt;10,"Under 10 Mins",Calls[[#This Row],[Duration]]&lt;=30,"10 - 30 Mins",Calls[[#This Row],[Duration]]&lt;=60,"30 - 60 Mins",Calls[[#This Row],[Duration]]&lt;=120,"1 - 2 Hours",TRUE,"More than 2  Hours")</f>
        <v>More than 2  Hours</v>
      </c>
      <c r="L877">
        <f>ROUND(Calls[[#This Row],[Satisfaction Rating]],0)</f>
        <v>4</v>
      </c>
    </row>
    <row r="878" spans="2:12" x14ac:dyDescent="0.3">
      <c r="B878" s="22" t="s">
        <v>900</v>
      </c>
      <c r="C878" s="4" t="s">
        <v>8</v>
      </c>
      <c r="D878" s="4">
        <v>21</v>
      </c>
      <c r="E878" s="5" t="s">
        <v>10</v>
      </c>
      <c r="F878" s="9">
        <v>45225</v>
      </c>
      <c r="G878" s="4">
        <v>26</v>
      </c>
      <c r="H878" s="23">
        <v>4.7</v>
      </c>
      <c r="I878">
        <f>IF(MONTH(Calls[[#This Row],[Date of Call]])&lt;6,YEAR(Calls[[#This Row],[Date of Call]]),YEAR(Calls[[#This Row],[Date of Call]])+1)</f>
        <v>2024</v>
      </c>
      <c r="J878" t="str">
        <f>TEXT(Calls[[#This Row],[Date of Call]],"DDDD")</f>
        <v>Thursday</v>
      </c>
      <c r="K878" t="str" cm="1">
        <f t="array" ref="K878">_xlfn.IFS(Calls[[#This Row],[Duration]]&lt;10,"Under 10 Mins",Calls[[#This Row],[Duration]]&lt;=30,"10 - 30 Mins",Calls[[#This Row],[Duration]]&lt;=60,"30 - 60 Mins",Calls[[#This Row],[Duration]]&lt;=120,"1 - 2 Hours",TRUE,"More than 2  Hours")</f>
        <v>10 - 30 Mins</v>
      </c>
      <c r="L878">
        <f>ROUND(Calls[[#This Row],[Satisfaction Rating]],0)</f>
        <v>5</v>
      </c>
    </row>
    <row r="879" spans="2:12" x14ac:dyDescent="0.3">
      <c r="B879" s="22" t="s">
        <v>901</v>
      </c>
      <c r="C879" s="4" t="s">
        <v>12</v>
      </c>
      <c r="D879" s="4">
        <v>94</v>
      </c>
      <c r="E879" s="5" t="s">
        <v>10</v>
      </c>
      <c r="F879" s="9">
        <v>45226</v>
      </c>
      <c r="G879" s="4">
        <v>140</v>
      </c>
      <c r="H879" s="23">
        <v>3.6</v>
      </c>
      <c r="I879">
        <f>IF(MONTH(Calls[[#This Row],[Date of Call]])&lt;6,YEAR(Calls[[#This Row],[Date of Call]]),YEAR(Calls[[#This Row],[Date of Call]])+1)</f>
        <v>2024</v>
      </c>
      <c r="J879" t="str">
        <f>TEXT(Calls[[#This Row],[Date of Call]],"DDDD")</f>
        <v>Friday</v>
      </c>
      <c r="K879" t="str" cm="1">
        <f t="array" ref="K879">_xlfn.IFS(Calls[[#This Row],[Duration]]&lt;10,"Under 10 Mins",Calls[[#This Row],[Duration]]&lt;=30,"10 - 30 Mins",Calls[[#This Row],[Duration]]&lt;=60,"30 - 60 Mins",Calls[[#This Row],[Duration]]&lt;=120,"1 - 2 Hours",TRUE,"More than 2  Hours")</f>
        <v>1 - 2 Hours</v>
      </c>
      <c r="L879">
        <f>ROUND(Calls[[#This Row],[Satisfaction Rating]],0)</f>
        <v>4</v>
      </c>
    </row>
    <row r="880" spans="2:12" x14ac:dyDescent="0.3">
      <c r="B880" s="22" t="s">
        <v>902</v>
      </c>
      <c r="C880" s="4" t="s">
        <v>21</v>
      </c>
      <c r="D880" s="4">
        <v>97</v>
      </c>
      <c r="E880" s="5" t="s">
        <v>11</v>
      </c>
      <c r="F880" s="9">
        <v>45226</v>
      </c>
      <c r="G880" s="4">
        <v>31</v>
      </c>
      <c r="H880" s="23">
        <v>2.2000000000000002</v>
      </c>
      <c r="I880">
        <f>IF(MONTH(Calls[[#This Row],[Date of Call]])&lt;6,YEAR(Calls[[#This Row],[Date of Call]]),YEAR(Calls[[#This Row],[Date of Call]])+1)</f>
        <v>2024</v>
      </c>
      <c r="J880" t="str">
        <f>TEXT(Calls[[#This Row],[Date of Call]],"DDDD")</f>
        <v>Friday</v>
      </c>
      <c r="K880" t="str" cm="1">
        <f t="array" ref="K880">_xlfn.IFS(Calls[[#This Row],[Duration]]&lt;10,"Under 10 Mins",Calls[[#This Row],[Duration]]&lt;=30,"10 - 30 Mins",Calls[[#This Row],[Duration]]&lt;=60,"30 - 60 Mins",Calls[[#This Row],[Duration]]&lt;=120,"1 - 2 Hours",TRUE,"More than 2  Hours")</f>
        <v>1 - 2 Hours</v>
      </c>
      <c r="L880">
        <f>ROUND(Calls[[#This Row],[Satisfaction Rating]],0)</f>
        <v>2</v>
      </c>
    </row>
    <row r="881" spans="2:12" x14ac:dyDescent="0.3">
      <c r="B881" s="22" t="s">
        <v>903</v>
      </c>
      <c r="C881" s="4" t="s">
        <v>24</v>
      </c>
      <c r="D881" s="4">
        <v>72</v>
      </c>
      <c r="E881" s="5" t="s">
        <v>11</v>
      </c>
      <c r="F881" s="9">
        <v>45226</v>
      </c>
      <c r="G881" s="4">
        <v>108</v>
      </c>
      <c r="H881" s="23">
        <v>4.8</v>
      </c>
      <c r="I881">
        <f>IF(MONTH(Calls[[#This Row],[Date of Call]])&lt;6,YEAR(Calls[[#This Row],[Date of Call]]),YEAR(Calls[[#This Row],[Date of Call]])+1)</f>
        <v>2024</v>
      </c>
      <c r="J881" t="str">
        <f>TEXT(Calls[[#This Row],[Date of Call]],"DDDD")</f>
        <v>Friday</v>
      </c>
      <c r="K881" t="str" cm="1">
        <f t="array" ref="K881">_xlfn.IFS(Calls[[#This Row],[Duration]]&lt;10,"Under 10 Mins",Calls[[#This Row],[Duration]]&lt;=30,"10 - 30 Mins",Calls[[#This Row],[Duration]]&lt;=60,"30 - 60 Mins",Calls[[#This Row],[Duration]]&lt;=120,"1 - 2 Hours",TRUE,"More than 2  Hours")</f>
        <v>1 - 2 Hours</v>
      </c>
      <c r="L881">
        <f>ROUND(Calls[[#This Row],[Satisfaction Rating]],0)</f>
        <v>5</v>
      </c>
    </row>
    <row r="882" spans="2:12" x14ac:dyDescent="0.3">
      <c r="B882" s="22" t="s">
        <v>904</v>
      </c>
      <c r="C882" s="4" t="s">
        <v>14</v>
      </c>
      <c r="D882" s="4">
        <v>143</v>
      </c>
      <c r="E882" s="5" t="s">
        <v>13</v>
      </c>
      <c r="F882" s="9">
        <v>45227</v>
      </c>
      <c r="G882" s="4">
        <v>58</v>
      </c>
      <c r="H882" s="23">
        <v>4.3</v>
      </c>
      <c r="I882">
        <f>IF(MONTH(Calls[[#This Row],[Date of Call]])&lt;6,YEAR(Calls[[#This Row],[Date of Call]]),YEAR(Calls[[#This Row],[Date of Call]])+1)</f>
        <v>2024</v>
      </c>
      <c r="J882" t="str">
        <f>TEXT(Calls[[#This Row],[Date of Call]],"DDDD")</f>
        <v>Saturday</v>
      </c>
      <c r="K882" t="str" cm="1">
        <f t="array" ref="K882">_xlfn.IFS(Calls[[#This Row],[Duration]]&lt;10,"Under 10 Mins",Calls[[#This Row],[Duration]]&lt;=30,"10 - 30 Mins",Calls[[#This Row],[Duration]]&lt;=60,"30 - 60 Mins",Calls[[#This Row],[Duration]]&lt;=120,"1 - 2 Hours",TRUE,"More than 2  Hours")</f>
        <v>More than 2  Hours</v>
      </c>
      <c r="L882">
        <f>ROUND(Calls[[#This Row],[Satisfaction Rating]],0)</f>
        <v>4</v>
      </c>
    </row>
    <row r="883" spans="2:12" x14ac:dyDescent="0.3">
      <c r="B883" s="22" t="s">
        <v>905</v>
      </c>
      <c r="C883" s="4" t="s">
        <v>14</v>
      </c>
      <c r="D883" s="4">
        <v>64</v>
      </c>
      <c r="E883" s="5" t="s">
        <v>11</v>
      </c>
      <c r="F883" s="9">
        <v>45227</v>
      </c>
      <c r="G883" s="4">
        <v>185</v>
      </c>
      <c r="H883" s="23">
        <v>2.2000000000000002</v>
      </c>
      <c r="I883">
        <f>IF(MONTH(Calls[[#This Row],[Date of Call]])&lt;6,YEAR(Calls[[#This Row],[Date of Call]]),YEAR(Calls[[#This Row],[Date of Call]])+1)</f>
        <v>2024</v>
      </c>
      <c r="J883" t="str">
        <f>TEXT(Calls[[#This Row],[Date of Call]],"DDDD")</f>
        <v>Saturday</v>
      </c>
      <c r="K883" t="str" cm="1">
        <f t="array" ref="K883">_xlfn.IFS(Calls[[#This Row],[Duration]]&lt;10,"Under 10 Mins",Calls[[#This Row],[Duration]]&lt;=30,"10 - 30 Mins",Calls[[#This Row],[Duration]]&lt;=60,"30 - 60 Mins",Calls[[#This Row],[Duration]]&lt;=120,"1 - 2 Hours",TRUE,"More than 2  Hours")</f>
        <v>1 - 2 Hours</v>
      </c>
      <c r="L883">
        <f>ROUND(Calls[[#This Row],[Satisfaction Rating]],0)</f>
        <v>2</v>
      </c>
    </row>
    <row r="884" spans="2:12" x14ac:dyDescent="0.3">
      <c r="B884" s="22" t="s">
        <v>906</v>
      </c>
      <c r="C884" s="4" t="s">
        <v>14</v>
      </c>
      <c r="D884" s="4">
        <v>69</v>
      </c>
      <c r="E884" s="5" t="s">
        <v>11</v>
      </c>
      <c r="F884" s="9">
        <v>45227</v>
      </c>
      <c r="G884" s="4">
        <v>40</v>
      </c>
      <c r="H884" s="23">
        <v>4.8</v>
      </c>
      <c r="I884">
        <f>IF(MONTH(Calls[[#This Row],[Date of Call]])&lt;6,YEAR(Calls[[#This Row],[Date of Call]]),YEAR(Calls[[#This Row],[Date of Call]])+1)</f>
        <v>2024</v>
      </c>
      <c r="J884" t="str">
        <f>TEXT(Calls[[#This Row],[Date of Call]],"DDDD")</f>
        <v>Saturday</v>
      </c>
      <c r="K884" t="str" cm="1">
        <f t="array" ref="K884">_xlfn.IFS(Calls[[#This Row],[Duration]]&lt;10,"Under 10 Mins",Calls[[#This Row],[Duration]]&lt;=30,"10 - 30 Mins",Calls[[#This Row],[Duration]]&lt;=60,"30 - 60 Mins",Calls[[#This Row],[Duration]]&lt;=120,"1 - 2 Hours",TRUE,"More than 2  Hours")</f>
        <v>1 - 2 Hours</v>
      </c>
      <c r="L884">
        <f>ROUND(Calls[[#This Row],[Satisfaction Rating]],0)</f>
        <v>5</v>
      </c>
    </row>
    <row r="885" spans="2:12" x14ac:dyDescent="0.3">
      <c r="B885" s="22" t="s">
        <v>907</v>
      </c>
      <c r="C885" s="4" t="s">
        <v>14</v>
      </c>
      <c r="D885" s="4">
        <v>18</v>
      </c>
      <c r="E885" s="5" t="s">
        <v>6</v>
      </c>
      <c r="F885" s="9">
        <v>45227</v>
      </c>
      <c r="G885" s="4">
        <v>225</v>
      </c>
      <c r="H885" s="23">
        <v>2.6</v>
      </c>
      <c r="I885">
        <f>IF(MONTH(Calls[[#This Row],[Date of Call]])&lt;6,YEAR(Calls[[#This Row],[Date of Call]]),YEAR(Calls[[#This Row],[Date of Call]])+1)</f>
        <v>2024</v>
      </c>
      <c r="J885" t="str">
        <f>TEXT(Calls[[#This Row],[Date of Call]],"DDDD")</f>
        <v>Saturday</v>
      </c>
      <c r="K885" t="str" cm="1">
        <f t="array" ref="K885">_xlfn.IFS(Calls[[#This Row],[Duration]]&lt;10,"Under 10 Mins",Calls[[#This Row],[Duration]]&lt;=30,"10 - 30 Mins",Calls[[#This Row],[Duration]]&lt;=60,"30 - 60 Mins",Calls[[#This Row],[Duration]]&lt;=120,"1 - 2 Hours",TRUE,"More than 2  Hours")</f>
        <v>10 - 30 Mins</v>
      </c>
      <c r="L885">
        <f>ROUND(Calls[[#This Row],[Satisfaction Rating]],0)</f>
        <v>3</v>
      </c>
    </row>
    <row r="886" spans="2:12" x14ac:dyDescent="0.3">
      <c r="B886" s="22" t="s">
        <v>908</v>
      </c>
      <c r="C886" s="4" t="s">
        <v>21</v>
      </c>
      <c r="D886" s="4">
        <v>100</v>
      </c>
      <c r="E886" s="5" t="s">
        <v>13</v>
      </c>
      <c r="F886" s="9">
        <v>45227</v>
      </c>
      <c r="G886" s="4">
        <v>150</v>
      </c>
      <c r="H886" s="23">
        <v>2.6</v>
      </c>
      <c r="I886">
        <f>IF(MONTH(Calls[[#This Row],[Date of Call]])&lt;6,YEAR(Calls[[#This Row],[Date of Call]]),YEAR(Calls[[#This Row],[Date of Call]])+1)</f>
        <v>2024</v>
      </c>
      <c r="J886" t="str">
        <f>TEXT(Calls[[#This Row],[Date of Call]],"DDDD")</f>
        <v>Saturday</v>
      </c>
      <c r="K886" t="str" cm="1">
        <f t="array" ref="K886">_xlfn.IFS(Calls[[#This Row],[Duration]]&lt;10,"Under 10 Mins",Calls[[#This Row],[Duration]]&lt;=30,"10 - 30 Mins",Calls[[#This Row],[Duration]]&lt;=60,"30 - 60 Mins",Calls[[#This Row],[Duration]]&lt;=120,"1 - 2 Hours",TRUE,"More than 2  Hours")</f>
        <v>1 - 2 Hours</v>
      </c>
      <c r="L886">
        <f>ROUND(Calls[[#This Row],[Satisfaction Rating]],0)</f>
        <v>3</v>
      </c>
    </row>
    <row r="887" spans="2:12" x14ac:dyDescent="0.3">
      <c r="B887" s="22" t="s">
        <v>909</v>
      </c>
      <c r="C887" s="4" t="s">
        <v>18</v>
      </c>
      <c r="D887" s="4">
        <v>110</v>
      </c>
      <c r="E887" s="5" t="s">
        <v>9</v>
      </c>
      <c r="F887" s="9">
        <v>45228</v>
      </c>
      <c r="G887" s="4">
        <v>88</v>
      </c>
      <c r="H887" s="23">
        <v>3.4</v>
      </c>
      <c r="I887">
        <f>IF(MONTH(Calls[[#This Row],[Date of Call]])&lt;6,YEAR(Calls[[#This Row],[Date of Call]]),YEAR(Calls[[#This Row],[Date of Call]])+1)</f>
        <v>2024</v>
      </c>
      <c r="J887" t="str">
        <f>TEXT(Calls[[#This Row],[Date of Call]],"DDDD")</f>
        <v>Sunday</v>
      </c>
      <c r="K887" t="str" cm="1">
        <f t="array" ref="K887">_xlfn.IFS(Calls[[#This Row],[Duration]]&lt;10,"Under 10 Mins",Calls[[#This Row],[Duration]]&lt;=30,"10 - 30 Mins",Calls[[#This Row],[Duration]]&lt;=60,"30 - 60 Mins",Calls[[#This Row],[Duration]]&lt;=120,"1 - 2 Hours",TRUE,"More than 2  Hours")</f>
        <v>1 - 2 Hours</v>
      </c>
      <c r="L887">
        <f>ROUND(Calls[[#This Row],[Satisfaction Rating]],0)</f>
        <v>3</v>
      </c>
    </row>
    <row r="888" spans="2:12" x14ac:dyDescent="0.3">
      <c r="B888" s="22" t="s">
        <v>910</v>
      </c>
      <c r="C888" s="4" t="s">
        <v>7</v>
      </c>
      <c r="D888" s="4">
        <v>41</v>
      </c>
      <c r="E888" s="5" t="s">
        <v>10</v>
      </c>
      <c r="F888" s="9">
        <v>45228</v>
      </c>
      <c r="G888" s="4">
        <v>140</v>
      </c>
      <c r="H888" s="23">
        <v>3.7</v>
      </c>
      <c r="I888">
        <f>IF(MONTH(Calls[[#This Row],[Date of Call]])&lt;6,YEAR(Calls[[#This Row],[Date of Call]]),YEAR(Calls[[#This Row],[Date of Call]])+1)</f>
        <v>2024</v>
      </c>
      <c r="J888" t="str">
        <f>TEXT(Calls[[#This Row],[Date of Call]],"DDDD")</f>
        <v>Sunday</v>
      </c>
      <c r="K888" t="str" cm="1">
        <f t="array" ref="K888">_xlfn.IFS(Calls[[#This Row],[Duration]]&lt;10,"Under 10 Mins",Calls[[#This Row],[Duration]]&lt;=30,"10 - 30 Mins",Calls[[#This Row],[Duration]]&lt;=60,"30 - 60 Mins",Calls[[#This Row],[Duration]]&lt;=120,"1 - 2 Hours",TRUE,"More than 2  Hours")</f>
        <v>30 - 60 Mins</v>
      </c>
      <c r="L888">
        <f>ROUND(Calls[[#This Row],[Satisfaction Rating]],0)</f>
        <v>4</v>
      </c>
    </row>
    <row r="889" spans="2:12" x14ac:dyDescent="0.3">
      <c r="B889" s="22" t="s">
        <v>911</v>
      </c>
      <c r="C889" s="4" t="s">
        <v>18</v>
      </c>
      <c r="D889" s="4">
        <v>147</v>
      </c>
      <c r="E889" s="5" t="s">
        <v>9</v>
      </c>
      <c r="F889" s="9">
        <v>45228</v>
      </c>
      <c r="G889" s="4">
        <v>68</v>
      </c>
      <c r="H889" s="23">
        <v>2.1</v>
      </c>
      <c r="I889">
        <f>IF(MONTH(Calls[[#This Row],[Date of Call]])&lt;6,YEAR(Calls[[#This Row],[Date of Call]]),YEAR(Calls[[#This Row],[Date of Call]])+1)</f>
        <v>2024</v>
      </c>
      <c r="J889" t="str">
        <f>TEXT(Calls[[#This Row],[Date of Call]],"DDDD")</f>
        <v>Sunday</v>
      </c>
      <c r="K889" t="str" cm="1">
        <f t="array" ref="K889">_xlfn.IFS(Calls[[#This Row],[Duration]]&lt;10,"Under 10 Mins",Calls[[#This Row],[Duration]]&lt;=30,"10 - 30 Mins",Calls[[#This Row],[Duration]]&lt;=60,"30 - 60 Mins",Calls[[#This Row],[Duration]]&lt;=120,"1 - 2 Hours",TRUE,"More than 2  Hours")</f>
        <v>More than 2  Hours</v>
      </c>
      <c r="L889">
        <f>ROUND(Calls[[#This Row],[Satisfaction Rating]],0)</f>
        <v>2</v>
      </c>
    </row>
    <row r="890" spans="2:12" x14ac:dyDescent="0.3">
      <c r="B890" s="22" t="s">
        <v>912</v>
      </c>
      <c r="C890" s="4" t="s">
        <v>12</v>
      </c>
      <c r="D890" s="4">
        <v>31</v>
      </c>
      <c r="E890" s="5" t="s">
        <v>6</v>
      </c>
      <c r="F890" s="9">
        <v>45229</v>
      </c>
      <c r="G890" s="4">
        <v>105</v>
      </c>
      <c r="H890" s="23">
        <v>3.6</v>
      </c>
      <c r="I890">
        <f>IF(MONTH(Calls[[#This Row],[Date of Call]])&lt;6,YEAR(Calls[[#This Row],[Date of Call]]),YEAR(Calls[[#This Row],[Date of Call]])+1)</f>
        <v>2024</v>
      </c>
      <c r="J890" t="str">
        <f>TEXT(Calls[[#This Row],[Date of Call]],"DDDD")</f>
        <v>Monday</v>
      </c>
      <c r="K890" t="str" cm="1">
        <f t="array" ref="K890">_xlfn.IFS(Calls[[#This Row],[Duration]]&lt;10,"Under 10 Mins",Calls[[#This Row],[Duration]]&lt;=30,"10 - 30 Mins",Calls[[#This Row],[Duration]]&lt;=60,"30 - 60 Mins",Calls[[#This Row],[Duration]]&lt;=120,"1 - 2 Hours",TRUE,"More than 2  Hours")</f>
        <v>30 - 60 Mins</v>
      </c>
      <c r="L890">
        <f>ROUND(Calls[[#This Row],[Satisfaction Rating]],0)</f>
        <v>4</v>
      </c>
    </row>
    <row r="891" spans="2:12" x14ac:dyDescent="0.3">
      <c r="B891" s="22" t="s">
        <v>913</v>
      </c>
      <c r="C891" s="4" t="s">
        <v>17</v>
      </c>
      <c r="D891" s="4">
        <v>142</v>
      </c>
      <c r="E891" s="5" t="s">
        <v>10</v>
      </c>
      <c r="F891" s="9">
        <v>45229</v>
      </c>
      <c r="G891" s="4">
        <v>40</v>
      </c>
      <c r="H891" s="23">
        <v>3.8</v>
      </c>
      <c r="I891">
        <f>IF(MONTH(Calls[[#This Row],[Date of Call]])&lt;6,YEAR(Calls[[#This Row],[Date of Call]]),YEAR(Calls[[#This Row],[Date of Call]])+1)</f>
        <v>2024</v>
      </c>
      <c r="J891" t="str">
        <f>TEXT(Calls[[#This Row],[Date of Call]],"DDDD")</f>
        <v>Monday</v>
      </c>
      <c r="K891" t="str" cm="1">
        <f t="array" ref="K891">_xlfn.IFS(Calls[[#This Row],[Duration]]&lt;10,"Under 10 Mins",Calls[[#This Row],[Duration]]&lt;=30,"10 - 30 Mins",Calls[[#This Row],[Duration]]&lt;=60,"30 - 60 Mins",Calls[[#This Row],[Duration]]&lt;=120,"1 - 2 Hours",TRUE,"More than 2  Hours")</f>
        <v>More than 2  Hours</v>
      </c>
      <c r="L891">
        <f>ROUND(Calls[[#This Row],[Satisfaction Rating]],0)</f>
        <v>4</v>
      </c>
    </row>
    <row r="892" spans="2:12" x14ac:dyDescent="0.3">
      <c r="B892" s="22" t="s">
        <v>914</v>
      </c>
      <c r="C892" s="4" t="s">
        <v>22</v>
      </c>
      <c r="D892" s="4">
        <v>61</v>
      </c>
      <c r="E892" s="5" t="s">
        <v>10</v>
      </c>
      <c r="F892" s="9">
        <v>45229</v>
      </c>
      <c r="G892" s="4">
        <v>82</v>
      </c>
      <c r="H892" s="23">
        <v>3.1</v>
      </c>
      <c r="I892">
        <f>IF(MONTH(Calls[[#This Row],[Date of Call]])&lt;6,YEAR(Calls[[#This Row],[Date of Call]]),YEAR(Calls[[#This Row],[Date of Call]])+1)</f>
        <v>2024</v>
      </c>
      <c r="J892" t="str">
        <f>TEXT(Calls[[#This Row],[Date of Call]],"DDDD")</f>
        <v>Monday</v>
      </c>
      <c r="K892" t="str" cm="1">
        <f t="array" ref="K892">_xlfn.IFS(Calls[[#This Row],[Duration]]&lt;10,"Under 10 Mins",Calls[[#This Row],[Duration]]&lt;=30,"10 - 30 Mins",Calls[[#This Row],[Duration]]&lt;=60,"30 - 60 Mins",Calls[[#This Row],[Duration]]&lt;=120,"1 - 2 Hours",TRUE,"More than 2  Hours")</f>
        <v>1 - 2 Hours</v>
      </c>
      <c r="L892">
        <f>ROUND(Calls[[#This Row],[Satisfaction Rating]],0)</f>
        <v>3</v>
      </c>
    </row>
    <row r="893" spans="2:12" x14ac:dyDescent="0.3">
      <c r="B893" s="22" t="s">
        <v>915</v>
      </c>
      <c r="C893" s="4" t="s">
        <v>20</v>
      </c>
      <c r="D893" s="4">
        <v>86</v>
      </c>
      <c r="E893" s="5" t="s">
        <v>6</v>
      </c>
      <c r="F893" s="9">
        <v>45230</v>
      </c>
      <c r="G893" s="4">
        <v>90</v>
      </c>
      <c r="H893" s="23">
        <v>4.4000000000000004</v>
      </c>
      <c r="I893">
        <f>IF(MONTH(Calls[[#This Row],[Date of Call]])&lt;6,YEAR(Calls[[#This Row],[Date of Call]]),YEAR(Calls[[#This Row],[Date of Call]])+1)</f>
        <v>2024</v>
      </c>
      <c r="J893" t="str">
        <f>TEXT(Calls[[#This Row],[Date of Call]],"DDDD")</f>
        <v>Tuesday</v>
      </c>
      <c r="K893" t="str" cm="1">
        <f t="array" ref="K893">_xlfn.IFS(Calls[[#This Row],[Duration]]&lt;10,"Under 10 Mins",Calls[[#This Row],[Duration]]&lt;=30,"10 - 30 Mins",Calls[[#This Row],[Duration]]&lt;=60,"30 - 60 Mins",Calls[[#This Row],[Duration]]&lt;=120,"1 - 2 Hours",TRUE,"More than 2  Hours")</f>
        <v>1 - 2 Hours</v>
      </c>
      <c r="L893">
        <f>ROUND(Calls[[#This Row],[Satisfaction Rating]],0)</f>
        <v>4</v>
      </c>
    </row>
    <row r="894" spans="2:12" x14ac:dyDescent="0.3">
      <c r="B894" s="22" t="s">
        <v>916</v>
      </c>
      <c r="C894" s="4" t="s">
        <v>23</v>
      </c>
      <c r="D894" s="4">
        <v>165</v>
      </c>
      <c r="E894" s="5" t="s">
        <v>13</v>
      </c>
      <c r="F894" s="9">
        <v>45231</v>
      </c>
      <c r="G894" s="4">
        <v>66</v>
      </c>
      <c r="H894" s="23">
        <v>4.8</v>
      </c>
      <c r="I894">
        <f>IF(MONTH(Calls[[#This Row],[Date of Call]])&lt;6,YEAR(Calls[[#This Row],[Date of Call]]),YEAR(Calls[[#This Row],[Date of Call]])+1)</f>
        <v>2024</v>
      </c>
      <c r="J894" t="str">
        <f>TEXT(Calls[[#This Row],[Date of Call]],"DDDD")</f>
        <v>Wednesday</v>
      </c>
      <c r="K894" t="str" cm="1">
        <f t="array" ref="K894">_xlfn.IFS(Calls[[#This Row],[Duration]]&lt;10,"Under 10 Mins",Calls[[#This Row],[Duration]]&lt;=30,"10 - 30 Mins",Calls[[#This Row],[Duration]]&lt;=60,"30 - 60 Mins",Calls[[#This Row],[Duration]]&lt;=120,"1 - 2 Hours",TRUE,"More than 2  Hours")</f>
        <v>More than 2  Hours</v>
      </c>
      <c r="L894">
        <f>ROUND(Calls[[#This Row],[Satisfaction Rating]],0)</f>
        <v>5</v>
      </c>
    </row>
    <row r="895" spans="2:12" x14ac:dyDescent="0.3">
      <c r="B895" s="22" t="s">
        <v>917</v>
      </c>
      <c r="C895" s="4" t="s">
        <v>5</v>
      </c>
      <c r="D895" s="4">
        <v>62</v>
      </c>
      <c r="E895" s="5" t="s">
        <v>9</v>
      </c>
      <c r="F895" s="9">
        <v>45231</v>
      </c>
      <c r="G895" s="4">
        <v>78</v>
      </c>
      <c r="H895" s="23">
        <v>3.5</v>
      </c>
      <c r="I895">
        <f>IF(MONTH(Calls[[#This Row],[Date of Call]])&lt;6,YEAR(Calls[[#This Row],[Date of Call]]),YEAR(Calls[[#This Row],[Date of Call]])+1)</f>
        <v>2024</v>
      </c>
      <c r="J895" t="str">
        <f>TEXT(Calls[[#This Row],[Date of Call]],"DDDD")</f>
        <v>Wednesday</v>
      </c>
      <c r="K895" t="str" cm="1">
        <f t="array" ref="K895">_xlfn.IFS(Calls[[#This Row],[Duration]]&lt;10,"Under 10 Mins",Calls[[#This Row],[Duration]]&lt;=30,"10 - 30 Mins",Calls[[#This Row],[Duration]]&lt;=60,"30 - 60 Mins",Calls[[#This Row],[Duration]]&lt;=120,"1 - 2 Hours",TRUE,"More than 2  Hours")</f>
        <v>1 - 2 Hours</v>
      </c>
      <c r="L895">
        <f>ROUND(Calls[[#This Row],[Satisfaction Rating]],0)</f>
        <v>4</v>
      </c>
    </row>
    <row r="896" spans="2:12" x14ac:dyDescent="0.3">
      <c r="B896" s="22" t="s">
        <v>918</v>
      </c>
      <c r="C896" s="4" t="s">
        <v>21</v>
      </c>
      <c r="D896" s="4">
        <v>103</v>
      </c>
      <c r="E896" s="5" t="s">
        <v>13</v>
      </c>
      <c r="F896" s="9">
        <v>45232</v>
      </c>
      <c r="G896" s="4">
        <v>66</v>
      </c>
      <c r="H896" s="23">
        <v>4.4000000000000004</v>
      </c>
      <c r="I896">
        <f>IF(MONTH(Calls[[#This Row],[Date of Call]])&lt;6,YEAR(Calls[[#This Row],[Date of Call]]),YEAR(Calls[[#This Row],[Date of Call]])+1)</f>
        <v>2024</v>
      </c>
      <c r="J896" t="str">
        <f>TEXT(Calls[[#This Row],[Date of Call]],"DDDD")</f>
        <v>Thursday</v>
      </c>
      <c r="K896" t="str" cm="1">
        <f t="array" ref="K896">_xlfn.IFS(Calls[[#This Row],[Duration]]&lt;10,"Under 10 Mins",Calls[[#This Row],[Duration]]&lt;=30,"10 - 30 Mins",Calls[[#This Row],[Duration]]&lt;=60,"30 - 60 Mins",Calls[[#This Row],[Duration]]&lt;=120,"1 - 2 Hours",TRUE,"More than 2  Hours")</f>
        <v>1 - 2 Hours</v>
      </c>
      <c r="L896">
        <f>ROUND(Calls[[#This Row],[Satisfaction Rating]],0)</f>
        <v>4</v>
      </c>
    </row>
    <row r="897" spans="2:12" x14ac:dyDescent="0.3">
      <c r="B897" s="22" t="s">
        <v>919</v>
      </c>
      <c r="C897" s="4" t="s">
        <v>17</v>
      </c>
      <c r="D897" s="4">
        <v>56</v>
      </c>
      <c r="E897" s="5" t="s">
        <v>6</v>
      </c>
      <c r="F897" s="9">
        <v>45233</v>
      </c>
      <c r="G897" s="4">
        <v>160</v>
      </c>
      <c r="H897" s="23">
        <v>3.8</v>
      </c>
      <c r="I897">
        <f>IF(MONTH(Calls[[#This Row],[Date of Call]])&lt;6,YEAR(Calls[[#This Row],[Date of Call]]),YEAR(Calls[[#This Row],[Date of Call]])+1)</f>
        <v>2024</v>
      </c>
      <c r="J897" t="str">
        <f>TEXT(Calls[[#This Row],[Date of Call]],"DDDD")</f>
        <v>Friday</v>
      </c>
      <c r="K897" t="str" cm="1">
        <f t="array" ref="K897">_xlfn.IFS(Calls[[#This Row],[Duration]]&lt;10,"Under 10 Mins",Calls[[#This Row],[Duration]]&lt;=30,"10 - 30 Mins",Calls[[#This Row],[Duration]]&lt;=60,"30 - 60 Mins",Calls[[#This Row],[Duration]]&lt;=120,"1 - 2 Hours",TRUE,"More than 2  Hours")</f>
        <v>30 - 60 Mins</v>
      </c>
      <c r="L897">
        <f>ROUND(Calls[[#This Row],[Satisfaction Rating]],0)</f>
        <v>4</v>
      </c>
    </row>
    <row r="898" spans="2:12" x14ac:dyDescent="0.3">
      <c r="B898" s="22" t="s">
        <v>920</v>
      </c>
      <c r="C898" s="4" t="s">
        <v>16</v>
      </c>
      <c r="D898" s="4">
        <v>114</v>
      </c>
      <c r="E898" s="5" t="s">
        <v>10</v>
      </c>
      <c r="F898" s="9">
        <v>45234</v>
      </c>
      <c r="G898" s="4">
        <v>144</v>
      </c>
      <c r="H898" s="23">
        <v>3.8</v>
      </c>
      <c r="I898">
        <f>IF(MONTH(Calls[[#This Row],[Date of Call]])&lt;6,YEAR(Calls[[#This Row],[Date of Call]]),YEAR(Calls[[#This Row],[Date of Call]])+1)</f>
        <v>2024</v>
      </c>
      <c r="J898" t="str">
        <f>TEXT(Calls[[#This Row],[Date of Call]],"DDDD")</f>
        <v>Saturday</v>
      </c>
      <c r="K898" t="str" cm="1">
        <f t="array" ref="K898">_xlfn.IFS(Calls[[#This Row],[Duration]]&lt;10,"Under 10 Mins",Calls[[#This Row],[Duration]]&lt;=30,"10 - 30 Mins",Calls[[#This Row],[Duration]]&lt;=60,"30 - 60 Mins",Calls[[#This Row],[Duration]]&lt;=120,"1 - 2 Hours",TRUE,"More than 2  Hours")</f>
        <v>1 - 2 Hours</v>
      </c>
      <c r="L898">
        <f>ROUND(Calls[[#This Row],[Satisfaction Rating]],0)</f>
        <v>4</v>
      </c>
    </row>
    <row r="899" spans="2:12" x14ac:dyDescent="0.3">
      <c r="B899" s="22" t="s">
        <v>921</v>
      </c>
      <c r="C899" s="4" t="s">
        <v>17</v>
      </c>
      <c r="D899" s="4">
        <v>112</v>
      </c>
      <c r="E899" s="5" t="s">
        <v>11</v>
      </c>
      <c r="F899" s="9">
        <v>45234</v>
      </c>
      <c r="G899" s="4">
        <v>200</v>
      </c>
      <c r="H899" s="23">
        <v>4.5999999999999996</v>
      </c>
      <c r="I899">
        <f>IF(MONTH(Calls[[#This Row],[Date of Call]])&lt;6,YEAR(Calls[[#This Row],[Date of Call]]),YEAR(Calls[[#This Row],[Date of Call]])+1)</f>
        <v>2024</v>
      </c>
      <c r="J899" t="str">
        <f>TEXT(Calls[[#This Row],[Date of Call]],"DDDD")</f>
        <v>Saturday</v>
      </c>
      <c r="K899" t="str" cm="1">
        <f t="array" ref="K899">_xlfn.IFS(Calls[[#This Row],[Duration]]&lt;10,"Under 10 Mins",Calls[[#This Row],[Duration]]&lt;=30,"10 - 30 Mins",Calls[[#This Row],[Duration]]&lt;=60,"30 - 60 Mins",Calls[[#This Row],[Duration]]&lt;=120,"1 - 2 Hours",TRUE,"More than 2  Hours")</f>
        <v>1 - 2 Hours</v>
      </c>
      <c r="L899">
        <f>ROUND(Calls[[#This Row],[Satisfaction Rating]],0)</f>
        <v>5</v>
      </c>
    </row>
    <row r="900" spans="2:12" x14ac:dyDescent="0.3">
      <c r="B900" s="22" t="s">
        <v>922</v>
      </c>
      <c r="C900" s="4" t="s">
        <v>15</v>
      </c>
      <c r="D900" s="4">
        <v>52</v>
      </c>
      <c r="E900" s="5" t="s">
        <v>9</v>
      </c>
      <c r="F900" s="9">
        <v>45236</v>
      </c>
      <c r="G900" s="4">
        <v>220</v>
      </c>
      <c r="H900" s="23">
        <v>5</v>
      </c>
      <c r="I900">
        <f>IF(MONTH(Calls[[#This Row],[Date of Call]])&lt;6,YEAR(Calls[[#This Row],[Date of Call]]),YEAR(Calls[[#This Row],[Date of Call]])+1)</f>
        <v>2024</v>
      </c>
      <c r="J900" t="str">
        <f>TEXT(Calls[[#This Row],[Date of Call]],"DDDD")</f>
        <v>Monday</v>
      </c>
      <c r="K900" t="str" cm="1">
        <f t="array" ref="K900">_xlfn.IFS(Calls[[#This Row],[Duration]]&lt;10,"Under 10 Mins",Calls[[#This Row],[Duration]]&lt;=30,"10 - 30 Mins",Calls[[#This Row],[Duration]]&lt;=60,"30 - 60 Mins",Calls[[#This Row],[Duration]]&lt;=120,"1 - 2 Hours",TRUE,"More than 2  Hours")</f>
        <v>30 - 60 Mins</v>
      </c>
      <c r="L900">
        <f>ROUND(Calls[[#This Row],[Satisfaction Rating]],0)</f>
        <v>5</v>
      </c>
    </row>
    <row r="901" spans="2:12" x14ac:dyDescent="0.3">
      <c r="B901" s="22" t="s">
        <v>923</v>
      </c>
      <c r="C901" s="4" t="s">
        <v>21</v>
      </c>
      <c r="D901" s="4">
        <v>105</v>
      </c>
      <c r="E901" s="5" t="s">
        <v>13</v>
      </c>
      <c r="F901" s="9">
        <v>45237</v>
      </c>
      <c r="G901" s="4">
        <v>112</v>
      </c>
      <c r="H901" s="23">
        <v>3.2</v>
      </c>
      <c r="I901">
        <f>IF(MONTH(Calls[[#This Row],[Date of Call]])&lt;6,YEAR(Calls[[#This Row],[Date of Call]]),YEAR(Calls[[#This Row],[Date of Call]])+1)</f>
        <v>2024</v>
      </c>
      <c r="J901" t="str">
        <f>TEXT(Calls[[#This Row],[Date of Call]],"DDDD")</f>
        <v>Tuesday</v>
      </c>
      <c r="K901" t="str" cm="1">
        <f t="array" ref="K901">_xlfn.IFS(Calls[[#This Row],[Duration]]&lt;10,"Under 10 Mins",Calls[[#This Row],[Duration]]&lt;=30,"10 - 30 Mins",Calls[[#This Row],[Duration]]&lt;=60,"30 - 60 Mins",Calls[[#This Row],[Duration]]&lt;=120,"1 - 2 Hours",TRUE,"More than 2  Hours")</f>
        <v>1 - 2 Hours</v>
      </c>
      <c r="L901">
        <f>ROUND(Calls[[#This Row],[Satisfaction Rating]],0)</f>
        <v>3</v>
      </c>
    </row>
    <row r="902" spans="2:12" x14ac:dyDescent="0.3">
      <c r="B902" s="22" t="s">
        <v>924</v>
      </c>
      <c r="C902" s="4" t="s">
        <v>23</v>
      </c>
      <c r="D902" s="4">
        <v>91</v>
      </c>
      <c r="E902" s="5" t="s">
        <v>6</v>
      </c>
      <c r="F902" s="9">
        <v>45237</v>
      </c>
      <c r="G902" s="4">
        <v>110</v>
      </c>
      <c r="H902" s="23">
        <v>3.7</v>
      </c>
      <c r="I902">
        <f>IF(MONTH(Calls[[#This Row],[Date of Call]])&lt;6,YEAR(Calls[[#This Row],[Date of Call]]),YEAR(Calls[[#This Row],[Date of Call]])+1)</f>
        <v>2024</v>
      </c>
      <c r="J902" t="str">
        <f>TEXT(Calls[[#This Row],[Date of Call]],"DDDD")</f>
        <v>Tuesday</v>
      </c>
      <c r="K902" t="str" cm="1">
        <f t="array" ref="K902">_xlfn.IFS(Calls[[#This Row],[Duration]]&lt;10,"Under 10 Mins",Calls[[#This Row],[Duration]]&lt;=30,"10 - 30 Mins",Calls[[#This Row],[Duration]]&lt;=60,"30 - 60 Mins",Calls[[#This Row],[Duration]]&lt;=120,"1 - 2 Hours",TRUE,"More than 2  Hours")</f>
        <v>1 - 2 Hours</v>
      </c>
      <c r="L902">
        <f>ROUND(Calls[[#This Row],[Satisfaction Rating]],0)</f>
        <v>4</v>
      </c>
    </row>
    <row r="903" spans="2:12" x14ac:dyDescent="0.3">
      <c r="B903" s="22" t="s">
        <v>925</v>
      </c>
      <c r="C903" s="4" t="s">
        <v>19</v>
      </c>
      <c r="D903" s="4">
        <v>74</v>
      </c>
      <c r="E903" s="5" t="s">
        <v>10</v>
      </c>
      <c r="F903" s="9">
        <v>45238</v>
      </c>
      <c r="G903" s="4">
        <v>160</v>
      </c>
      <c r="H903" s="23">
        <v>2.7</v>
      </c>
      <c r="I903">
        <f>IF(MONTH(Calls[[#This Row],[Date of Call]])&lt;6,YEAR(Calls[[#This Row],[Date of Call]]),YEAR(Calls[[#This Row],[Date of Call]])+1)</f>
        <v>2024</v>
      </c>
      <c r="J903" t="str">
        <f>TEXT(Calls[[#This Row],[Date of Call]],"DDDD")</f>
        <v>Wednesday</v>
      </c>
      <c r="K903" t="str" cm="1">
        <f t="array" ref="K903">_xlfn.IFS(Calls[[#This Row],[Duration]]&lt;10,"Under 10 Mins",Calls[[#This Row],[Duration]]&lt;=30,"10 - 30 Mins",Calls[[#This Row],[Duration]]&lt;=60,"30 - 60 Mins",Calls[[#This Row],[Duration]]&lt;=120,"1 - 2 Hours",TRUE,"More than 2  Hours")</f>
        <v>1 - 2 Hours</v>
      </c>
      <c r="L903">
        <f>ROUND(Calls[[#This Row],[Satisfaction Rating]],0)</f>
        <v>3</v>
      </c>
    </row>
    <row r="904" spans="2:12" x14ac:dyDescent="0.3">
      <c r="B904" s="22" t="s">
        <v>926</v>
      </c>
      <c r="C904" s="4" t="s">
        <v>19</v>
      </c>
      <c r="D904" s="4">
        <v>30</v>
      </c>
      <c r="E904" s="5" t="s">
        <v>6</v>
      </c>
      <c r="F904" s="9">
        <v>45238</v>
      </c>
      <c r="G904" s="4">
        <v>84</v>
      </c>
      <c r="H904" s="23">
        <v>4</v>
      </c>
      <c r="I904">
        <f>IF(MONTH(Calls[[#This Row],[Date of Call]])&lt;6,YEAR(Calls[[#This Row],[Date of Call]]),YEAR(Calls[[#This Row],[Date of Call]])+1)</f>
        <v>2024</v>
      </c>
      <c r="J904" t="str">
        <f>TEXT(Calls[[#This Row],[Date of Call]],"DDDD")</f>
        <v>Wednesday</v>
      </c>
      <c r="K904" t="str" cm="1">
        <f t="array" ref="K904">_xlfn.IFS(Calls[[#This Row],[Duration]]&lt;10,"Under 10 Mins",Calls[[#This Row],[Duration]]&lt;=30,"10 - 30 Mins",Calls[[#This Row],[Duration]]&lt;=60,"30 - 60 Mins",Calls[[#This Row],[Duration]]&lt;=120,"1 - 2 Hours",TRUE,"More than 2  Hours")</f>
        <v>10 - 30 Mins</v>
      </c>
      <c r="L904">
        <f>ROUND(Calls[[#This Row],[Satisfaction Rating]],0)</f>
        <v>4</v>
      </c>
    </row>
    <row r="905" spans="2:12" x14ac:dyDescent="0.3">
      <c r="B905" s="22" t="s">
        <v>927</v>
      </c>
      <c r="C905" s="4" t="s">
        <v>23</v>
      </c>
      <c r="D905" s="4">
        <v>56</v>
      </c>
      <c r="E905" s="5" t="s">
        <v>9</v>
      </c>
      <c r="F905" s="9">
        <v>45238</v>
      </c>
      <c r="G905" s="4">
        <v>124</v>
      </c>
      <c r="H905" s="23">
        <v>2.6</v>
      </c>
      <c r="I905">
        <f>IF(MONTH(Calls[[#This Row],[Date of Call]])&lt;6,YEAR(Calls[[#This Row],[Date of Call]]),YEAR(Calls[[#This Row],[Date of Call]])+1)</f>
        <v>2024</v>
      </c>
      <c r="J905" t="str">
        <f>TEXT(Calls[[#This Row],[Date of Call]],"DDDD")</f>
        <v>Wednesday</v>
      </c>
      <c r="K905" t="str" cm="1">
        <f t="array" ref="K905">_xlfn.IFS(Calls[[#This Row],[Duration]]&lt;10,"Under 10 Mins",Calls[[#This Row],[Duration]]&lt;=30,"10 - 30 Mins",Calls[[#This Row],[Duration]]&lt;=60,"30 - 60 Mins",Calls[[#This Row],[Duration]]&lt;=120,"1 - 2 Hours",TRUE,"More than 2  Hours")</f>
        <v>30 - 60 Mins</v>
      </c>
      <c r="L905">
        <f>ROUND(Calls[[#This Row],[Satisfaction Rating]],0)</f>
        <v>3</v>
      </c>
    </row>
    <row r="906" spans="2:12" x14ac:dyDescent="0.3">
      <c r="B906" s="22" t="s">
        <v>928</v>
      </c>
      <c r="C906" s="4" t="s">
        <v>19</v>
      </c>
      <c r="D906" s="4">
        <v>151</v>
      </c>
      <c r="E906" s="5" t="s">
        <v>11</v>
      </c>
      <c r="F906" s="9">
        <v>45238</v>
      </c>
      <c r="G906" s="4">
        <v>84</v>
      </c>
      <c r="H906" s="23">
        <v>4.5999999999999996</v>
      </c>
      <c r="I906">
        <f>IF(MONTH(Calls[[#This Row],[Date of Call]])&lt;6,YEAR(Calls[[#This Row],[Date of Call]]),YEAR(Calls[[#This Row],[Date of Call]])+1)</f>
        <v>2024</v>
      </c>
      <c r="J906" t="str">
        <f>TEXT(Calls[[#This Row],[Date of Call]],"DDDD")</f>
        <v>Wednesday</v>
      </c>
      <c r="K906" t="str" cm="1">
        <f t="array" ref="K906">_xlfn.IFS(Calls[[#This Row],[Duration]]&lt;10,"Under 10 Mins",Calls[[#This Row],[Duration]]&lt;=30,"10 - 30 Mins",Calls[[#This Row],[Duration]]&lt;=60,"30 - 60 Mins",Calls[[#This Row],[Duration]]&lt;=120,"1 - 2 Hours",TRUE,"More than 2  Hours")</f>
        <v>More than 2  Hours</v>
      </c>
      <c r="L906">
        <f>ROUND(Calls[[#This Row],[Satisfaction Rating]],0)</f>
        <v>5</v>
      </c>
    </row>
    <row r="907" spans="2:12" x14ac:dyDescent="0.3">
      <c r="B907" s="22" t="s">
        <v>929</v>
      </c>
      <c r="C907" s="4" t="s">
        <v>12</v>
      </c>
      <c r="D907" s="4">
        <v>108</v>
      </c>
      <c r="E907" s="5" t="s">
        <v>13</v>
      </c>
      <c r="F907" s="9">
        <v>45239</v>
      </c>
      <c r="G907" s="4">
        <v>130</v>
      </c>
      <c r="H907" s="23">
        <v>2.7</v>
      </c>
      <c r="I907">
        <f>IF(MONTH(Calls[[#This Row],[Date of Call]])&lt;6,YEAR(Calls[[#This Row],[Date of Call]]),YEAR(Calls[[#This Row],[Date of Call]])+1)</f>
        <v>2024</v>
      </c>
      <c r="J907" t="str">
        <f>TEXT(Calls[[#This Row],[Date of Call]],"DDDD")</f>
        <v>Thursday</v>
      </c>
      <c r="K907" t="str" cm="1">
        <f t="array" ref="K907">_xlfn.IFS(Calls[[#This Row],[Duration]]&lt;10,"Under 10 Mins",Calls[[#This Row],[Duration]]&lt;=30,"10 - 30 Mins",Calls[[#This Row],[Duration]]&lt;=60,"30 - 60 Mins",Calls[[#This Row],[Duration]]&lt;=120,"1 - 2 Hours",TRUE,"More than 2  Hours")</f>
        <v>1 - 2 Hours</v>
      </c>
      <c r="L907">
        <f>ROUND(Calls[[#This Row],[Satisfaction Rating]],0)</f>
        <v>3</v>
      </c>
    </row>
    <row r="908" spans="2:12" x14ac:dyDescent="0.3">
      <c r="B908" s="22" t="s">
        <v>930</v>
      </c>
      <c r="C908" s="4" t="s">
        <v>16</v>
      </c>
      <c r="D908" s="4">
        <v>124</v>
      </c>
      <c r="E908" s="5" t="s">
        <v>10</v>
      </c>
      <c r="F908" s="9">
        <v>45239</v>
      </c>
      <c r="G908" s="4">
        <v>215</v>
      </c>
      <c r="H908" s="23">
        <v>3.5</v>
      </c>
      <c r="I908">
        <f>IF(MONTH(Calls[[#This Row],[Date of Call]])&lt;6,YEAR(Calls[[#This Row],[Date of Call]]),YEAR(Calls[[#This Row],[Date of Call]])+1)</f>
        <v>2024</v>
      </c>
      <c r="J908" t="str">
        <f>TEXT(Calls[[#This Row],[Date of Call]],"DDDD")</f>
        <v>Thursday</v>
      </c>
      <c r="K908" t="str" cm="1">
        <f t="array" ref="K908">_xlfn.IFS(Calls[[#This Row],[Duration]]&lt;10,"Under 10 Mins",Calls[[#This Row],[Duration]]&lt;=30,"10 - 30 Mins",Calls[[#This Row],[Duration]]&lt;=60,"30 - 60 Mins",Calls[[#This Row],[Duration]]&lt;=120,"1 - 2 Hours",TRUE,"More than 2  Hours")</f>
        <v>More than 2  Hours</v>
      </c>
      <c r="L908">
        <f>ROUND(Calls[[#This Row],[Satisfaction Rating]],0)</f>
        <v>4</v>
      </c>
    </row>
    <row r="909" spans="2:12" x14ac:dyDescent="0.3">
      <c r="B909" s="22" t="s">
        <v>931</v>
      </c>
      <c r="C909" s="4" t="s">
        <v>21</v>
      </c>
      <c r="D909" s="4">
        <v>110</v>
      </c>
      <c r="E909" s="5" t="s">
        <v>9</v>
      </c>
      <c r="F909" s="9">
        <v>45240</v>
      </c>
      <c r="G909" s="4">
        <v>132</v>
      </c>
      <c r="H909" s="23">
        <v>3.6</v>
      </c>
      <c r="I909">
        <f>IF(MONTH(Calls[[#This Row],[Date of Call]])&lt;6,YEAR(Calls[[#This Row],[Date of Call]]),YEAR(Calls[[#This Row],[Date of Call]])+1)</f>
        <v>2024</v>
      </c>
      <c r="J909" t="str">
        <f>TEXT(Calls[[#This Row],[Date of Call]],"DDDD")</f>
        <v>Friday</v>
      </c>
      <c r="K909" t="str" cm="1">
        <f t="array" ref="K909">_xlfn.IFS(Calls[[#This Row],[Duration]]&lt;10,"Under 10 Mins",Calls[[#This Row],[Duration]]&lt;=30,"10 - 30 Mins",Calls[[#This Row],[Duration]]&lt;=60,"30 - 60 Mins",Calls[[#This Row],[Duration]]&lt;=120,"1 - 2 Hours",TRUE,"More than 2  Hours")</f>
        <v>1 - 2 Hours</v>
      </c>
      <c r="L909">
        <f>ROUND(Calls[[#This Row],[Satisfaction Rating]],0)</f>
        <v>4</v>
      </c>
    </row>
    <row r="910" spans="2:12" x14ac:dyDescent="0.3">
      <c r="B910" s="22" t="s">
        <v>932</v>
      </c>
      <c r="C910" s="4" t="s">
        <v>18</v>
      </c>
      <c r="D910" s="4">
        <v>89</v>
      </c>
      <c r="E910" s="5" t="s">
        <v>13</v>
      </c>
      <c r="F910" s="9">
        <v>45240</v>
      </c>
      <c r="G910" s="4">
        <v>88</v>
      </c>
      <c r="H910" s="23">
        <v>4.9000000000000004</v>
      </c>
      <c r="I910">
        <f>IF(MONTH(Calls[[#This Row],[Date of Call]])&lt;6,YEAR(Calls[[#This Row],[Date of Call]]),YEAR(Calls[[#This Row],[Date of Call]])+1)</f>
        <v>2024</v>
      </c>
      <c r="J910" t="str">
        <f>TEXT(Calls[[#This Row],[Date of Call]],"DDDD")</f>
        <v>Friday</v>
      </c>
      <c r="K910" t="str" cm="1">
        <f t="array" ref="K910">_xlfn.IFS(Calls[[#This Row],[Duration]]&lt;10,"Under 10 Mins",Calls[[#This Row],[Duration]]&lt;=30,"10 - 30 Mins",Calls[[#This Row],[Duration]]&lt;=60,"30 - 60 Mins",Calls[[#This Row],[Duration]]&lt;=120,"1 - 2 Hours",TRUE,"More than 2  Hours")</f>
        <v>1 - 2 Hours</v>
      </c>
      <c r="L910">
        <f>ROUND(Calls[[#This Row],[Satisfaction Rating]],0)</f>
        <v>5</v>
      </c>
    </row>
    <row r="911" spans="2:12" x14ac:dyDescent="0.3">
      <c r="B911" s="22" t="s">
        <v>933</v>
      </c>
      <c r="C911" s="4" t="s">
        <v>20</v>
      </c>
      <c r="D911" s="4">
        <v>95</v>
      </c>
      <c r="E911" s="5" t="s">
        <v>9</v>
      </c>
      <c r="F911" s="9">
        <v>45240</v>
      </c>
      <c r="G911" s="4">
        <v>140</v>
      </c>
      <c r="H911" s="23">
        <v>3.9</v>
      </c>
      <c r="I911">
        <f>IF(MONTH(Calls[[#This Row],[Date of Call]])&lt;6,YEAR(Calls[[#This Row],[Date of Call]]),YEAR(Calls[[#This Row],[Date of Call]])+1)</f>
        <v>2024</v>
      </c>
      <c r="J911" t="str">
        <f>TEXT(Calls[[#This Row],[Date of Call]],"DDDD")</f>
        <v>Friday</v>
      </c>
      <c r="K911" t="str" cm="1">
        <f t="array" ref="K911">_xlfn.IFS(Calls[[#This Row],[Duration]]&lt;10,"Under 10 Mins",Calls[[#This Row],[Duration]]&lt;=30,"10 - 30 Mins",Calls[[#This Row],[Duration]]&lt;=60,"30 - 60 Mins",Calls[[#This Row],[Duration]]&lt;=120,"1 - 2 Hours",TRUE,"More than 2  Hours")</f>
        <v>1 - 2 Hours</v>
      </c>
      <c r="L911">
        <f>ROUND(Calls[[#This Row],[Satisfaction Rating]],0)</f>
        <v>4</v>
      </c>
    </row>
    <row r="912" spans="2:12" x14ac:dyDescent="0.3">
      <c r="B912" s="22" t="s">
        <v>934</v>
      </c>
      <c r="C912" s="4" t="s">
        <v>19</v>
      </c>
      <c r="D912" s="4">
        <v>84</v>
      </c>
      <c r="E912" s="5" t="s">
        <v>13</v>
      </c>
      <c r="F912" s="9">
        <v>45241</v>
      </c>
      <c r="G912" s="4">
        <v>66</v>
      </c>
      <c r="H912" s="23">
        <v>4.7</v>
      </c>
      <c r="I912">
        <f>IF(MONTH(Calls[[#This Row],[Date of Call]])&lt;6,YEAR(Calls[[#This Row],[Date of Call]]),YEAR(Calls[[#This Row],[Date of Call]])+1)</f>
        <v>2024</v>
      </c>
      <c r="J912" t="str">
        <f>TEXT(Calls[[#This Row],[Date of Call]],"DDDD")</f>
        <v>Saturday</v>
      </c>
      <c r="K912" t="str" cm="1">
        <f t="array" ref="K912">_xlfn.IFS(Calls[[#This Row],[Duration]]&lt;10,"Under 10 Mins",Calls[[#This Row],[Duration]]&lt;=30,"10 - 30 Mins",Calls[[#This Row],[Duration]]&lt;=60,"30 - 60 Mins",Calls[[#This Row],[Duration]]&lt;=120,"1 - 2 Hours",TRUE,"More than 2  Hours")</f>
        <v>1 - 2 Hours</v>
      </c>
      <c r="L912">
        <f>ROUND(Calls[[#This Row],[Satisfaction Rating]],0)</f>
        <v>5</v>
      </c>
    </row>
    <row r="913" spans="2:12" x14ac:dyDescent="0.3">
      <c r="B913" s="22" t="s">
        <v>935</v>
      </c>
      <c r="C913" s="4" t="s">
        <v>24</v>
      </c>
      <c r="D913" s="4">
        <v>89</v>
      </c>
      <c r="E913" s="5" t="s">
        <v>10</v>
      </c>
      <c r="F913" s="9">
        <v>45241</v>
      </c>
      <c r="G913" s="4">
        <v>23</v>
      </c>
      <c r="H913" s="23">
        <v>4.5</v>
      </c>
      <c r="I913">
        <f>IF(MONTH(Calls[[#This Row],[Date of Call]])&lt;6,YEAR(Calls[[#This Row],[Date of Call]]),YEAR(Calls[[#This Row],[Date of Call]])+1)</f>
        <v>2024</v>
      </c>
      <c r="J913" t="str">
        <f>TEXT(Calls[[#This Row],[Date of Call]],"DDDD")</f>
        <v>Saturday</v>
      </c>
      <c r="K913" t="str" cm="1">
        <f t="array" ref="K913">_xlfn.IFS(Calls[[#This Row],[Duration]]&lt;10,"Under 10 Mins",Calls[[#This Row],[Duration]]&lt;=30,"10 - 30 Mins",Calls[[#This Row],[Duration]]&lt;=60,"30 - 60 Mins",Calls[[#This Row],[Duration]]&lt;=120,"1 - 2 Hours",TRUE,"More than 2  Hours")</f>
        <v>1 - 2 Hours</v>
      </c>
      <c r="L913">
        <f>ROUND(Calls[[#This Row],[Satisfaction Rating]],0)</f>
        <v>5</v>
      </c>
    </row>
    <row r="914" spans="2:12" x14ac:dyDescent="0.3">
      <c r="B914" s="22" t="s">
        <v>936</v>
      </c>
      <c r="C914" s="4" t="s">
        <v>18</v>
      </c>
      <c r="D914" s="4">
        <v>146</v>
      </c>
      <c r="E914" s="5" t="s">
        <v>10</v>
      </c>
      <c r="F914" s="9">
        <v>45242</v>
      </c>
      <c r="G914" s="4">
        <v>220</v>
      </c>
      <c r="H914" s="23">
        <v>4.5</v>
      </c>
      <c r="I914">
        <f>IF(MONTH(Calls[[#This Row],[Date of Call]])&lt;6,YEAR(Calls[[#This Row],[Date of Call]]),YEAR(Calls[[#This Row],[Date of Call]])+1)</f>
        <v>2024</v>
      </c>
      <c r="J914" t="str">
        <f>TEXT(Calls[[#This Row],[Date of Call]],"DDDD")</f>
        <v>Sunday</v>
      </c>
      <c r="K914" t="str" cm="1">
        <f t="array" ref="K914">_xlfn.IFS(Calls[[#This Row],[Duration]]&lt;10,"Under 10 Mins",Calls[[#This Row],[Duration]]&lt;=30,"10 - 30 Mins",Calls[[#This Row],[Duration]]&lt;=60,"30 - 60 Mins",Calls[[#This Row],[Duration]]&lt;=120,"1 - 2 Hours",TRUE,"More than 2  Hours")</f>
        <v>More than 2  Hours</v>
      </c>
      <c r="L914">
        <f>ROUND(Calls[[#This Row],[Satisfaction Rating]],0)</f>
        <v>5</v>
      </c>
    </row>
    <row r="915" spans="2:12" x14ac:dyDescent="0.3">
      <c r="B915" s="22" t="s">
        <v>937</v>
      </c>
      <c r="C915" s="4" t="s">
        <v>14</v>
      </c>
      <c r="D915" s="4">
        <v>62</v>
      </c>
      <c r="E915" s="5" t="s">
        <v>6</v>
      </c>
      <c r="F915" s="9">
        <v>45243</v>
      </c>
      <c r="G915" s="4">
        <v>175</v>
      </c>
      <c r="H915" s="23">
        <v>4.4000000000000004</v>
      </c>
      <c r="I915">
        <f>IF(MONTH(Calls[[#This Row],[Date of Call]])&lt;6,YEAR(Calls[[#This Row],[Date of Call]]),YEAR(Calls[[#This Row],[Date of Call]])+1)</f>
        <v>2024</v>
      </c>
      <c r="J915" t="str">
        <f>TEXT(Calls[[#This Row],[Date of Call]],"DDDD")</f>
        <v>Monday</v>
      </c>
      <c r="K915" t="str" cm="1">
        <f t="array" ref="K915">_xlfn.IFS(Calls[[#This Row],[Duration]]&lt;10,"Under 10 Mins",Calls[[#This Row],[Duration]]&lt;=30,"10 - 30 Mins",Calls[[#This Row],[Duration]]&lt;=60,"30 - 60 Mins",Calls[[#This Row],[Duration]]&lt;=120,"1 - 2 Hours",TRUE,"More than 2  Hours")</f>
        <v>1 - 2 Hours</v>
      </c>
      <c r="L915">
        <f>ROUND(Calls[[#This Row],[Satisfaction Rating]],0)</f>
        <v>4</v>
      </c>
    </row>
    <row r="916" spans="2:12" x14ac:dyDescent="0.3">
      <c r="B916" s="22" t="s">
        <v>938</v>
      </c>
      <c r="C916" s="4" t="s">
        <v>17</v>
      </c>
      <c r="D916" s="4">
        <v>82</v>
      </c>
      <c r="E916" s="5" t="s">
        <v>10</v>
      </c>
      <c r="F916" s="9">
        <v>45243</v>
      </c>
      <c r="G916" s="4">
        <v>172</v>
      </c>
      <c r="H916" s="23">
        <v>4.0999999999999996</v>
      </c>
      <c r="I916">
        <f>IF(MONTH(Calls[[#This Row],[Date of Call]])&lt;6,YEAR(Calls[[#This Row],[Date of Call]]),YEAR(Calls[[#This Row],[Date of Call]])+1)</f>
        <v>2024</v>
      </c>
      <c r="J916" t="str">
        <f>TEXT(Calls[[#This Row],[Date of Call]],"DDDD")</f>
        <v>Monday</v>
      </c>
      <c r="K916" t="str" cm="1">
        <f t="array" ref="K916">_xlfn.IFS(Calls[[#This Row],[Duration]]&lt;10,"Under 10 Mins",Calls[[#This Row],[Duration]]&lt;=30,"10 - 30 Mins",Calls[[#This Row],[Duration]]&lt;=60,"30 - 60 Mins",Calls[[#This Row],[Duration]]&lt;=120,"1 - 2 Hours",TRUE,"More than 2  Hours")</f>
        <v>1 - 2 Hours</v>
      </c>
      <c r="L916">
        <f>ROUND(Calls[[#This Row],[Satisfaction Rating]],0)</f>
        <v>4</v>
      </c>
    </row>
    <row r="917" spans="2:12" x14ac:dyDescent="0.3">
      <c r="B917" s="22" t="s">
        <v>939</v>
      </c>
      <c r="C917" s="4" t="s">
        <v>22</v>
      </c>
      <c r="D917" s="4">
        <v>91</v>
      </c>
      <c r="E917" s="5" t="s">
        <v>11</v>
      </c>
      <c r="F917" s="9">
        <v>45243</v>
      </c>
      <c r="G917" s="4">
        <v>108</v>
      </c>
      <c r="H917" s="23">
        <v>3.8</v>
      </c>
      <c r="I917">
        <f>IF(MONTH(Calls[[#This Row],[Date of Call]])&lt;6,YEAR(Calls[[#This Row],[Date of Call]]),YEAR(Calls[[#This Row],[Date of Call]])+1)</f>
        <v>2024</v>
      </c>
      <c r="J917" t="str">
        <f>TEXT(Calls[[#This Row],[Date of Call]],"DDDD")</f>
        <v>Monday</v>
      </c>
      <c r="K917" t="str" cm="1">
        <f t="array" ref="K917">_xlfn.IFS(Calls[[#This Row],[Duration]]&lt;10,"Under 10 Mins",Calls[[#This Row],[Duration]]&lt;=30,"10 - 30 Mins",Calls[[#This Row],[Duration]]&lt;=60,"30 - 60 Mins",Calls[[#This Row],[Duration]]&lt;=120,"1 - 2 Hours",TRUE,"More than 2  Hours")</f>
        <v>1 - 2 Hours</v>
      </c>
      <c r="L917">
        <f>ROUND(Calls[[#This Row],[Satisfaction Rating]],0)</f>
        <v>4</v>
      </c>
    </row>
    <row r="918" spans="2:12" x14ac:dyDescent="0.3">
      <c r="B918" s="22" t="s">
        <v>940</v>
      </c>
      <c r="C918" s="4" t="s">
        <v>24</v>
      </c>
      <c r="D918" s="4">
        <v>39</v>
      </c>
      <c r="E918" s="5" t="s">
        <v>10</v>
      </c>
      <c r="F918" s="9">
        <v>45244</v>
      </c>
      <c r="G918" s="4">
        <v>43</v>
      </c>
      <c r="H918" s="23">
        <v>4.2</v>
      </c>
      <c r="I918">
        <f>IF(MONTH(Calls[[#This Row],[Date of Call]])&lt;6,YEAR(Calls[[#This Row],[Date of Call]]),YEAR(Calls[[#This Row],[Date of Call]])+1)</f>
        <v>2024</v>
      </c>
      <c r="J918" t="str">
        <f>TEXT(Calls[[#This Row],[Date of Call]],"DDDD")</f>
        <v>Tuesday</v>
      </c>
      <c r="K918" t="str" cm="1">
        <f t="array" ref="K918">_xlfn.IFS(Calls[[#This Row],[Duration]]&lt;10,"Under 10 Mins",Calls[[#This Row],[Duration]]&lt;=30,"10 - 30 Mins",Calls[[#This Row],[Duration]]&lt;=60,"30 - 60 Mins",Calls[[#This Row],[Duration]]&lt;=120,"1 - 2 Hours",TRUE,"More than 2  Hours")</f>
        <v>30 - 60 Mins</v>
      </c>
      <c r="L918">
        <f>ROUND(Calls[[#This Row],[Satisfaction Rating]],0)</f>
        <v>4</v>
      </c>
    </row>
    <row r="919" spans="2:12" x14ac:dyDescent="0.3">
      <c r="B919" s="22" t="s">
        <v>941</v>
      </c>
      <c r="C919" s="4" t="s">
        <v>18</v>
      </c>
      <c r="D919" s="4">
        <v>149</v>
      </c>
      <c r="E919" s="5" t="s">
        <v>9</v>
      </c>
      <c r="F919" s="9">
        <v>45244</v>
      </c>
      <c r="G919" s="4">
        <v>44</v>
      </c>
      <c r="H919" s="23">
        <v>2.2000000000000002</v>
      </c>
      <c r="I919">
        <f>IF(MONTH(Calls[[#This Row],[Date of Call]])&lt;6,YEAR(Calls[[#This Row],[Date of Call]]),YEAR(Calls[[#This Row],[Date of Call]])+1)</f>
        <v>2024</v>
      </c>
      <c r="J919" t="str">
        <f>TEXT(Calls[[#This Row],[Date of Call]],"DDDD")</f>
        <v>Tuesday</v>
      </c>
      <c r="K919" t="str" cm="1">
        <f t="array" ref="K919">_xlfn.IFS(Calls[[#This Row],[Duration]]&lt;10,"Under 10 Mins",Calls[[#This Row],[Duration]]&lt;=30,"10 - 30 Mins",Calls[[#This Row],[Duration]]&lt;=60,"30 - 60 Mins",Calls[[#This Row],[Duration]]&lt;=120,"1 - 2 Hours",TRUE,"More than 2  Hours")</f>
        <v>More than 2  Hours</v>
      </c>
      <c r="L919">
        <f>ROUND(Calls[[#This Row],[Satisfaction Rating]],0)</f>
        <v>2</v>
      </c>
    </row>
    <row r="920" spans="2:12" x14ac:dyDescent="0.3">
      <c r="B920" s="22" t="s">
        <v>942</v>
      </c>
      <c r="C920" s="4" t="s">
        <v>17</v>
      </c>
      <c r="D920" s="4">
        <v>138</v>
      </c>
      <c r="E920" s="5" t="s">
        <v>6</v>
      </c>
      <c r="F920" s="9">
        <v>45244</v>
      </c>
      <c r="G920" s="4">
        <v>105</v>
      </c>
      <c r="H920" s="23">
        <v>3.9</v>
      </c>
      <c r="I920">
        <f>IF(MONTH(Calls[[#This Row],[Date of Call]])&lt;6,YEAR(Calls[[#This Row],[Date of Call]]),YEAR(Calls[[#This Row],[Date of Call]])+1)</f>
        <v>2024</v>
      </c>
      <c r="J920" t="str">
        <f>TEXT(Calls[[#This Row],[Date of Call]],"DDDD")</f>
        <v>Tuesday</v>
      </c>
      <c r="K920" t="str" cm="1">
        <f t="array" ref="K920">_xlfn.IFS(Calls[[#This Row],[Duration]]&lt;10,"Under 10 Mins",Calls[[#This Row],[Duration]]&lt;=30,"10 - 30 Mins",Calls[[#This Row],[Duration]]&lt;=60,"30 - 60 Mins",Calls[[#This Row],[Duration]]&lt;=120,"1 - 2 Hours",TRUE,"More than 2  Hours")</f>
        <v>More than 2  Hours</v>
      </c>
      <c r="L920">
        <f>ROUND(Calls[[#This Row],[Satisfaction Rating]],0)</f>
        <v>4</v>
      </c>
    </row>
    <row r="921" spans="2:12" x14ac:dyDescent="0.3">
      <c r="B921" s="22" t="s">
        <v>943</v>
      </c>
      <c r="C921" s="4" t="s">
        <v>14</v>
      </c>
      <c r="D921" s="4">
        <v>113</v>
      </c>
      <c r="E921" s="5" t="s">
        <v>9</v>
      </c>
      <c r="F921" s="9">
        <v>45245</v>
      </c>
      <c r="G921" s="4">
        <v>34</v>
      </c>
      <c r="H921" s="23">
        <v>3.9</v>
      </c>
      <c r="I921">
        <f>IF(MONTH(Calls[[#This Row],[Date of Call]])&lt;6,YEAR(Calls[[#This Row],[Date of Call]]),YEAR(Calls[[#This Row],[Date of Call]])+1)</f>
        <v>2024</v>
      </c>
      <c r="J921" t="str">
        <f>TEXT(Calls[[#This Row],[Date of Call]],"DDDD")</f>
        <v>Wednesday</v>
      </c>
      <c r="K921" t="str" cm="1">
        <f t="array" ref="K921">_xlfn.IFS(Calls[[#This Row],[Duration]]&lt;10,"Under 10 Mins",Calls[[#This Row],[Duration]]&lt;=30,"10 - 30 Mins",Calls[[#This Row],[Duration]]&lt;=60,"30 - 60 Mins",Calls[[#This Row],[Duration]]&lt;=120,"1 - 2 Hours",TRUE,"More than 2  Hours")</f>
        <v>1 - 2 Hours</v>
      </c>
      <c r="L921">
        <f>ROUND(Calls[[#This Row],[Satisfaction Rating]],0)</f>
        <v>4</v>
      </c>
    </row>
    <row r="922" spans="2:12" x14ac:dyDescent="0.3">
      <c r="B922" s="22" t="s">
        <v>944</v>
      </c>
      <c r="C922" s="4" t="s">
        <v>8</v>
      </c>
      <c r="D922" s="4">
        <v>88</v>
      </c>
      <c r="E922" s="5" t="s">
        <v>10</v>
      </c>
      <c r="F922" s="9">
        <v>45245</v>
      </c>
      <c r="G922" s="4">
        <v>220</v>
      </c>
      <c r="H922" s="23">
        <v>4.0999999999999996</v>
      </c>
      <c r="I922">
        <f>IF(MONTH(Calls[[#This Row],[Date of Call]])&lt;6,YEAR(Calls[[#This Row],[Date of Call]]),YEAR(Calls[[#This Row],[Date of Call]])+1)</f>
        <v>2024</v>
      </c>
      <c r="J922" t="str">
        <f>TEXT(Calls[[#This Row],[Date of Call]],"DDDD")</f>
        <v>Wednesday</v>
      </c>
      <c r="K922" t="str" cm="1">
        <f t="array" ref="K922">_xlfn.IFS(Calls[[#This Row],[Duration]]&lt;10,"Under 10 Mins",Calls[[#This Row],[Duration]]&lt;=30,"10 - 30 Mins",Calls[[#This Row],[Duration]]&lt;=60,"30 - 60 Mins",Calls[[#This Row],[Duration]]&lt;=120,"1 - 2 Hours",TRUE,"More than 2  Hours")</f>
        <v>1 - 2 Hours</v>
      </c>
      <c r="L922">
        <f>ROUND(Calls[[#This Row],[Satisfaction Rating]],0)</f>
        <v>4</v>
      </c>
    </row>
    <row r="923" spans="2:12" x14ac:dyDescent="0.3">
      <c r="B923" s="22" t="s">
        <v>945</v>
      </c>
      <c r="C923" s="4" t="s">
        <v>20</v>
      </c>
      <c r="D923" s="4">
        <v>64</v>
      </c>
      <c r="E923" s="5" t="s">
        <v>6</v>
      </c>
      <c r="F923" s="9">
        <v>45245</v>
      </c>
      <c r="G923" s="4">
        <v>225</v>
      </c>
      <c r="H923" s="23">
        <v>4.5999999999999996</v>
      </c>
      <c r="I923">
        <f>IF(MONTH(Calls[[#This Row],[Date of Call]])&lt;6,YEAR(Calls[[#This Row],[Date of Call]]),YEAR(Calls[[#This Row],[Date of Call]])+1)</f>
        <v>2024</v>
      </c>
      <c r="J923" t="str">
        <f>TEXT(Calls[[#This Row],[Date of Call]],"DDDD")</f>
        <v>Wednesday</v>
      </c>
      <c r="K923" t="str" cm="1">
        <f t="array" ref="K923">_xlfn.IFS(Calls[[#This Row],[Duration]]&lt;10,"Under 10 Mins",Calls[[#This Row],[Duration]]&lt;=30,"10 - 30 Mins",Calls[[#This Row],[Duration]]&lt;=60,"30 - 60 Mins",Calls[[#This Row],[Duration]]&lt;=120,"1 - 2 Hours",TRUE,"More than 2  Hours")</f>
        <v>1 - 2 Hours</v>
      </c>
      <c r="L923">
        <f>ROUND(Calls[[#This Row],[Satisfaction Rating]],0)</f>
        <v>5</v>
      </c>
    </row>
    <row r="924" spans="2:12" x14ac:dyDescent="0.3">
      <c r="B924" s="22" t="s">
        <v>946</v>
      </c>
      <c r="C924" s="4" t="s">
        <v>23</v>
      </c>
      <c r="D924" s="4">
        <v>53</v>
      </c>
      <c r="E924" s="5" t="s">
        <v>6</v>
      </c>
      <c r="F924" s="9">
        <v>45246</v>
      </c>
      <c r="G924" s="4">
        <v>37</v>
      </c>
      <c r="H924" s="23">
        <v>4.0999999999999996</v>
      </c>
      <c r="I924">
        <f>IF(MONTH(Calls[[#This Row],[Date of Call]])&lt;6,YEAR(Calls[[#This Row],[Date of Call]]),YEAR(Calls[[#This Row],[Date of Call]])+1)</f>
        <v>2024</v>
      </c>
      <c r="J924" t="str">
        <f>TEXT(Calls[[#This Row],[Date of Call]],"DDDD")</f>
        <v>Thursday</v>
      </c>
      <c r="K924" t="str" cm="1">
        <f t="array" ref="K924">_xlfn.IFS(Calls[[#This Row],[Duration]]&lt;10,"Under 10 Mins",Calls[[#This Row],[Duration]]&lt;=30,"10 - 30 Mins",Calls[[#This Row],[Duration]]&lt;=60,"30 - 60 Mins",Calls[[#This Row],[Duration]]&lt;=120,"1 - 2 Hours",TRUE,"More than 2  Hours")</f>
        <v>30 - 60 Mins</v>
      </c>
      <c r="L924">
        <f>ROUND(Calls[[#This Row],[Satisfaction Rating]],0)</f>
        <v>4</v>
      </c>
    </row>
    <row r="925" spans="2:12" x14ac:dyDescent="0.3">
      <c r="B925" s="22" t="s">
        <v>947</v>
      </c>
      <c r="C925" s="4" t="s">
        <v>16</v>
      </c>
      <c r="D925" s="4">
        <v>63</v>
      </c>
      <c r="E925" s="5" t="s">
        <v>9</v>
      </c>
      <c r="F925" s="9">
        <v>45246</v>
      </c>
      <c r="G925" s="4">
        <v>44</v>
      </c>
      <c r="H925" s="23">
        <v>5</v>
      </c>
      <c r="I925">
        <f>IF(MONTH(Calls[[#This Row],[Date of Call]])&lt;6,YEAR(Calls[[#This Row],[Date of Call]]),YEAR(Calls[[#This Row],[Date of Call]])+1)</f>
        <v>2024</v>
      </c>
      <c r="J925" t="str">
        <f>TEXT(Calls[[#This Row],[Date of Call]],"DDDD")</f>
        <v>Thursday</v>
      </c>
      <c r="K925" t="str" cm="1">
        <f t="array" ref="K925">_xlfn.IFS(Calls[[#This Row],[Duration]]&lt;10,"Under 10 Mins",Calls[[#This Row],[Duration]]&lt;=30,"10 - 30 Mins",Calls[[#This Row],[Duration]]&lt;=60,"30 - 60 Mins",Calls[[#This Row],[Duration]]&lt;=120,"1 - 2 Hours",TRUE,"More than 2  Hours")</f>
        <v>1 - 2 Hours</v>
      </c>
      <c r="L925">
        <f>ROUND(Calls[[#This Row],[Satisfaction Rating]],0)</f>
        <v>5</v>
      </c>
    </row>
    <row r="926" spans="2:12" x14ac:dyDescent="0.3">
      <c r="B926" s="22" t="s">
        <v>948</v>
      </c>
      <c r="C926" s="4" t="s">
        <v>15</v>
      </c>
      <c r="D926" s="4">
        <v>54</v>
      </c>
      <c r="E926" s="5" t="s">
        <v>9</v>
      </c>
      <c r="F926" s="9">
        <v>45247</v>
      </c>
      <c r="G926" s="4">
        <v>35</v>
      </c>
      <c r="H926" s="23">
        <v>2.8</v>
      </c>
      <c r="I926">
        <f>IF(MONTH(Calls[[#This Row],[Date of Call]])&lt;6,YEAR(Calls[[#This Row],[Date of Call]]),YEAR(Calls[[#This Row],[Date of Call]])+1)</f>
        <v>2024</v>
      </c>
      <c r="J926" t="str">
        <f>TEXT(Calls[[#This Row],[Date of Call]],"DDDD")</f>
        <v>Friday</v>
      </c>
      <c r="K926" t="str" cm="1">
        <f t="array" ref="K926">_xlfn.IFS(Calls[[#This Row],[Duration]]&lt;10,"Under 10 Mins",Calls[[#This Row],[Duration]]&lt;=30,"10 - 30 Mins",Calls[[#This Row],[Duration]]&lt;=60,"30 - 60 Mins",Calls[[#This Row],[Duration]]&lt;=120,"1 - 2 Hours",TRUE,"More than 2  Hours")</f>
        <v>30 - 60 Mins</v>
      </c>
      <c r="L926">
        <f>ROUND(Calls[[#This Row],[Satisfaction Rating]],0)</f>
        <v>3</v>
      </c>
    </row>
    <row r="927" spans="2:12" x14ac:dyDescent="0.3">
      <c r="B927" s="22" t="s">
        <v>949</v>
      </c>
      <c r="C927" s="4" t="s">
        <v>16</v>
      </c>
      <c r="D927" s="4">
        <v>54</v>
      </c>
      <c r="E927" s="5" t="s">
        <v>10</v>
      </c>
      <c r="F927" s="9">
        <v>45247</v>
      </c>
      <c r="G927" s="4">
        <v>145</v>
      </c>
      <c r="H927" s="23">
        <v>2.7</v>
      </c>
      <c r="I927">
        <f>IF(MONTH(Calls[[#This Row],[Date of Call]])&lt;6,YEAR(Calls[[#This Row],[Date of Call]]),YEAR(Calls[[#This Row],[Date of Call]])+1)</f>
        <v>2024</v>
      </c>
      <c r="J927" t="str">
        <f>TEXT(Calls[[#This Row],[Date of Call]],"DDDD")</f>
        <v>Friday</v>
      </c>
      <c r="K927" t="str" cm="1">
        <f t="array" ref="K927">_xlfn.IFS(Calls[[#This Row],[Duration]]&lt;10,"Under 10 Mins",Calls[[#This Row],[Duration]]&lt;=30,"10 - 30 Mins",Calls[[#This Row],[Duration]]&lt;=60,"30 - 60 Mins",Calls[[#This Row],[Duration]]&lt;=120,"1 - 2 Hours",TRUE,"More than 2  Hours")</f>
        <v>30 - 60 Mins</v>
      </c>
      <c r="L927">
        <f>ROUND(Calls[[#This Row],[Satisfaction Rating]],0)</f>
        <v>3</v>
      </c>
    </row>
    <row r="928" spans="2:12" x14ac:dyDescent="0.3">
      <c r="B928" s="22" t="s">
        <v>950</v>
      </c>
      <c r="C928" s="4" t="s">
        <v>18</v>
      </c>
      <c r="D928" s="4">
        <v>71</v>
      </c>
      <c r="E928" s="5" t="s">
        <v>6</v>
      </c>
      <c r="F928" s="9">
        <v>45247</v>
      </c>
      <c r="G928" s="4">
        <v>64</v>
      </c>
      <c r="H928" s="23">
        <v>3.9</v>
      </c>
      <c r="I928">
        <f>IF(MONTH(Calls[[#This Row],[Date of Call]])&lt;6,YEAR(Calls[[#This Row],[Date of Call]]),YEAR(Calls[[#This Row],[Date of Call]])+1)</f>
        <v>2024</v>
      </c>
      <c r="J928" t="str">
        <f>TEXT(Calls[[#This Row],[Date of Call]],"DDDD")</f>
        <v>Friday</v>
      </c>
      <c r="K928" t="str" cm="1">
        <f t="array" ref="K928">_xlfn.IFS(Calls[[#This Row],[Duration]]&lt;10,"Under 10 Mins",Calls[[#This Row],[Duration]]&lt;=30,"10 - 30 Mins",Calls[[#This Row],[Duration]]&lt;=60,"30 - 60 Mins",Calls[[#This Row],[Duration]]&lt;=120,"1 - 2 Hours",TRUE,"More than 2  Hours")</f>
        <v>1 - 2 Hours</v>
      </c>
      <c r="L928">
        <f>ROUND(Calls[[#This Row],[Satisfaction Rating]],0)</f>
        <v>4</v>
      </c>
    </row>
    <row r="929" spans="2:12" x14ac:dyDescent="0.3">
      <c r="B929" s="22" t="s">
        <v>951</v>
      </c>
      <c r="C929" s="4" t="s">
        <v>16</v>
      </c>
      <c r="D929" s="4">
        <v>93</v>
      </c>
      <c r="E929" s="5" t="s">
        <v>10</v>
      </c>
      <c r="F929" s="9">
        <v>45248</v>
      </c>
      <c r="G929" s="4">
        <v>185</v>
      </c>
      <c r="H929" s="23">
        <v>4.3</v>
      </c>
      <c r="I929">
        <f>IF(MONTH(Calls[[#This Row],[Date of Call]])&lt;6,YEAR(Calls[[#This Row],[Date of Call]]),YEAR(Calls[[#This Row],[Date of Call]])+1)</f>
        <v>2024</v>
      </c>
      <c r="J929" t="str">
        <f>TEXT(Calls[[#This Row],[Date of Call]],"DDDD")</f>
        <v>Saturday</v>
      </c>
      <c r="K929" t="str" cm="1">
        <f t="array" ref="K929">_xlfn.IFS(Calls[[#This Row],[Duration]]&lt;10,"Under 10 Mins",Calls[[#This Row],[Duration]]&lt;=30,"10 - 30 Mins",Calls[[#This Row],[Duration]]&lt;=60,"30 - 60 Mins",Calls[[#This Row],[Duration]]&lt;=120,"1 - 2 Hours",TRUE,"More than 2  Hours")</f>
        <v>1 - 2 Hours</v>
      </c>
      <c r="L929">
        <f>ROUND(Calls[[#This Row],[Satisfaction Rating]],0)</f>
        <v>4</v>
      </c>
    </row>
    <row r="930" spans="2:12" x14ac:dyDescent="0.3">
      <c r="B930" s="22" t="s">
        <v>952</v>
      </c>
      <c r="C930" s="4" t="s">
        <v>21</v>
      </c>
      <c r="D930" s="4">
        <v>96</v>
      </c>
      <c r="E930" s="5" t="s">
        <v>9</v>
      </c>
      <c r="F930" s="9">
        <v>45248</v>
      </c>
      <c r="G930" s="4">
        <v>215</v>
      </c>
      <c r="H930" s="23">
        <v>2.5</v>
      </c>
      <c r="I930">
        <f>IF(MONTH(Calls[[#This Row],[Date of Call]])&lt;6,YEAR(Calls[[#This Row],[Date of Call]]),YEAR(Calls[[#This Row],[Date of Call]])+1)</f>
        <v>2024</v>
      </c>
      <c r="J930" t="str">
        <f>TEXT(Calls[[#This Row],[Date of Call]],"DDDD")</f>
        <v>Saturday</v>
      </c>
      <c r="K930" t="str" cm="1">
        <f t="array" ref="K930">_xlfn.IFS(Calls[[#This Row],[Duration]]&lt;10,"Under 10 Mins",Calls[[#This Row],[Duration]]&lt;=30,"10 - 30 Mins",Calls[[#This Row],[Duration]]&lt;=60,"30 - 60 Mins",Calls[[#This Row],[Duration]]&lt;=120,"1 - 2 Hours",TRUE,"More than 2  Hours")</f>
        <v>1 - 2 Hours</v>
      </c>
      <c r="L930">
        <f>ROUND(Calls[[#This Row],[Satisfaction Rating]],0)</f>
        <v>3</v>
      </c>
    </row>
    <row r="931" spans="2:12" x14ac:dyDescent="0.3">
      <c r="B931" s="22" t="s">
        <v>953</v>
      </c>
      <c r="C931" s="4" t="s">
        <v>24</v>
      </c>
      <c r="D931" s="4">
        <v>31</v>
      </c>
      <c r="E931" s="5" t="s">
        <v>11</v>
      </c>
      <c r="F931" s="9">
        <v>45248</v>
      </c>
      <c r="G931" s="4">
        <v>88</v>
      </c>
      <c r="H931" s="23">
        <v>3.4</v>
      </c>
      <c r="I931">
        <f>IF(MONTH(Calls[[#This Row],[Date of Call]])&lt;6,YEAR(Calls[[#This Row],[Date of Call]]),YEAR(Calls[[#This Row],[Date of Call]])+1)</f>
        <v>2024</v>
      </c>
      <c r="J931" t="str">
        <f>TEXT(Calls[[#This Row],[Date of Call]],"DDDD")</f>
        <v>Saturday</v>
      </c>
      <c r="K931" t="str" cm="1">
        <f t="array" ref="K931">_xlfn.IFS(Calls[[#This Row],[Duration]]&lt;10,"Under 10 Mins",Calls[[#This Row],[Duration]]&lt;=30,"10 - 30 Mins",Calls[[#This Row],[Duration]]&lt;=60,"30 - 60 Mins",Calls[[#This Row],[Duration]]&lt;=120,"1 - 2 Hours",TRUE,"More than 2  Hours")</f>
        <v>30 - 60 Mins</v>
      </c>
      <c r="L931">
        <f>ROUND(Calls[[#This Row],[Satisfaction Rating]],0)</f>
        <v>3</v>
      </c>
    </row>
    <row r="932" spans="2:12" x14ac:dyDescent="0.3">
      <c r="B932" s="22" t="s">
        <v>954</v>
      </c>
      <c r="C932" s="4" t="s">
        <v>16</v>
      </c>
      <c r="D932" s="4">
        <v>107</v>
      </c>
      <c r="E932" s="5" t="s">
        <v>6</v>
      </c>
      <c r="F932" s="9">
        <v>45248</v>
      </c>
      <c r="G932" s="4">
        <v>23</v>
      </c>
      <c r="H932" s="23">
        <v>3.4</v>
      </c>
      <c r="I932">
        <f>IF(MONTH(Calls[[#This Row],[Date of Call]])&lt;6,YEAR(Calls[[#This Row],[Date of Call]]),YEAR(Calls[[#This Row],[Date of Call]])+1)</f>
        <v>2024</v>
      </c>
      <c r="J932" t="str">
        <f>TEXT(Calls[[#This Row],[Date of Call]],"DDDD")</f>
        <v>Saturday</v>
      </c>
      <c r="K932" t="str" cm="1">
        <f t="array" ref="K932">_xlfn.IFS(Calls[[#This Row],[Duration]]&lt;10,"Under 10 Mins",Calls[[#This Row],[Duration]]&lt;=30,"10 - 30 Mins",Calls[[#This Row],[Duration]]&lt;=60,"30 - 60 Mins",Calls[[#This Row],[Duration]]&lt;=120,"1 - 2 Hours",TRUE,"More than 2  Hours")</f>
        <v>1 - 2 Hours</v>
      </c>
      <c r="L932">
        <f>ROUND(Calls[[#This Row],[Satisfaction Rating]],0)</f>
        <v>3</v>
      </c>
    </row>
    <row r="933" spans="2:12" x14ac:dyDescent="0.3">
      <c r="B933" s="22" t="s">
        <v>955</v>
      </c>
      <c r="C933" s="4" t="s">
        <v>23</v>
      </c>
      <c r="D933" s="4">
        <v>50</v>
      </c>
      <c r="E933" s="5" t="s">
        <v>11</v>
      </c>
      <c r="F933" s="9">
        <v>45249</v>
      </c>
      <c r="G933" s="4">
        <v>180</v>
      </c>
      <c r="H933" s="23">
        <v>1.8</v>
      </c>
      <c r="I933">
        <f>IF(MONTH(Calls[[#This Row],[Date of Call]])&lt;6,YEAR(Calls[[#This Row],[Date of Call]]),YEAR(Calls[[#This Row],[Date of Call]])+1)</f>
        <v>2024</v>
      </c>
      <c r="J933" t="str">
        <f>TEXT(Calls[[#This Row],[Date of Call]],"DDDD")</f>
        <v>Sunday</v>
      </c>
      <c r="K933" t="str" cm="1">
        <f t="array" ref="K933">_xlfn.IFS(Calls[[#This Row],[Duration]]&lt;10,"Under 10 Mins",Calls[[#This Row],[Duration]]&lt;=30,"10 - 30 Mins",Calls[[#This Row],[Duration]]&lt;=60,"30 - 60 Mins",Calls[[#This Row],[Duration]]&lt;=120,"1 - 2 Hours",TRUE,"More than 2  Hours")</f>
        <v>30 - 60 Mins</v>
      </c>
      <c r="L933">
        <f>ROUND(Calls[[#This Row],[Satisfaction Rating]],0)</f>
        <v>2</v>
      </c>
    </row>
    <row r="934" spans="2:12" x14ac:dyDescent="0.3">
      <c r="B934" s="22" t="s">
        <v>956</v>
      </c>
      <c r="C934" s="4" t="s">
        <v>17</v>
      </c>
      <c r="D934" s="4">
        <v>69</v>
      </c>
      <c r="E934" s="5" t="s">
        <v>6</v>
      </c>
      <c r="F934" s="9">
        <v>45250</v>
      </c>
      <c r="G934" s="4">
        <v>225</v>
      </c>
      <c r="H934" s="23">
        <v>3.7</v>
      </c>
      <c r="I934">
        <f>IF(MONTH(Calls[[#This Row],[Date of Call]])&lt;6,YEAR(Calls[[#This Row],[Date of Call]]),YEAR(Calls[[#This Row],[Date of Call]])+1)</f>
        <v>2024</v>
      </c>
      <c r="J934" t="str">
        <f>TEXT(Calls[[#This Row],[Date of Call]],"DDDD")</f>
        <v>Monday</v>
      </c>
      <c r="K934" t="str" cm="1">
        <f t="array" ref="K934">_xlfn.IFS(Calls[[#This Row],[Duration]]&lt;10,"Under 10 Mins",Calls[[#This Row],[Duration]]&lt;=30,"10 - 30 Mins",Calls[[#This Row],[Duration]]&lt;=60,"30 - 60 Mins",Calls[[#This Row],[Duration]]&lt;=120,"1 - 2 Hours",TRUE,"More than 2  Hours")</f>
        <v>1 - 2 Hours</v>
      </c>
      <c r="L934">
        <f>ROUND(Calls[[#This Row],[Satisfaction Rating]],0)</f>
        <v>4</v>
      </c>
    </row>
    <row r="935" spans="2:12" x14ac:dyDescent="0.3">
      <c r="B935" s="22" t="s">
        <v>957</v>
      </c>
      <c r="C935" s="4" t="s">
        <v>8</v>
      </c>
      <c r="D935" s="4">
        <v>26</v>
      </c>
      <c r="E935" s="5" t="s">
        <v>9</v>
      </c>
      <c r="F935" s="9">
        <v>45251</v>
      </c>
      <c r="G935" s="4">
        <v>74</v>
      </c>
      <c r="H935" s="23">
        <v>4.0999999999999996</v>
      </c>
      <c r="I935">
        <f>IF(MONTH(Calls[[#This Row],[Date of Call]])&lt;6,YEAR(Calls[[#This Row],[Date of Call]]),YEAR(Calls[[#This Row],[Date of Call]])+1)</f>
        <v>2024</v>
      </c>
      <c r="J935" t="str">
        <f>TEXT(Calls[[#This Row],[Date of Call]],"DDDD")</f>
        <v>Tuesday</v>
      </c>
      <c r="K935" t="str" cm="1">
        <f t="array" ref="K935">_xlfn.IFS(Calls[[#This Row],[Duration]]&lt;10,"Under 10 Mins",Calls[[#This Row],[Duration]]&lt;=30,"10 - 30 Mins",Calls[[#This Row],[Duration]]&lt;=60,"30 - 60 Mins",Calls[[#This Row],[Duration]]&lt;=120,"1 - 2 Hours",TRUE,"More than 2  Hours")</f>
        <v>10 - 30 Mins</v>
      </c>
      <c r="L935">
        <f>ROUND(Calls[[#This Row],[Satisfaction Rating]],0)</f>
        <v>4</v>
      </c>
    </row>
    <row r="936" spans="2:12" x14ac:dyDescent="0.3">
      <c r="B936" s="22" t="s">
        <v>958</v>
      </c>
      <c r="C936" s="4" t="s">
        <v>21</v>
      </c>
      <c r="D936" s="4">
        <v>158</v>
      </c>
      <c r="E936" s="5" t="s">
        <v>6</v>
      </c>
      <c r="F936" s="9">
        <v>45251</v>
      </c>
      <c r="G936" s="4">
        <v>36</v>
      </c>
      <c r="H936" s="23">
        <v>3</v>
      </c>
      <c r="I936">
        <f>IF(MONTH(Calls[[#This Row],[Date of Call]])&lt;6,YEAR(Calls[[#This Row],[Date of Call]]),YEAR(Calls[[#This Row],[Date of Call]])+1)</f>
        <v>2024</v>
      </c>
      <c r="J936" t="str">
        <f>TEXT(Calls[[#This Row],[Date of Call]],"DDDD")</f>
        <v>Tuesday</v>
      </c>
      <c r="K936" t="str" cm="1">
        <f t="array" ref="K936">_xlfn.IFS(Calls[[#This Row],[Duration]]&lt;10,"Under 10 Mins",Calls[[#This Row],[Duration]]&lt;=30,"10 - 30 Mins",Calls[[#This Row],[Duration]]&lt;=60,"30 - 60 Mins",Calls[[#This Row],[Duration]]&lt;=120,"1 - 2 Hours",TRUE,"More than 2  Hours")</f>
        <v>More than 2  Hours</v>
      </c>
      <c r="L936">
        <f>ROUND(Calls[[#This Row],[Satisfaction Rating]],0)</f>
        <v>3</v>
      </c>
    </row>
    <row r="937" spans="2:12" x14ac:dyDescent="0.3">
      <c r="B937" s="22" t="s">
        <v>959</v>
      </c>
      <c r="C937" s="4" t="s">
        <v>15</v>
      </c>
      <c r="D937" s="4">
        <v>99</v>
      </c>
      <c r="E937" s="5" t="s">
        <v>6</v>
      </c>
      <c r="F937" s="9">
        <v>45253</v>
      </c>
      <c r="G937" s="4">
        <v>116</v>
      </c>
      <c r="H937" s="23">
        <v>3.9</v>
      </c>
      <c r="I937">
        <f>IF(MONTH(Calls[[#This Row],[Date of Call]])&lt;6,YEAR(Calls[[#This Row],[Date of Call]]),YEAR(Calls[[#This Row],[Date of Call]])+1)</f>
        <v>2024</v>
      </c>
      <c r="J937" t="str">
        <f>TEXT(Calls[[#This Row],[Date of Call]],"DDDD")</f>
        <v>Thursday</v>
      </c>
      <c r="K937" t="str" cm="1">
        <f t="array" ref="K937">_xlfn.IFS(Calls[[#This Row],[Duration]]&lt;10,"Under 10 Mins",Calls[[#This Row],[Duration]]&lt;=30,"10 - 30 Mins",Calls[[#This Row],[Duration]]&lt;=60,"30 - 60 Mins",Calls[[#This Row],[Duration]]&lt;=120,"1 - 2 Hours",TRUE,"More than 2  Hours")</f>
        <v>1 - 2 Hours</v>
      </c>
      <c r="L937">
        <f>ROUND(Calls[[#This Row],[Satisfaction Rating]],0)</f>
        <v>4</v>
      </c>
    </row>
    <row r="938" spans="2:12" x14ac:dyDescent="0.3">
      <c r="B938" s="22" t="s">
        <v>960</v>
      </c>
      <c r="C938" s="4" t="s">
        <v>21</v>
      </c>
      <c r="D938" s="4">
        <v>78</v>
      </c>
      <c r="E938" s="5" t="s">
        <v>11</v>
      </c>
      <c r="F938" s="9">
        <v>45253</v>
      </c>
      <c r="G938" s="4">
        <v>140</v>
      </c>
      <c r="H938" s="23">
        <v>4</v>
      </c>
      <c r="I938">
        <f>IF(MONTH(Calls[[#This Row],[Date of Call]])&lt;6,YEAR(Calls[[#This Row],[Date of Call]]),YEAR(Calls[[#This Row],[Date of Call]])+1)</f>
        <v>2024</v>
      </c>
      <c r="J938" t="str">
        <f>TEXT(Calls[[#This Row],[Date of Call]],"DDDD")</f>
        <v>Thursday</v>
      </c>
      <c r="K938" t="str" cm="1">
        <f t="array" ref="K938">_xlfn.IFS(Calls[[#This Row],[Duration]]&lt;10,"Under 10 Mins",Calls[[#This Row],[Duration]]&lt;=30,"10 - 30 Mins",Calls[[#This Row],[Duration]]&lt;=60,"30 - 60 Mins",Calls[[#This Row],[Duration]]&lt;=120,"1 - 2 Hours",TRUE,"More than 2  Hours")</f>
        <v>1 - 2 Hours</v>
      </c>
      <c r="L938">
        <f>ROUND(Calls[[#This Row],[Satisfaction Rating]],0)</f>
        <v>4</v>
      </c>
    </row>
    <row r="939" spans="2:12" x14ac:dyDescent="0.3">
      <c r="B939" s="22" t="s">
        <v>961</v>
      </c>
      <c r="C939" s="4" t="s">
        <v>21</v>
      </c>
      <c r="D939" s="4">
        <v>102</v>
      </c>
      <c r="E939" s="5" t="s">
        <v>9</v>
      </c>
      <c r="F939" s="9">
        <v>45254</v>
      </c>
      <c r="G939" s="4">
        <v>104</v>
      </c>
      <c r="H939" s="23">
        <v>4.5</v>
      </c>
      <c r="I939">
        <f>IF(MONTH(Calls[[#This Row],[Date of Call]])&lt;6,YEAR(Calls[[#This Row],[Date of Call]]),YEAR(Calls[[#This Row],[Date of Call]])+1)</f>
        <v>2024</v>
      </c>
      <c r="J939" t="str">
        <f>TEXT(Calls[[#This Row],[Date of Call]],"DDDD")</f>
        <v>Friday</v>
      </c>
      <c r="K939" t="str" cm="1">
        <f t="array" ref="K939">_xlfn.IFS(Calls[[#This Row],[Duration]]&lt;10,"Under 10 Mins",Calls[[#This Row],[Duration]]&lt;=30,"10 - 30 Mins",Calls[[#This Row],[Duration]]&lt;=60,"30 - 60 Mins",Calls[[#This Row],[Duration]]&lt;=120,"1 - 2 Hours",TRUE,"More than 2  Hours")</f>
        <v>1 - 2 Hours</v>
      </c>
      <c r="L939">
        <f>ROUND(Calls[[#This Row],[Satisfaction Rating]],0)</f>
        <v>5</v>
      </c>
    </row>
    <row r="940" spans="2:12" x14ac:dyDescent="0.3">
      <c r="B940" s="22" t="s">
        <v>962</v>
      </c>
      <c r="C940" s="4" t="s">
        <v>15</v>
      </c>
      <c r="D940" s="4">
        <v>158</v>
      </c>
      <c r="E940" s="5" t="s">
        <v>13</v>
      </c>
      <c r="F940" s="9">
        <v>45254</v>
      </c>
      <c r="G940" s="4">
        <v>148</v>
      </c>
      <c r="H940" s="23">
        <v>4</v>
      </c>
      <c r="I940">
        <f>IF(MONTH(Calls[[#This Row],[Date of Call]])&lt;6,YEAR(Calls[[#This Row],[Date of Call]]),YEAR(Calls[[#This Row],[Date of Call]])+1)</f>
        <v>2024</v>
      </c>
      <c r="J940" t="str">
        <f>TEXT(Calls[[#This Row],[Date of Call]],"DDDD")</f>
        <v>Friday</v>
      </c>
      <c r="K940" t="str" cm="1">
        <f t="array" ref="K940">_xlfn.IFS(Calls[[#This Row],[Duration]]&lt;10,"Under 10 Mins",Calls[[#This Row],[Duration]]&lt;=30,"10 - 30 Mins",Calls[[#This Row],[Duration]]&lt;=60,"30 - 60 Mins",Calls[[#This Row],[Duration]]&lt;=120,"1 - 2 Hours",TRUE,"More than 2  Hours")</f>
        <v>More than 2  Hours</v>
      </c>
      <c r="L940">
        <f>ROUND(Calls[[#This Row],[Satisfaction Rating]],0)</f>
        <v>4</v>
      </c>
    </row>
    <row r="941" spans="2:12" x14ac:dyDescent="0.3">
      <c r="B941" s="22" t="s">
        <v>963</v>
      </c>
      <c r="C941" s="4" t="s">
        <v>24</v>
      </c>
      <c r="D941" s="4">
        <v>56</v>
      </c>
      <c r="E941" s="5" t="s">
        <v>6</v>
      </c>
      <c r="F941" s="9">
        <v>45254</v>
      </c>
      <c r="G941" s="4">
        <v>205</v>
      </c>
      <c r="H941" s="23">
        <v>4.3</v>
      </c>
      <c r="I941">
        <f>IF(MONTH(Calls[[#This Row],[Date of Call]])&lt;6,YEAR(Calls[[#This Row],[Date of Call]]),YEAR(Calls[[#This Row],[Date of Call]])+1)</f>
        <v>2024</v>
      </c>
      <c r="J941" t="str">
        <f>TEXT(Calls[[#This Row],[Date of Call]],"DDDD")</f>
        <v>Friday</v>
      </c>
      <c r="K941" t="str" cm="1">
        <f t="array" ref="K941">_xlfn.IFS(Calls[[#This Row],[Duration]]&lt;10,"Under 10 Mins",Calls[[#This Row],[Duration]]&lt;=30,"10 - 30 Mins",Calls[[#This Row],[Duration]]&lt;=60,"30 - 60 Mins",Calls[[#This Row],[Duration]]&lt;=120,"1 - 2 Hours",TRUE,"More than 2  Hours")</f>
        <v>30 - 60 Mins</v>
      </c>
      <c r="L941">
        <f>ROUND(Calls[[#This Row],[Satisfaction Rating]],0)</f>
        <v>4</v>
      </c>
    </row>
    <row r="942" spans="2:12" x14ac:dyDescent="0.3">
      <c r="B942" s="22" t="s">
        <v>964</v>
      </c>
      <c r="C942" s="4" t="s">
        <v>12</v>
      </c>
      <c r="D942" s="4">
        <v>17</v>
      </c>
      <c r="E942" s="5" t="s">
        <v>10</v>
      </c>
      <c r="F942" s="9">
        <v>45254</v>
      </c>
      <c r="G942" s="4">
        <v>210</v>
      </c>
      <c r="H942" s="23">
        <v>4.8</v>
      </c>
      <c r="I942">
        <f>IF(MONTH(Calls[[#This Row],[Date of Call]])&lt;6,YEAR(Calls[[#This Row],[Date of Call]]),YEAR(Calls[[#This Row],[Date of Call]])+1)</f>
        <v>2024</v>
      </c>
      <c r="J942" t="str">
        <f>TEXT(Calls[[#This Row],[Date of Call]],"DDDD")</f>
        <v>Friday</v>
      </c>
      <c r="K942" t="str" cm="1">
        <f t="array" ref="K942">_xlfn.IFS(Calls[[#This Row],[Duration]]&lt;10,"Under 10 Mins",Calls[[#This Row],[Duration]]&lt;=30,"10 - 30 Mins",Calls[[#This Row],[Duration]]&lt;=60,"30 - 60 Mins",Calls[[#This Row],[Duration]]&lt;=120,"1 - 2 Hours",TRUE,"More than 2  Hours")</f>
        <v>10 - 30 Mins</v>
      </c>
      <c r="L942">
        <f>ROUND(Calls[[#This Row],[Satisfaction Rating]],0)</f>
        <v>5</v>
      </c>
    </row>
    <row r="943" spans="2:12" x14ac:dyDescent="0.3">
      <c r="B943" s="22" t="s">
        <v>965</v>
      </c>
      <c r="C943" s="4" t="s">
        <v>8</v>
      </c>
      <c r="D943" s="4">
        <v>104</v>
      </c>
      <c r="E943" s="5" t="s">
        <v>13</v>
      </c>
      <c r="F943" s="9">
        <v>45256</v>
      </c>
      <c r="G943" s="4">
        <v>41</v>
      </c>
      <c r="H943" s="23">
        <v>4.7</v>
      </c>
      <c r="I943">
        <f>IF(MONTH(Calls[[#This Row],[Date of Call]])&lt;6,YEAR(Calls[[#This Row],[Date of Call]]),YEAR(Calls[[#This Row],[Date of Call]])+1)</f>
        <v>2024</v>
      </c>
      <c r="J943" t="str">
        <f>TEXT(Calls[[#This Row],[Date of Call]],"DDDD")</f>
        <v>Sunday</v>
      </c>
      <c r="K943" t="str" cm="1">
        <f t="array" ref="K943">_xlfn.IFS(Calls[[#This Row],[Duration]]&lt;10,"Under 10 Mins",Calls[[#This Row],[Duration]]&lt;=30,"10 - 30 Mins",Calls[[#This Row],[Duration]]&lt;=60,"30 - 60 Mins",Calls[[#This Row],[Duration]]&lt;=120,"1 - 2 Hours",TRUE,"More than 2  Hours")</f>
        <v>1 - 2 Hours</v>
      </c>
      <c r="L943">
        <f>ROUND(Calls[[#This Row],[Satisfaction Rating]],0)</f>
        <v>5</v>
      </c>
    </row>
    <row r="944" spans="2:12" x14ac:dyDescent="0.3">
      <c r="B944" s="22" t="s">
        <v>966</v>
      </c>
      <c r="C944" s="4" t="s">
        <v>19</v>
      </c>
      <c r="D944" s="4">
        <v>96</v>
      </c>
      <c r="E944" s="5" t="s">
        <v>11</v>
      </c>
      <c r="F944" s="9">
        <v>45256</v>
      </c>
      <c r="G944" s="4">
        <v>136</v>
      </c>
      <c r="H944" s="23">
        <v>5</v>
      </c>
      <c r="I944">
        <f>IF(MONTH(Calls[[#This Row],[Date of Call]])&lt;6,YEAR(Calls[[#This Row],[Date of Call]]),YEAR(Calls[[#This Row],[Date of Call]])+1)</f>
        <v>2024</v>
      </c>
      <c r="J944" t="str">
        <f>TEXT(Calls[[#This Row],[Date of Call]],"DDDD")</f>
        <v>Sunday</v>
      </c>
      <c r="K944" t="str" cm="1">
        <f t="array" ref="K944">_xlfn.IFS(Calls[[#This Row],[Duration]]&lt;10,"Under 10 Mins",Calls[[#This Row],[Duration]]&lt;=30,"10 - 30 Mins",Calls[[#This Row],[Duration]]&lt;=60,"30 - 60 Mins",Calls[[#This Row],[Duration]]&lt;=120,"1 - 2 Hours",TRUE,"More than 2  Hours")</f>
        <v>1 - 2 Hours</v>
      </c>
      <c r="L944">
        <f>ROUND(Calls[[#This Row],[Satisfaction Rating]],0)</f>
        <v>5</v>
      </c>
    </row>
    <row r="945" spans="2:12" x14ac:dyDescent="0.3">
      <c r="B945" s="22" t="s">
        <v>967</v>
      </c>
      <c r="C945" s="4" t="s">
        <v>22</v>
      </c>
      <c r="D945" s="4">
        <v>83</v>
      </c>
      <c r="E945" s="5" t="s">
        <v>9</v>
      </c>
      <c r="F945" s="9">
        <v>45257</v>
      </c>
      <c r="G945" s="4">
        <v>126</v>
      </c>
      <c r="H945" s="23">
        <v>1.5</v>
      </c>
      <c r="I945">
        <f>IF(MONTH(Calls[[#This Row],[Date of Call]])&lt;6,YEAR(Calls[[#This Row],[Date of Call]]),YEAR(Calls[[#This Row],[Date of Call]])+1)</f>
        <v>2024</v>
      </c>
      <c r="J945" t="str">
        <f>TEXT(Calls[[#This Row],[Date of Call]],"DDDD")</f>
        <v>Monday</v>
      </c>
      <c r="K945" t="str" cm="1">
        <f t="array" ref="K945">_xlfn.IFS(Calls[[#This Row],[Duration]]&lt;10,"Under 10 Mins",Calls[[#This Row],[Duration]]&lt;=30,"10 - 30 Mins",Calls[[#This Row],[Duration]]&lt;=60,"30 - 60 Mins",Calls[[#This Row],[Duration]]&lt;=120,"1 - 2 Hours",TRUE,"More than 2  Hours")</f>
        <v>1 - 2 Hours</v>
      </c>
      <c r="L945">
        <f>ROUND(Calls[[#This Row],[Satisfaction Rating]],0)</f>
        <v>2</v>
      </c>
    </row>
    <row r="946" spans="2:12" x14ac:dyDescent="0.3">
      <c r="B946" s="22" t="s">
        <v>968</v>
      </c>
      <c r="C946" s="4" t="s">
        <v>23</v>
      </c>
      <c r="D946" s="4">
        <v>80</v>
      </c>
      <c r="E946" s="5" t="s">
        <v>10</v>
      </c>
      <c r="F946" s="9">
        <v>45258</v>
      </c>
      <c r="G946" s="4">
        <v>148</v>
      </c>
      <c r="H946" s="23">
        <v>4.0999999999999996</v>
      </c>
      <c r="I946">
        <f>IF(MONTH(Calls[[#This Row],[Date of Call]])&lt;6,YEAR(Calls[[#This Row],[Date of Call]]),YEAR(Calls[[#This Row],[Date of Call]])+1)</f>
        <v>2024</v>
      </c>
      <c r="J946" t="str">
        <f>TEXT(Calls[[#This Row],[Date of Call]],"DDDD")</f>
        <v>Tuesday</v>
      </c>
      <c r="K946" t="str" cm="1">
        <f t="array" ref="K946">_xlfn.IFS(Calls[[#This Row],[Duration]]&lt;10,"Under 10 Mins",Calls[[#This Row],[Duration]]&lt;=30,"10 - 30 Mins",Calls[[#This Row],[Duration]]&lt;=60,"30 - 60 Mins",Calls[[#This Row],[Duration]]&lt;=120,"1 - 2 Hours",TRUE,"More than 2  Hours")</f>
        <v>1 - 2 Hours</v>
      </c>
      <c r="L946">
        <f>ROUND(Calls[[#This Row],[Satisfaction Rating]],0)</f>
        <v>4</v>
      </c>
    </row>
    <row r="947" spans="2:12" x14ac:dyDescent="0.3">
      <c r="B947" s="22" t="s">
        <v>969</v>
      </c>
      <c r="C947" s="4" t="s">
        <v>22</v>
      </c>
      <c r="D947" s="4">
        <v>152</v>
      </c>
      <c r="E947" s="5" t="s">
        <v>9</v>
      </c>
      <c r="F947" s="9">
        <v>45258</v>
      </c>
      <c r="G947" s="4">
        <v>125</v>
      </c>
      <c r="H947" s="23">
        <v>3.9</v>
      </c>
      <c r="I947">
        <f>IF(MONTH(Calls[[#This Row],[Date of Call]])&lt;6,YEAR(Calls[[#This Row],[Date of Call]]),YEAR(Calls[[#This Row],[Date of Call]])+1)</f>
        <v>2024</v>
      </c>
      <c r="J947" t="str">
        <f>TEXT(Calls[[#This Row],[Date of Call]],"DDDD")</f>
        <v>Tuesday</v>
      </c>
      <c r="K947" t="str" cm="1">
        <f t="array" ref="K947">_xlfn.IFS(Calls[[#This Row],[Duration]]&lt;10,"Under 10 Mins",Calls[[#This Row],[Duration]]&lt;=30,"10 - 30 Mins",Calls[[#This Row],[Duration]]&lt;=60,"30 - 60 Mins",Calls[[#This Row],[Duration]]&lt;=120,"1 - 2 Hours",TRUE,"More than 2  Hours")</f>
        <v>More than 2  Hours</v>
      </c>
      <c r="L947">
        <f>ROUND(Calls[[#This Row],[Satisfaction Rating]],0)</f>
        <v>4</v>
      </c>
    </row>
    <row r="948" spans="2:12" x14ac:dyDescent="0.3">
      <c r="B948" s="22" t="s">
        <v>970</v>
      </c>
      <c r="C948" s="4" t="s">
        <v>18</v>
      </c>
      <c r="D948" s="4">
        <v>34</v>
      </c>
      <c r="E948" s="5" t="s">
        <v>11</v>
      </c>
      <c r="F948" s="9">
        <v>45258</v>
      </c>
      <c r="G948" s="4">
        <v>25</v>
      </c>
      <c r="H948" s="23">
        <v>4.0999999999999996</v>
      </c>
      <c r="I948">
        <f>IF(MONTH(Calls[[#This Row],[Date of Call]])&lt;6,YEAR(Calls[[#This Row],[Date of Call]]),YEAR(Calls[[#This Row],[Date of Call]])+1)</f>
        <v>2024</v>
      </c>
      <c r="J948" t="str">
        <f>TEXT(Calls[[#This Row],[Date of Call]],"DDDD")</f>
        <v>Tuesday</v>
      </c>
      <c r="K948" t="str" cm="1">
        <f t="array" ref="K948">_xlfn.IFS(Calls[[#This Row],[Duration]]&lt;10,"Under 10 Mins",Calls[[#This Row],[Duration]]&lt;=30,"10 - 30 Mins",Calls[[#This Row],[Duration]]&lt;=60,"30 - 60 Mins",Calls[[#This Row],[Duration]]&lt;=120,"1 - 2 Hours",TRUE,"More than 2  Hours")</f>
        <v>30 - 60 Mins</v>
      </c>
      <c r="L948">
        <f>ROUND(Calls[[#This Row],[Satisfaction Rating]],0)</f>
        <v>4</v>
      </c>
    </row>
    <row r="949" spans="2:12" x14ac:dyDescent="0.3">
      <c r="B949" s="22" t="s">
        <v>971</v>
      </c>
      <c r="C949" s="4" t="s">
        <v>14</v>
      </c>
      <c r="D949" s="4">
        <v>2</v>
      </c>
      <c r="E949" s="5" t="s">
        <v>6</v>
      </c>
      <c r="F949" s="9">
        <v>45259</v>
      </c>
      <c r="G949" s="4">
        <v>62</v>
      </c>
      <c r="H949" s="23">
        <v>2.8</v>
      </c>
      <c r="I949">
        <f>IF(MONTH(Calls[[#This Row],[Date of Call]])&lt;6,YEAR(Calls[[#This Row],[Date of Call]]),YEAR(Calls[[#This Row],[Date of Call]])+1)</f>
        <v>2024</v>
      </c>
      <c r="J949" t="str">
        <f>TEXT(Calls[[#This Row],[Date of Call]],"DDDD")</f>
        <v>Wednesday</v>
      </c>
      <c r="K949" t="str" cm="1">
        <f t="array" ref="K949">_xlfn.IFS(Calls[[#This Row],[Duration]]&lt;10,"Under 10 Mins",Calls[[#This Row],[Duration]]&lt;=30,"10 - 30 Mins",Calls[[#This Row],[Duration]]&lt;=60,"30 - 60 Mins",Calls[[#This Row],[Duration]]&lt;=120,"1 - 2 Hours",TRUE,"More than 2  Hours")</f>
        <v>Under 10 Mins</v>
      </c>
      <c r="L949">
        <f>ROUND(Calls[[#This Row],[Satisfaction Rating]],0)</f>
        <v>3</v>
      </c>
    </row>
    <row r="950" spans="2:12" x14ac:dyDescent="0.3">
      <c r="B950" s="22" t="s">
        <v>972</v>
      </c>
      <c r="C950" s="4" t="s">
        <v>23</v>
      </c>
      <c r="D950" s="4">
        <v>140</v>
      </c>
      <c r="E950" s="5" t="s">
        <v>11</v>
      </c>
      <c r="F950" s="9">
        <v>45260</v>
      </c>
      <c r="G950" s="4">
        <v>90</v>
      </c>
      <c r="H950" s="23">
        <v>4.5999999999999996</v>
      </c>
      <c r="I950">
        <f>IF(MONTH(Calls[[#This Row],[Date of Call]])&lt;6,YEAR(Calls[[#This Row],[Date of Call]]),YEAR(Calls[[#This Row],[Date of Call]])+1)</f>
        <v>2024</v>
      </c>
      <c r="J950" t="str">
        <f>TEXT(Calls[[#This Row],[Date of Call]],"DDDD")</f>
        <v>Thursday</v>
      </c>
      <c r="K950" t="str" cm="1">
        <f t="array" ref="K950">_xlfn.IFS(Calls[[#This Row],[Duration]]&lt;10,"Under 10 Mins",Calls[[#This Row],[Duration]]&lt;=30,"10 - 30 Mins",Calls[[#This Row],[Duration]]&lt;=60,"30 - 60 Mins",Calls[[#This Row],[Duration]]&lt;=120,"1 - 2 Hours",TRUE,"More than 2  Hours")</f>
        <v>More than 2  Hours</v>
      </c>
      <c r="L950">
        <f>ROUND(Calls[[#This Row],[Satisfaction Rating]],0)</f>
        <v>5</v>
      </c>
    </row>
    <row r="951" spans="2:12" x14ac:dyDescent="0.3">
      <c r="B951" s="22" t="s">
        <v>973</v>
      </c>
      <c r="C951" s="4" t="s">
        <v>12</v>
      </c>
      <c r="D951" s="4">
        <v>126</v>
      </c>
      <c r="E951" s="5" t="s">
        <v>13</v>
      </c>
      <c r="F951" s="9">
        <v>45261</v>
      </c>
      <c r="G951" s="4">
        <v>33</v>
      </c>
      <c r="H951" s="23">
        <v>4.8</v>
      </c>
      <c r="I951">
        <f>IF(MONTH(Calls[[#This Row],[Date of Call]])&lt;6,YEAR(Calls[[#This Row],[Date of Call]]),YEAR(Calls[[#This Row],[Date of Call]])+1)</f>
        <v>2024</v>
      </c>
      <c r="J951" t="str">
        <f>TEXT(Calls[[#This Row],[Date of Call]],"DDDD")</f>
        <v>Friday</v>
      </c>
      <c r="K951" t="str" cm="1">
        <f t="array" ref="K951">_xlfn.IFS(Calls[[#This Row],[Duration]]&lt;10,"Under 10 Mins",Calls[[#This Row],[Duration]]&lt;=30,"10 - 30 Mins",Calls[[#This Row],[Duration]]&lt;=60,"30 - 60 Mins",Calls[[#This Row],[Duration]]&lt;=120,"1 - 2 Hours",TRUE,"More than 2  Hours")</f>
        <v>More than 2  Hours</v>
      </c>
      <c r="L951">
        <f>ROUND(Calls[[#This Row],[Satisfaction Rating]],0)</f>
        <v>5</v>
      </c>
    </row>
    <row r="952" spans="2:12" x14ac:dyDescent="0.3">
      <c r="B952" s="22" t="s">
        <v>974</v>
      </c>
      <c r="C952" s="4" t="s">
        <v>21</v>
      </c>
      <c r="D952" s="4">
        <v>79</v>
      </c>
      <c r="E952" s="5" t="s">
        <v>6</v>
      </c>
      <c r="F952" s="9">
        <v>45261</v>
      </c>
      <c r="G952" s="4">
        <v>115</v>
      </c>
      <c r="H952" s="23">
        <v>2.2999999999999998</v>
      </c>
      <c r="I952">
        <f>IF(MONTH(Calls[[#This Row],[Date of Call]])&lt;6,YEAR(Calls[[#This Row],[Date of Call]]),YEAR(Calls[[#This Row],[Date of Call]])+1)</f>
        <v>2024</v>
      </c>
      <c r="J952" t="str">
        <f>TEXT(Calls[[#This Row],[Date of Call]],"DDDD")</f>
        <v>Friday</v>
      </c>
      <c r="K952" t="str" cm="1">
        <f t="array" ref="K952">_xlfn.IFS(Calls[[#This Row],[Duration]]&lt;10,"Under 10 Mins",Calls[[#This Row],[Duration]]&lt;=30,"10 - 30 Mins",Calls[[#This Row],[Duration]]&lt;=60,"30 - 60 Mins",Calls[[#This Row],[Duration]]&lt;=120,"1 - 2 Hours",TRUE,"More than 2  Hours")</f>
        <v>1 - 2 Hours</v>
      </c>
      <c r="L952">
        <f>ROUND(Calls[[#This Row],[Satisfaction Rating]],0)</f>
        <v>2</v>
      </c>
    </row>
    <row r="953" spans="2:12" x14ac:dyDescent="0.3">
      <c r="B953" s="22" t="s">
        <v>975</v>
      </c>
      <c r="C953" s="4" t="s">
        <v>12</v>
      </c>
      <c r="D953" s="4">
        <v>133</v>
      </c>
      <c r="E953" s="5" t="s">
        <v>13</v>
      </c>
      <c r="F953" s="9">
        <v>45261</v>
      </c>
      <c r="G953" s="4">
        <v>45</v>
      </c>
      <c r="H953" s="23">
        <v>2.6</v>
      </c>
      <c r="I953">
        <f>IF(MONTH(Calls[[#This Row],[Date of Call]])&lt;6,YEAR(Calls[[#This Row],[Date of Call]]),YEAR(Calls[[#This Row],[Date of Call]])+1)</f>
        <v>2024</v>
      </c>
      <c r="J953" t="str">
        <f>TEXT(Calls[[#This Row],[Date of Call]],"DDDD")</f>
        <v>Friday</v>
      </c>
      <c r="K953" t="str" cm="1">
        <f t="array" ref="K953">_xlfn.IFS(Calls[[#This Row],[Duration]]&lt;10,"Under 10 Mins",Calls[[#This Row],[Duration]]&lt;=30,"10 - 30 Mins",Calls[[#This Row],[Duration]]&lt;=60,"30 - 60 Mins",Calls[[#This Row],[Duration]]&lt;=120,"1 - 2 Hours",TRUE,"More than 2  Hours")</f>
        <v>More than 2  Hours</v>
      </c>
      <c r="L953">
        <f>ROUND(Calls[[#This Row],[Satisfaction Rating]],0)</f>
        <v>3</v>
      </c>
    </row>
    <row r="954" spans="2:12" x14ac:dyDescent="0.3">
      <c r="B954" s="22" t="s">
        <v>976</v>
      </c>
      <c r="C954" s="4" t="s">
        <v>18</v>
      </c>
      <c r="D954" s="4">
        <v>97</v>
      </c>
      <c r="E954" s="5" t="s">
        <v>10</v>
      </c>
      <c r="F954" s="9">
        <v>45261</v>
      </c>
      <c r="G954" s="4">
        <v>114</v>
      </c>
      <c r="H954" s="23">
        <v>4.8</v>
      </c>
      <c r="I954">
        <f>IF(MONTH(Calls[[#This Row],[Date of Call]])&lt;6,YEAR(Calls[[#This Row],[Date of Call]]),YEAR(Calls[[#This Row],[Date of Call]])+1)</f>
        <v>2024</v>
      </c>
      <c r="J954" t="str">
        <f>TEXT(Calls[[#This Row],[Date of Call]],"DDDD")</f>
        <v>Friday</v>
      </c>
      <c r="K954" t="str" cm="1">
        <f t="array" ref="K954">_xlfn.IFS(Calls[[#This Row],[Duration]]&lt;10,"Under 10 Mins",Calls[[#This Row],[Duration]]&lt;=30,"10 - 30 Mins",Calls[[#This Row],[Duration]]&lt;=60,"30 - 60 Mins",Calls[[#This Row],[Duration]]&lt;=120,"1 - 2 Hours",TRUE,"More than 2  Hours")</f>
        <v>1 - 2 Hours</v>
      </c>
      <c r="L954">
        <f>ROUND(Calls[[#This Row],[Satisfaction Rating]],0)</f>
        <v>5</v>
      </c>
    </row>
    <row r="955" spans="2:12" x14ac:dyDescent="0.3">
      <c r="B955" s="22" t="s">
        <v>977</v>
      </c>
      <c r="C955" s="4" t="s">
        <v>21</v>
      </c>
      <c r="D955" s="4">
        <v>102</v>
      </c>
      <c r="E955" s="5" t="s">
        <v>9</v>
      </c>
      <c r="F955" s="9">
        <v>45262</v>
      </c>
      <c r="G955" s="4">
        <v>72</v>
      </c>
      <c r="H955" s="23">
        <v>3.7</v>
      </c>
      <c r="I955">
        <f>IF(MONTH(Calls[[#This Row],[Date of Call]])&lt;6,YEAR(Calls[[#This Row],[Date of Call]]),YEAR(Calls[[#This Row],[Date of Call]])+1)</f>
        <v>2024</v>
      </c>
      <c r="J955" t="str">
        <f>TEXT(Calls[[#This Row],[Date of Call]],"DDDD")</f>
        <v>Saturday</v>
      </c>
      <c r="K955" t="str" cm="1">
        <f t="array" ref="K955">_xlfn.IFS(Calls[[#This Row],[Duration]]&lt;10,"Under 10 Mins",Calls[[#This Row],[Duration]]&lt;=30,"10 - 30 Mins",Calls[[#This Row],[Duration]]&lt;=60,"30 - 60 Mins",Calls[[#This Row],[Duration]]&lt;=120,"1 - 2 Hours",TRUE,"More than 2  Hours")</f>
        <v>1 - 2 Hours</v>
      </c>
      <c r="L955">
        <f>ROUND(Calls[[#This Row],[Satisfaction Rating]],0)</f>
        <v>4</v>
      </c>
    </row>
    <row r="956" spans="2:12" x14ac:dyDescent="0.3">
      <c r="B956" s="22" t="s">
        <v>978</v>
      </c>
      <c r="C956" s="4" t="s">
        <v>7</v>
      </c>
      <c r="D956" s="4">
        <v>62</v>
      </c>
      <c r="E956" s="5" t="s">
        <v>10</v>
      </c>
      <c r="F956" s="9">
        <v>45262</v>
      </c>
      <c r="G956" s="4">
        <v>205</v>
      </c>
      <c r="H956" s="23">
        <v>4.2</v>
      </c>
      <c r="I956">
        <f>IF(MONTH(Calls[[#This Row],[Date of Call]])&lt;6,YEAR(Calls[[#This Row],[Date of Call]]),YEAR(Calls[[#This Row],[Date of Call]])+1)</f>
        <v>2024</v>
      </c>
      <c r="J956" t="str">
        <f>TEXT(Calls[[#This Row],[Date of Call]],"DDDD")</f>
        <v>Saturday</v>
      </c>
      <c r="K956" t="str" cm="1">
        <f t="array" ref="K956">_xlfn.IFS(Calls[[#This Row],[Duration]]&lt;10,"Under 10 Mins",Calls[[#This Row],[Duration]]&lt;=30,"10 - 30 Mins",Calls[[#This Row],[Duration]]&lt;=60,"30 - 60 Mins",Calls[[#This Row],[Duration]]&lt;=120,"1 - 2 Hours",TRUE,"More than 2  Hours")</f>
        <v>1 - 2 Hours</v>
      </c>
      <c r="L956">
        <f>ROUND(Calls[[#This Row],[Satisfaction Rating]],0)</f>
        <v>4</v>
      </c>
    </row>
    <row r="957" spans="2:12" x14ac:dyDescent="0.3">
      <c r="B957" s="22" t="s">
        <v>979</v>
      </c>
      <c r="C957" s="4" t="s">
        <v>12</v>
      </c>
      <c r="D957" s="4">
        <v>149</v>
      </c>
      <c r="E957" s="5" t="s">
        <v>9</v>
      </c>
      <c r="F957" s="9">
        <v>45263</v>
      </c>
      <c r="G957" s="4">
        <v>42</v>
      </c>
      <c r="H957" s="23">
        <v>3.3</v>
      </c>
      <c r="I957">
        <f>IF(MONTH(Calls[[#This Row],[Date of Call]])&lt;6,YEAR(Calls[[#This Row],[Date of Call]]),YEAR(Calls[[#This Row],[Date of Call]])+1)</f>
        <v>2024</v>
      </c>
      <c r="J957" t="str">
        <f>TEXT(Calls[[#This Row],[Date of Call]],"DDDD")</f>
        <v>Sunday</v>
      </c>
      <c r="K957" t="str" cm="1">
        <f t="array" ref="K957">_xlfn.IFS(Calls[[#This Row],[Duration]]&lt;10,"Under 10 Mins",Calls[[#This Row],[Duration]]&lt;=30,"10 - 30 Mins",Calls[[#This Row],[Duration]]&lt;=60,"30 - 60 Mins",Calls[[#This Row],[Duration]]&lt;=120,"1 - 2 Hours",TRUE,"More than 2  Hours")</f>
        <v>More than 2  Hours</v>
      </c>
      <c r="L957">
        <f>ROUND(Calls[[#This Row],[Satisfaction Rating]],0)</f>
        <v>3</v>
      </c>
    </row>
    <row r="958" spans="2:12" x14ac:dyDescent="0.3">
      <c r="B958" s="22" t="s">
        <v>980</v>
      </c>
      <c r="C958" s="4" t="s">
        <v>14</v>
      </c>
      <c r="D958" s="4">
        <v>133</v>
      </c>
      <c r="E958" s="5" t="s">
        <v>10</v>
      </c>
      <c r="F958" s="9">
        <v>45263</v>
      </c>
      <c r="G958" s="4">
        <v>96</v>
      </c>
      <c r="H958" s="23">
        <v>4.3</v>
      </c>
      <c r="I958">
        <f>IF(MONTH(Calls[[#This Row],[Date of Call]])&lt;6,YEAR(Calls[[#This Row],[Date of Call]]),YEAR(Calls[[#This Row],[Date of Call]])+1)</f>
        <v>2024</v>
      </c>
      <c r="J958" t="str">
        <f>TEXT(Calls[[#This Row],[Date of Call]],"DDDD")</f>
        <v>Sunday</v>
      </c>
      <c r="K958" t="str" cm="1">
        <f t="array" ref="K958">_xlfn.IFS(Calls[[#This Row],[Duration]]&lt;10,"Under 10 Mins",Calls[[#This Row],[Duration]]&lt;=30,"10 - 30 Mins",Calls[[#This Row],[Duration]]&lt;=60,"30 - 60 Mins",Calls[[#This Row],[Duration]]&lt;=120,"1 - 2 Hours",TRUE,"More than 2  Hours")</f>
        <v>More than 2  Hours</v>
      </c>
      <c r="L958">
        <f>ROUND(Calls[[#This Row],[Satisfaction Rating]],0)</f>
        <v>4</v>
      </c>
    </row>
    <row r="959" spans="2:12" x14ac:dyDescent="0.3">
      <c r="B959" s="22" t="s">
        <v>981</v>
      </c>
      <c r="C959" s="4" t="s">
        <v>21</v>
      </c>
      <c r="D959" s="4">
        <v>51</v>
      </c>
      <c r="E959" s="5" t="s">
        <v>6</v>
      </c>
      <c r="F959" s="9">
        <v>45263</v>
      </c>
      <c r="G959" s="4">
        <v>64</v>
      </c>
      <c r="H959" s="23">
        <v>3.7</v>
      </c>
      <c r="I959">
        <f>IF(MONTH(Calls[[#This Row],[Date of Call]])&lt;6,YEAR(Calls[[#This Row],[Date of Call]]),YEAR(Calls[[#This Row],[Date of Call]])+1)</f>
        <v>2024</v>
      </c>
      <c r="J959" t="str">
        <f>TEXT(Calls[[#This Row],[Date of Call]],"DDDD")</f>
        <v>Sunday</v>
      </c>
      <c r="K959" t="str" cm="1">
        <f t="array" ref="K959">_xlfn.IFS(Calls[[#This Row],[Duration]]&lt;10,"Under 10 Mins",Calls[[#This Row],[Duration]]&lt;=30,"10 - 30 Mins",Calls[[#This Row],[Duration]]&lt;=60,"30 - 60 Mins",Calls[[#This Row],[Duration]]&lt;=120,"1 - 2 Hours",TRUE,"More than 2  Hours")</f>
        <v>30 - 60 Mins</v>
      </c>
      <c r="L959">
        <f>ROUND(Calls[[#This Row],[Satisfaction Rating]],0)</f>
        <v>4</v>
      </c>
    </row>
    <row r="960" spans="2:12" x14ac:dyDescent="0.3">
      <c r="B960" s="22" t="s">
        <v>982</v>
      </c>
      <c r="C960" s="4" t="s">
        <v>7</v>
      </c>
      <c r="D960" s="4">
        <v>110</v>
      </c>
      <c r="E960" s="5" t="s">
        <v>10</v>
      </c>
      <c r="F960" s="9">
        <v>45264</v>
      </c>
      <c r="G960" s="4">
        <v>72</v>
      </c>
      <c r="H960" s="23">
        <v>3.7</v>
      </c>
      <c r="I960">
        <f>IF(MONTH(Calls[[#This Row],[Date of Call]])&lt;6,YEAR(Calls[[#This Row],[Date of Call]]),YEAR(Calls[[#This Row],[Date of Call]])+1)</f>
        <v>2024</v>
      </c>
      <c r="J960" t="str">
        <f>TEXT(Calls[[#This Row],[Date of Call]],"DDDD")</f>
        <v>Monday</v>
      </c>
      <c r="K960" t="str" cm="1">
        <f t="array" ref="K960">_xlfn.IFS(Calls[[#This Row],[Duration]]&lt;10,"Under 10 Mins",Calls[[#This Row],[Duration]]&lt;=30,"10 - 30 Mins",Calls[[#This Row],[Duration]]&lt;=60,"30 - 60 Mins",Calls[[#This Row],[Duration]]&lt;=120,"1 - 2 Hours",TRUE,"More than 2  Hours")</f>
        <v>1 - 2 Hours</v>
      </c>
      <c r="L960">
        <f>ROUND(Calls[[#This Row],[Satisfaction Rating]],0)</f>
        <v>4</v>
      </c>
    </row>
    <row r="961" spans="2:12" x14ac:dyDescent="0.3">
      <c r="B961" s="22" t="s">
        <v>983</v>
      </c>
      <c r="C961" s="4" t="s">
        <v>18</v>
      </c>
      <c r="D961" s="4">
        <v>38</v>
      </c>
      <c r="E961" s="5" t="s">
        <v>13</v>
      </c>
      <c r="F961" s="9">
        <v>45265</v>
      </c>
      <c r="G961" s="4">
        <v>27</v>
      </c>
      <c r="H961" s="23">
        <v>3.1</v>
      </c>
      <c r="I961">
        <f>IF(MONTH(Calls[[#This Row],[Date of Call]])&lt;6,YEAR(Calls[[#This Row],[Date of Call]]),YEAR(Calls[[#This Row],[Date of Call]])+1)</f>
        <v>2024</v>
      </c>
      <c r="J961" t="str">
        <f>TEXT(Calls[[#This Row],[Date of Call]],"DDDD")</f>
        <v>Tuesday</v>
      </c>
      <c r="K961" t="str" cm="1">
        <f t="array" ref="K961">_xlfn.IFS(Calls[[#This Row],[Duration]]&lt;10,"Under 10 Mins",Calls[[#This Row],[Duration]]&lt;=30,"10 - 30 Mins",Calls[[#This Row],[Duration]]&lt;=60,"30 - 60 Mins",Calls[[#This Row],[Duration]]&lt;=120,"1 - 2 Hours",TRUE,"More than 2  Hours")</f>
        <v>30 - 60 Mins</v>
      </c>
      <c r="L961">
        <f>ROUND(Calls[[#This Row],[Satisfaction Rating]],0)</f>
        <v>3</v>
      </c>
    </row>
    <row r="962" spans="2:12" x14ac:dyDescent="0.3">
      <c r="B962" s="22" t="s">
        <v>984</v>
      </c>
      <c r="C962" s="4" t="s">
        <v>14</v>
      </c>
      <c r="D962" s="4">
        <v>78</v>
      </c>
      <c r="E962" s="5" t="s">
        <v>13</v>
      </c>
      <c r="F962" s="9">
        <v>45267</v>
      </c>
      <c r="G962" s="4">
        <v>200</v>
      </c>
      <c r="H962" s="23">
        <v>2.4</v>
      </c>
      <c r="I962">
        <f>IF(MONTH(Calls[[#This Row],[Date of Call]])&lt;6,YEAR(Calls[[#This Row],[Date of Call]]),YEAR(Calls[[#This Row],[Date of Call]])+1)</f>
        <v>2024</v>
      </c>
      <c r="J962" t="str">
        <f>TEXT(Calls[[#This Row],[Date of Call]],"DDDD")</f>
        <v>Thursday</v>
      </c>
      <c r="K962" t="str" cm="1">
        <f t="array" ref="K962">_xlfn.IFS(Calls[[#This Row],[Duration]]&lt;10,"Under 10 Mins",Calls[[#This Row],[Duration]]&lt;=30,"10 - 30 Mins",Calls[[#This Row],[Duration]]&lt;=60,"30 - 60 Mins",Calls[[#This Row],[Duration]]&lt;=120,"1 - 2 Hours",TRUE,"More than 2  Hours")</f>
        <v>1 - 2 Hours</v>
      </c>
      <c r="L962">
        <f>ROUND(Calls[[#This Row],[Satisfaction Rating]],0)</f>
        <v>2</v>
      </c>
    </row>
    <row r="963" spans="2:12" x14ac:dyDescent="0.3">
      <c r="B963" s="22" t="s">
        <v>985</v>
      </c>
      <c r="C963" s="4" t="s">
        <v>18</v>
      </c>
      <c r="D963" s="4">
        <v>25</v>
      </c>
      <c r="E963" s="5" t="s">
        <v>9</v>
      </c>
      <c r="F963" s="9">
        <v>45268</v>
      </c>
      <c r="G963" s="4">
        <v>93</v>
      </c>
      <c r="H963" s="23">
        <v>3.5</v>
      </c>
      <c r="I963">
        <f>IF(MONTH(Calls[[#This Row],[Date of Call]])&lt;6,YEAR(Calls[[#This Row],[Date of Call]]),YEAR(Calls[[#This Row],[Date of Call]])+1)</f>
        <v>2024</v>
      </c>
      <c r="J963" t="str">
        <f>TEXT(Calls[[#This Row],[Date of Call]],"DDDD")</f>
        <v>Friday</v>
      </c>
      <c r="K963" t="str" cm="1">
        <f t="array" ref="K963">_xlfn.IFS(Calls[[#This Row],[Duration]]&lt;10,"Under 10 Mins",Calls[[#This Row],[Duration]]&lt;=30,"10 - 30 Mins",Calls[[#This Row],[Duration]]&lt;=60,"30 - 60 Mins",Calls[[#This Row],[Duration]]&lt;=120,"1 - 2 Hours",TRUE,"More than 2  Hours")</f>
        <v>10 - 30 Mins</v>
      </c>
      <c r="L963">
        <f>ROUND(Calls[[#This Row],[Satisfaction Rating]],0)</f>
        <v>4</v>
      </c>
    </row>
    <row r="964" spans="2:12" x14ac:dyDescent="0.3">
      <c r="B964" s="22" t="s">
        <v>986</v>
      </c>
      <c r="C964" s="4" t="s">
        <v>16</v>
      </c>
      <c r="D964" s="4">
        <v>50</v>
      </c>
      <c r="E964" s="5" t="s">
        <v>6</v>
      </c>
      <c r="F964" s="9">
        <v>45268</v>
      </c>
      <c r="G964" s="4">
        <v>54</v>
      </c>
      <c r="H964" s="23">
        <v>4.3</v>
      </c>
      <c r="I964">
        <f>IF(MONTH(Calls[[#This Row],[Date of Call]])&lt;6,YEAR(Calls[[#This Row],[Date of Call]]),YEAR(Calls[[#This Row],[Date of Call]])+1)</f>
        <v>2024</v>
      </c>
      <c r="J964" t="str">
        <f>TEXT(Calls[[#This Row],[Date of Call]],"DDDD")</f>
        <v>Friday</v>
      </c>
      <c r="K964" t="str" cm="1">
        <f t="array" ref="K964">_xlfn.IFS(Calls[[#This Row],[Duration]]&lt;10,"Under 10 Mins",Calls[[#This Row],[Duration]]&lt;=30,"10 - 30 Mins",Calls[[#This Row],[Duration]]&lt;=60,"30 - 60 Mins",Calls[[#This Row],[Duration]]&lt;=120,"1 - 2 Hours",TRUE,"More than 2  Hours")</f>
        <v>30 - 60 Mins</v>
      </c>
      <c r="L964">
        <f>ROUND(Calls[[#This Row],[Satisfaction Rating]],0)</f>
        <v>4</v>
      </c>
    </row>
    <row r="965" spans="2:12" x14ac:dyDescent="0.3">
      <c r="B965" s="22" t="s">
        <v>987</v>
      </c>
      <c r="C965" s="4" t="s">
        <v>18</v>
      </c>
      <c r="D965" s="4">
        <v>103</v>
      </c>
      <c r="E965" s="5" t="s">
        <v>9</v>
      </c>
      <c r="F965" s="9">
        <v>45269</v>
      </c>
      <c r="G965" s="4">
        <v>72</v>
      </c>
      <c r="H965" s="23">
        <v>3.4</v>
      </c>
      <c r="I965">
        <f>IF(MONTH(Calls[[#This Row],[Date of Call]])&lt;6,YEAR(Calls[[#This Row],[Date of Call]]),YEAR(Calls[[#This Row],[Date of Call]])+1)</f>
        <v>2024</v>
      </c>
      <c r="J965" t="str">
        <f>TEXT(Calls[[#This Row],[Date of Call]],"DDDD")</f>
        <v>Saturday</v>
      </c>
      <c r="K965" t="str" cm="1">
        <f t="array" ref="K965">_xlfn.IFS(Calls[[#This Row],[Duration]]&lt;10,"Under 10 Mins",Calls[[#This Row],[Duration]]&lt;=30,"10 - 30 Mins",Calls[[#This Row],[Duration]]&lt;=60,"30 - 60 Mins",Calls[[#This Row],[Duration]]&lt;=120,"1 - 2 Hours",TRUE,"More than 2  Hours")</f>
        <v>1 - 2 Hours</v>
      </c>
      <c r="L965">
        <f>ROUND(Calls[[#This Row],[Satisfaction Rating]],0)</f>
        <v>3</v>
      </c>
    </row>
    <row r="966" spans="2:12" x14ac:dyDescent="0.3">
      <c r="B966" s="22" t="s">
        <v>988</v>
      </c>
      <c r="C966" s="4" t="s">
        <v>22</v>
      </c>
      <c r="D966" s="4">
        <v>63</v>
      </c>
      <c r="E966" s="5" t="s">
        <v>11</v>
      </c>
      <c r="F966" s="9">
        <v>45269</v>
      </c>
      <c r="G966" s="4">
        <v>82</v>
      </c>
      <c r="H966" s="23">
        <v>3.7</v>
      </c>
      <c r="I966">
        <f>IF(MONTH(Calls[[#This Row],[Date of Call]])&lt;6,YEAR(Calls[[#This Row],[Date of Call]]),YEAR(Calls[[#This Row],[Date of Call]])+1)</f>
        <v>2024</v>
      </c>
      <c r="J966" t="str">
        <f>TEXT(Calls[[#This Row],[Date of Call]],"DDDD")</f>
        <v>Saturday</v>
      </c>
      <c r="K966" t="str" cm="1">
        <f t="array" ref="K966">_xlfn.IFS(Calls[[#This Row],[Duration]]&lt;10,"Under 10 Mins",Calls[[#This Row],[Duration]]&lt;=30,"10 - 30 Mins",Calls[[#This Row],[Duration]]&lt;=60,"30 - 60 Mins",Calls[[#This Row],[Duration]]&lt;=120,"1 - 2 Hours",TRUE,"More than 2  Hours")</f>
        <v>1 - 2 Hours</v>
      </c>
      <c r="L966">
        <f>ROUND(Calls[[#This Row],[Satisfaction Rating]],0)</f>
        <v>4</v>
      </c>
    </row>
    <row r="967" spans="2:12" x14ac:dyDescent="0.3">
      <c r="B967" s="22" t="s">
        <v>989</v>
      </c>
      <c r="C967" s="4" t="s">
        <v>16</v>
      </c>
      <c r="D967" s="4">
        <v>96</v>
      </c>
      <c r="E967" s="5" t="s">
        <v>6</v>
      </c>
      <c r="F967" s="9">
        <v>45273</v>
      </c>
      <c r="G967" s="4">
        <v>164</v>
      </c>
      <c r="H967" s="23">
        <v>4.8</v>
      </c>
      <c r="I967">
        <f>IF(MONTH(Calls[[#This Row],[Date of Call]])&lt;6,YEAR(Calls[[#This Row],[Date of Call]]),YEAR(Calls[[#This Row],[Date of Call]])+1)</f>
        <v>2024</v>
      </c>
      <c r="J967" t="str">
        <f>TEXT(Calls[[#This Row],[Date of Call]],"DDDD")</f>
        <v>Wednesday</v>
      </c>
      <c r="K967" t="str" cm="1">
        <f t="array" ref="K967">_xlfn.IFS(Calls[[#This Row],[Duration]]&lt;10,"Under 10 Mins",Calls[[#This Row],[Duration]]&lt;=30,"10 - 30 Mins",Calls[[#This Row],[Duration]]&lt;=60,"30 - 60 Mins",Calls[[#This Row],[Duration]]&lt;=120,"1 - 2 Hours",TRUE,"More than 2  Hours")</f>
        <v>1 - 2 Hours</v>
      </c>
      <c r="L967">
        <f>ROUND(Calls[[#This Row],[Satisfaction Rating]],0)</f>
        <v>5</v>
      </c>
    </row>
    <row r="968" spans="2:12" x14ac:dyDescent="0.3">
      <c r="B968" s="22" t="s">
        <v>990</v>
      </c>
      <c r="C968" s="4" t="s">
        <v>23</v>
      </c>
      <c r="D968" s="4">
        <v>94</v>
      </c>
      <c r="E968" s="5" t="s">
        <v>9</v>
      </c>
      <c r="F968" s="9">
        <v>45273</v>
      </c>
      <c r="G968" s="4">
        <v>78</v>
      </c>
      <c r="H968" s="23">
        <v>3.3</v>
      </c>
      <c r="I968">
        <f>IF(MONTH(Calls[[#This Row],[Date of Call]])&lt;6,YEAR(Calls[[#This Row],[Date of Call]]),YEAR(Calls[[#This Row],[Date of Call]])+1)</f>
        <v>2024</v>
      </c>
      <c r="J968" t="str">
        <f>TEXT(Calls[[#This Row],[Date of Call]],"DDDD")</f>
        <v>Wednesday</v>
      </c>
      <c r="K968" t="str" cm="1">
        <f t="array" ref="K968">_xlfn.IFS(Calls[[#This Row],[Duration]]&lt;10,"Under 10 Mins",Calls[[#This Row],[Duration]]&lt;=30,"10 - 30 Mins",Calls[[#This Row],[Duration]]&lt;=60,"30 - 60 Mins",Calls[[#This Row],[Duration]]&lt;=120,"1 - 2 Hours",TRUE,"More than 2  Hours")</f>
        <v>1 - 2 Hours</v>
      </c>
      <c r="L968">
        <f>ROUND(Calls[[#This Row],[Satisfaction Rating]],0)</f>
        <v>3</v>
      </c>
    </row>
    <row r="969" spans="2:12" x14ac:dyDescent="0.3">
      <c r="B969" s="22" t="s">
        <v>991</v>
      </c>
      <c r="C969" s="4" t="s">
        <v>7</v>
      </c>
      <c r="D969" s="4">
        <v>46</v>
      </c>
      <c r="E969" s="5" t="s">
        <v>13</v>
      </c>
      <c r="F969" s="9">
        <v>45274</v>
      </c>
      <c r="G969" s="4">
        <v>135</v>
      </c>
      <c r="H969" s="23">
        <v>4.2</v>
      </c>
      <c r="I969">
        <f>IF(MONTH(Calls[[#This Row],[Date of Call]])&lt;6,YEAR(Calls[[#This Row],[Date of Call]]),YEAR(Calls[[#This Row],[Date of Call]])+1)</f>
        <v>2024</v>
      </c>
      <c r="J969" t="str">
        <f>TEXT(Calls[[#This Row],[Date of Call]],"DDDD")</f>
        <v>Thursday</v>
      </c>
      <c r="K969" t="str" cm="1">
        <f t="array" ref="K969">_xlfn.IFS(Calls[[#This Row],[Duration]]&lt;10,"Under 10 Mins",Calls[[#This Row],[Duration]]&lt;=30,"10 - 30 Mins",Calls[[#This Row],[Duration]]&lt;=60,"30 - 60 Mins",Calls[[#This Row],[Duration]]&lt;=120,"1 - 2 Hours",TRUE,"More than 2  Hours")</f>
        <v>30 - 60 Mins</v>
      </c>
      <c r="L969">
        <f>ROUND(Calls[[#This Row],[Satisfaction Rating]],0)</f>
        <v>4</v>
      </c>
    </row>
    <row r="970" spans="2:12" x14ac:dyDescent="0.3">
      <c r="B970" s="22" t="s">
        <v>992</v>
      </c>
      <c r="C970" s="4" t="s">
        <v>5</v>
      </c>
      <c r="D970" s="4">
        <v>127</v>
      </c>
      <c r="E970" s="5" t="s">
        <v>6</v>
      </c>
      <c r="F970" s="9">
        <v>45275</v>
      </c>
      <c r="G970" s="4">
        <v>145</v>
      </c>
      <c r="H970" s="23">
        <v>2.6</v>
      </c>
      <c r="I970">
        <f>IF(MONTH(Calls[[#This Row],[Date of Call]])&lt;6,YEAR(Calls[[#This Row],[Date of Call]]),YEAR(Calls[[#This Row],[Date of Call]])+1)</f>
        <v>2024</v>
      </c>
      <c r="J970" t="str">
        <f>TEXT(Calls[[#This Row],[Date of Call]],"DDDD")</f>
        <v>Friday</v>
      </c>
      <c r="K970" t="str" cm="1">
        <f t="array" ref="K970">_xlfn.IFS(Calls[[#This Row],[Duration]]&lt;10,"Under 10 Mins",Calls[[#This Row],[Duration]]&lt;=30,"10 - 30 Mins",Calls[[#This Row],[Duration]]&lt;=60,"30 - 60 Mins",Calls[[#This Row],[Duration]]&lt;=120,"1 - 2 Hours",TRUE,"More than 2  Hours")</f>
        <v>More than 2  Hours</v>
      </c>
      <c r="L970">
        <f>ROUND(Calls[[#This Row],[Satisfaction Rating]],0)</f>
        <v>3</v>
      </c>
    </row>
    <row r="971" spans="2:12" x14ac:dyDescent="0.3">
      <c r="B971" s="22" t="s">
        <v>993</v>
      </c>
      <c r="C971" s="4" t="s">
        <v>15</v>
      </c>
      <c r="D971" s="4">
        <v>96</v>
      </c>
      <c r="E971" s="5" t="s">
        <v>13</v>
      </c>
      <c r="F971" s="9">
        <v>45275</v>
      </c>
      <c r="G971" s="4">
        <v>115</v>
      </c>
      <c r="H971" s="23">
        <v>4.9000000000000004</v>
      </c>
      <c r="I971">
        <f>IF(MONTH(Calls[[#This Row],[Date of Call]])&lt;6,YEAR(Calls[[#This Row],[Date of Call]]),YEAR(Calls[[#This Row],[Date of Call]])+1)</f>
        <v>2024</v>
      </c>
      <c r="J971" t="str">
        <f>TEXT(Calls[[#This Row],[Date of Call]],"DDDD")</f>
        <v>Friday</v>
      </c>
      <c r="K971" t="str" cm="1">
        <f t="array" ref="K971">_xlfn.IFS(Calls[[#This Row],[Duration]]&lt;10,"Under 10 Mins",Calls[[#This Row],[Duration]]&lt;=30,"10 - 30 Mins",Calls[[#This Row],[Duration]]&lt;=60,"30 - 60 Mins",Calls[[#This Row],[Duration]]&lt;=120,"1 - 2 Hours",TRUE,"More than 2  Hours")</f>
        <v>1 - 2 Hours</v>
      </c>
      <c r="L971">
        <f>ROUND(Calls[[#This Row],[Satisfaction Rating]],0)</f>
        <v>5</v>
      </c>
    </row>
    <row r="972" spans="2:12" x14ac:dyDescent="0.3">
      <c r="B972" s="22" t="s">
        <v>1006</v>
      </c>
      <c r="C972" s="4" t="s">
        <v>17</v>
      </c>
      <c r="D972" s="4">
        <v>151</v>
      </c>
      <c r="E972" s="5" t="s">
        <v>9</v>
      </c>
      <c r="F972" s="9">
        <v>45275</v>
      </c>
      <c r="G972" s="4">
        <v>117</v>
      </c>
      <c r="H972" s="23">
        <v>2</v>
      </c>
      <c r="I972">
        <f>IF(MONTH(Calls[[#This Row],[Date of Call]])&lt;6,YEAR(Calls[[#This Row],[Date of Call]]),YEAR(Calls[[#This Row],[Date of Call]])+1)</f>
        <v>2024</v>
      </c>
      <c r="J972" t="str">
        <f>TEXT(Calls[[#This Row],[Date of Call]],"DDDD")</f>
        <v>Friday</v>
      </c>
      <c r="K972" t="str" cm="1">
        <f t="array" ref="K972">_xlfn.IFS(Calls[[#This Row],[Duration]]&lt;10,"Under 10 Mins",Calls[[#This Row],[Duration]]&lt;=30,"10 - 30 Mins",Calls[[#This Row],[Duration]]&lt;=60,"30 - 60 Mins",Calls[[#This Row],[Duration]]&lt;=120,"1 - 2 Hours",TRUE,"More than 2  Hours")</f>
        <v>More than 2  Hours</v>
      </c>
      <c r="L972">
        <f>ROUND(Calls[[#This Row],[Satisfaction Rating]],0)</f>
        <v>2</v>
      </c>
    </row>
    <row r="973" spans="2:12" x14ac:dyDescent="0.3">
      <c r="B973" s="22" t="s">
        <v>1007</v>
      </c>
      <c r="C973" s="4" t="s">
        <v>5</v>
      </c>
      <c r="D973" s="4">
        <v>158</v>
      </c>
      <c r="E973" s="5" t="s">
        <v>10</v>
      </c>
      <c r="F973" s="9">
        <v>45276</v>
      </c>
      <c r="G973" s="4">
        <v>36</v>
      </c>
      <c r="H973" s="23">
        <v>4.7</v>
      </c>
      <c r="I973">
        <f>IF(MONTH(Calls[[#This Row],[Date of Call]])&lt;6,YEAR(Calls[[#This Row],[Date of Call]]),YEAR(Calls[[#This Row],[Date of Call]])+1)</f>
        <v>2024</v>
      </c>
      <c r="J973" t="str">
        <f>TEXT(Calls[[#This Row],[Date of Call]],"DDDD")</f>
        <v>Saturday</v>
      </c>
      <c r="K973" t="str" cm="1">
        <f t="array" ref="K973">_xlfn.IFS(Calls[[#This Row],[Duration]]&lt;10,"Under 10 Mins",Calls[[#This Row],[Duration]]&lt;=30,"10 - 30 Mins",Calls[[#This Row],[Duration]]&lt;=60,"30 - 60 Mins",Calls[[#This Row],[Duration]]&lt;=120,"1 - 2 Hours",TRUE,"More than 2  Hours")</f>
        <v>More than 2  Hours</v>
      </c>
      <c r="L973">
        <f>ROUND(Calls[[#This Row],[Satisfaction Rating]],0)</f>
        <v>5</v>
      </c>
    </row>
    <row r="974" spans="2:12" x14ac:dyDescent="0.3">
      <c r="B974" s="22" t="s">
        <v>1008</v>
      </c>
      <c r="C974" s="4" t="s">
        <v>23</v>
      </c>
      <c r="D974" s="4">
        <v>45</v>
      </c>
      <c r="E974" s="5" t="s">
        <v>10</v>
      </c>
      <c r="F974" s="9">
        <v>45276</v>
      </c>
      <c r="G974" s="4">
        <v>84</v>
      </c>
      <c r="H974" s="23">
        <v>2.8</v>
      </c>
      <c r="I974">
        <f>IF(MONTH(Calls[[#This Row],[Date of Call]])&lt;6,YEAR(Calls[[#This Row],[Date of Call]]),YEAR(Calls[[#This Row],[Date of Call]])+1)</f>
        <v>2024</v>
      </c>
      <c r="J974" t="str">
        <f>TEXT(Calls[[#This Row],[Date of Call]],"DDDD")</f>
        <v>Saturday</v>
      </c>
      <c r="K974" t="str" cm="1">
        <f t="array" ref="K974">_xlfn.IFS(Calls[[#This Row],[Duration]]&lt;10,"Under 10 Mins",Calls[[#This Row],[Duration]]&lt;=30,"10 - 30 Mins",Calls[[#This Row],[Duration]]&lt;=60,"30 - 60 Mins",Calls[[#This Row],[Duration]]&lt;=120,"1 - 2 Hours",TRUE,"More than 2  Hours")</f>
        <v>30 - 60 Mins</v>
      </c>
      <c r="L974">
        <f>ROUND(Calls[[#This Row],[Satisfaction Rating]],0)</f>
        <v>3</v>
      </c>
    </row>
    <row r="975" spans="2:12" x14ac:dyDescent="0.3">
      <c r="B975" s="22" t="s">
        <v>1009</v>
      </c>
      <c r="C975" s="4" t="s">
        <v>24</v>
      </c>
      <c r="D975" s="4">
        <v>141</v>
      </c>
      <c r="E975" s="5" t="s">
        <v>10</v>
      </c>
      <c r="F975" s="9">
        <v>45276</v>
      </c>
      <c r="G975" s="4">
        <v>66</v>
      </c>
      <c r="H975" s="23">
        <v>3.2</v>
      </c>
      <c r="I975">
        <f>IF(MONTH(Calls[[#This Row],[Date of Call]])&lt;6,YEAR(Calls[[#This Row],[Date of Call]]),YEAR(Calls[[#This Row],[Date of Call]])+1)</f>
        <v>2024</v>
      </c>
      <c r="J975" t="str">
        <f>TEXT(Calls[[#This Row],[Date of Call]],"DDDD")</f>
        <v>Saturday</v>
      </c>
      <c r="K975" t="str" cm="1">
        <f t="array" ref="K975">_xlfn.IFS(Calls[[#This Row],[Duration]]&lt;10,"Under 10 Mins",Calls[[#This Row],[Duration]]&lt;=30,"10 - 30 Mins",Calls[[#This Row],[Duration]]&lt;=60,"30 - 60 Mins",Calls[[#This Row],[Duration]]&lt;=120,"1 - 2 Hours",TRUE,"More than 2  Hours")</f>
        <v>More than 2  Hours</v>
      </c>
      <c r="L975">
        <f>ROUND(Calls[[#This Row],[Satisfaction Rating]],0)</f>
        <v>3</v>
      </c>
    </row>
    <row r="976" spans="2:12" x14ac:dyDescent="0.3">
      <c r="B976" s="22" t="s">
        <v>1010</v>
      </c>
      <c r="C976" s="4" t="s">
        <v>18</v>
      </c>
      <c r="D976" s="4">
        <v>147</v>
      </c>
      <c r="E976" s="5" t="s">
        <v>13</v>
      </c>
      <c r="F976" s="9">
        <v>45276</v>
      </c>
      <c r="G976" s="4">
        <v>76</v>
      </c>
      <c r="H976" s="23">
        <v>4.7</v>
      </c>
      <c r="I976">
        <f>IF(MONTH(Calls[[#This Row],[Date of Call]])&lt;6,YEAR(Calls[[#This Row],[Date of Call]]),YEAR(Calls[[#This Row],[Date of Call]])+1)</f>
        <v>2024</v>
      </c>
      <c r="J976" t="str">
        <f>TEXT(Calls[[#This Row],[Date of Call]],"DDDD")</f>
        <v>Saturday</v>
      </c>
      <c r="K976" t="str" cm="1">
        <f t="array" ref="K976">_xlfn.IFS(Calls[[#This Row],[Duration]]&lt;10,"Under 10 Mins",Calls[[#This Row],[Duration]]&lt;=30,"10 - 30 Mins",Calls[[#This Row],[Duration]]&lt;=60,"30 - 60 Mins",Calls[[#This Row],[Duration]]&lt;=120,"1 - 2 Hours",TRUE,"More than 2  Hours")</f>
        <v>More than 2  Hours</v>
      </c>
      <c r="L976">
        <f>ROUND(Calls[[#This Row],[Satisfaction Rating]],0)</f>
        <v>5</v>
      </c>
    </row>
    <row r="977" spans="2:12" x14ac:dyDescent="0.3">
      <c r="B977" s="22" t="s">
        <v>1011</v>
      </c>
      <c r="C977" s="4" t="s">
        <v>19</v>
      </c>
      <c r="D977" s="4">
        <v>126</v>
      </c>
      <c r="E977" s="5" t="s">
        <v>13</v>
      </c>
      <c r="F977" s="9">
        <v>45276</v>
      </c>
      <c r="G977" s="4">
        <v>185</v>
      </c>
      <c r="H977" s="23">
        <v>4.8</v>
      </c>
      <c r="I977">
        <f>IF(MONTH(Calls[[#This Row],[Date of Call]])&lt;6,YEAR(Calls[[#This Row],[Date of Call]]),YEAR(Calls[[#This Row],[Date of Call]])+1)</f>
        <v>2024</v>
      </c>
      <c r="J977" t="str">
        <f>TEXT(Calls[[#This Row],[Date of Call]],"DDDD")</f>
        <v>Saturday</v>
      </c>
      <c r="K977" t="str" cm="1">
        <f t="array" ref="K977">_xlfn.IFS(Calls[[#This Row],[Duration]]&lt;10,"Under 10 Mins",Calls[[#This Row],[Duration]]&lt;=30,"10 - 30 Mins",Calls[[#This Row],[Duration]]&lt;=60,"30 - 60 Mins",Calls[[#This Row],[Duration]]&lt;=120,"1 - 2 Hours",TRUE,"More than 2  Hours")</f>
        <v>More than 2  Hours</v>
      </c>
      <c r="L977">
        <f>ROUND(Calls[[#This Row],[Satisfaction Rating]],0)</f>
        <v>5</v>
      </c>
    </row>
    <row r="978" spans="2:12" x14ac:dyDescent="0.3">
      <c r="B978" s="22" t="s">
        <v>1012</v>
      </c>
      <c r="C978" s="4" t="s">
        <v>23</v>
      </c>
      <c r="D978" s="4">
        <v>126</v>
      </c>
      <c r="E978" s="5" t="s">
        <v>11</v>
      </c>
      <c r="F978" s="9">
        <v>45277</v>
      </c>
      <c r="G978" s="4">
        <v>80</v>
      </c>
      <c r="H978" s="23">
        <v>4.7</v>
      </c>
      <c r="I978">
        <f>IF(MONTH(Calls[[#This Row],[Date of Call]])&lt;6,YEAR(Calls[[#This Row],[Date of Call]]),YEAR(Calls[[#This Row],[Date of Call]])+1)</f>
        <v>2024</v>
      </c>
      <c r="J978" t="str">
        <f>TEXT(Calls[[#This Row],[Date of Call]],"DDDD")</f>
        <v>Sunday</v>
      </c>
      <c r="K978" t="str" cm="1">
        <f t="array" ref="K978">_xlfn.IFS(Calls[[#This Row],[Duration]]&lt;10,"Under 10 Mins",Calls[[#This Row],[Duration]]&lt;=30,"10 - 30 Mins",Calls[[#This Row],[Duration]]&lt;=60,"30 - 60 Mins",Calls[[#This Row],[Duration]]&lt;=120,"1 - 2 Hours",TRUE,"More than 2  Hours")</f>
        <v>More than 2  Hours</v>
      </c>
      <c r="L978">
        <f>ROUND(Calls[[#This Row],[Satisfaction Rating]],0)</f>
        <v>5</v>
      </c>
    </row>
    <row r="979" spans="2:12" x14ac:dyDescent="0.3">
      <c r="B979" s="22" t="s">
        <v>1013</v>
      </c>
      <c r="C979" s="4" t="s">
        <v>14</v>
      </c>
      <c r="D979" s="4">
        <v>32</v>
      </c>
      <c r="E979" s="5" t="s">
        <v>13</v>
      </c>
      <c r="F979" s="9">
        <v>45277</v>
      </c>
      <c r="G979" s="4">
        <v>148</v>
      </c>
      <c r="H979" s="23">
        <v>4</v>
      </c>
      <c r="I979">
        <f>IF(MONTH(Calls[[#This Row],[Date of Call]])&lt;6,YEAR(Calls[[#This Row],[Date of Call]]),YEAR(Calls[[#This Row],[Date of Call]])+1)</f>
        <v>2024</v>
      </c>
      <c r="J979" t="str">
        <f>TEXT(Calls[[#This Row],[Date of Call]],"DDDD")</f>
        <v>Sunday</v>
      </c>
      <c r="K979" t="str" cm="1">
        <f t="array" ref="K979">_xlfn.IFS(Calls[[#This Row],[Duration]]&lt;10,"Under 10 Mins",Calls[[#This Row],[Duration]]&lt;=30,"10 - 30 Mins",Calls[[#This Row],[Duration]]&lt;=60,"30 - 60 Mins",Calls[[#This Row],[Duration]]&lt;=120,"1 - 2 Hours",TRUE,"More than 2  Hours")</f>
        <v>30 - 60 Mins</v>
      </c>
      <c r="L979">
        <f>ROUND(Calls[[#This Row],[Satisfaction Rating]],0)</f>
        <v>4</v>
      </c>
    </row>
    <row r="980" spans="2:12" x14ac:dyDescent="0.3">
      <c r="B980" s="22" t="s">
        <v>1014</v>
      </c>
      <c r="C980" s="4" t="s">
        <v>23</v>
      </c>
      <c r="D980" s="4">
        <v>84</v>
      </c>
      <c r="E980" s="5" t="s">
        <v>6</v>
      </c>
      <c r="F980" s="9">
        <v>45279</v>
      </c>
      <c r="G980" s="4">
        <v>180</v>
      </c>
      <c r="H980" s="23">
        <v>4.9000000000000004</v>
      </c>
      <c r="I980">
        <f>IF(MONTH(Calls[[#This Row],[Date of Call]])&lt;6,YEAR(Calls[[#This Row],[Date of Call]]),YEAR(Calls[[#This Row],[Date of Call]])+1)</f>
        <v>2024</v>
      </c>
      <c r="J980" t="str">
        <f>TEXT(Calls[[#This Row],[Date of Call]],"DDDD")</f>
        <v>Tuesday</v>
      </c>
      <c r="K980" t="str" cm="1">
        <f t="array" ref="K980">_xlfn.IFS(Calls[[#This Row],[Duration]]&lt;10,"Under 10 Mins",Calls[[#This Row],[Duration]]&lt;=30,"10 - 30 Mins",Calls[[#This Row],[Duration]]&lt;=60,"30 - 60 Mins",Calls[[#This Row],[Duration]]&lt;=120,"1 - 2 Hours",TRUE,"More than 2  Hours")</f>
        <v>1 - 2 Hours</v>
      </c>
      <c r="L980">
        <f>ROUND(Calls[[#This Row],[Satisfaction Rating]],0)</f>
        <v>5</v>
      </c>
    </row>
    <row r="981" spans="2:12" x14ac:dyDescent="0.3">
      <c r="B981" s="22" t="s">
        <v>1015</v>
      </c>
      <c r="C981" s="4" t="s">
        <v>22</v>
      </c>
      <c r="D981" s="4">
        <v>120</v>
      </c>
      <c r="E981" s="5" t="s">
        <v>11</v>
      </c>
      <c r="F981" s="9">
        <v>45280</v>
      </c>
      <c r="G981" s="4">
        <v>190</v>
      </c>
      <c r="H981" s="23">
        <v>3.7</v>
      </c>
      <c r="I981">
        <f>IF(MONTH(Calls[[#This Row],[Date of Call]])&lt;6,YEAR(Calls[[#This Row],[Date of Call]]),YEAR(Calls[[#This Row],[Date of Call]])+1)</f>
        <v>2024</v>
      </c>
      <c r="J981" t="str">
        <f>TEXT(Calls[[#This Row],[Date of Call]],"DDDD")</f>
        <v>Wednesday</v>
      </c>
      <c r="K981" t="str" cm="1">
        <f t="array" ref="K981">_xlfn.IFS(Calls[[#This Row],[Duration]]&lt;10,"Under 10 Mins",Calls[[#This Row],[Duration]]&lt;=30,"10 - 30 Mins",Calls[[#This Row],[Duration]]&lt;=60,"30 - 60 Mins",Calls[[#This Row],[Duration]]&lt;=120,"1 - 2 Hours",TRUE,"More than 2  Hours")</f>
        <v>1 - 2 Hours</v>
      </c>
      <c r="L981">
        <f>ROUND(Calls[[#This Row],[Satisfaction Rating]],0)</f>
        <v>4</v>
      </c>
    </row>
    <row r="982" spans="2:12" x14ac:dyDescent="0.3">
      <c r="B982" s="22" t="s">
        <v>1016</v>
      </c>
      <c r="C982" s="4" t="s">
        <v>8</v>
      </c>
      <c r="D982" s="4">
        <v>93</v>
      </c>
      <c r="E982" s="5" t="s">
        <v>13</v>
      </c>
      <c r="F982" s="9">
        <v>45280</v>
      </c>
      <c r="G982" s="4">
        <v>38</v>
      </c>
      <c r="H982" s="23">
        <v>4.5</v>
      </c>
      <c r="I982">
        <f>IF(MONTH(Calls[[#This Row],[Date of Call]])&lt;6,YEAR(Calls[[#This Row],[Date of Call]]),YEAR(Calls[[#This Row],[Date of Call]])+1)</f>
        <v>2024</v>
      </c>
      <c r="J982" t="str">
        <f>TEXT(Calls[[#This Row],[Date of Call]],"DDDD")</f>
        <v>Wednesday</v>
      </c>
      <c r="K982" t="str" cm="1">
        <f t="array" ref="K982">_xlfn.IFS(Calls[[#This Row],[Duration]]&lt;10,"Under 10 Mins",Calls[[#This Row],[Duration]]&lt;=30,"10 - 30 Mins",Calls[[#This Row],[Duration]]&lt;=60,"30 - 60 Mins",Calls[[#This Row],[Duration]]&lt;=120,"1 - 2 Hours",TRUE,"More than 2  Hours")</f>
        <v>1 - 2 Hours</v>
      </c>
      <c r="L982">
        <f>ROUND(Calls[[#This Row],[Satisfaction Rating]],0)</f>
        <v>5</v>
      </c>
    </row>
    <row r="983" spans="2:12" x14ac:dyDescent="0.3">
      <c r="B983" s="22" t="s">
        <v>1017</v>
      </c>
      <c r="C983" s="4" t="s">
        <v>15</v>
      </c>
      <c r="D983" s="4">
        <v>76</v>
      </c>
      <c r="E983" s="5" t="s">
        <v>9</v>
      </c>
      <c r="F983" s="9">
        <v>45281</v>
      </c>
      <c r="G983" s="4">
        <v>82</v>
      </c>
      <c r="H983" s="23">
        <v>2.1</v>
      </c>
      <c r="I983">
        <f>IF(MONTH(Calls[[#This Row],[Date of Call]])&lt;6,YEAR(Calls[[#This Row],[Date of Call]]),YEAR(Calls[[#This Row],[Date of Call]])+1)</f>
        <v>2024</v>
      </c>
      <c r="J983" t="str">
        <f>TEXT(Calls[[#This Row],[Date of Call]],"DDDD")</f>
        <v>Thursday</v>
      </c>
      <c r="K983" t="str" cm="1">
        <f t="array" ref="K983">_xlfn.IFS(Calls[[#This Row],[Duration]]&lt;10,"Under 10 Mins",Calls[[#This Row],[Duration]]&lt;=30,"10 - 30 Mins",Calls[[#This Row],[Duration]]&lt;=60,"30 - 60 Mins",Calls[[#This Row],[Duration]]&lt;=120,"1 - 2 Hours",TRUE,"More than 2  Hours")</f>
        <v>1 - 2 Hours</v>
      </c>
      <c r="L983">
        <f>ROUND(Calls[[#This Row],[Satisfaction Rating]],0)</f>
        <v>2</v>
      </c>
    </row>
    <row r="984" spans="2:12" x14ac:dyDescent="0.3">
      <c r="B984" s="22" t="s">
        <v>1018</v>
      </c>
      <c r="C984" s="4" t="s">
        <v>5</v>
      </c>
      <c r="D984" s="4">
        <v>89</v>
      </c>
      <c r="E984" s="5" t="s">
        <v>13</v>
      </c>
      <c r="F984" s="9">
        <v>45284</v>
      </c>
      <c r="G984" s="4">
        <v>88</v>
      </c>
      <c r="H984" s="23">
        <v>2.8</v>
      </c>
      <c r="I984">
        <f>IF(MONTH(Calls[[#This Row],[Date of Call]])&lt;6,YEAR(Calls[[#This Row],[Date of Call]]),YEAR(Calls[[#This Row],[Date of Call]])+1)</f>
        <v>2024</v>
      </c>
      <c r="J984" t="str">
        <f>TEXT(Calls[[#This Row],[Date of Call]],"DDDD")</f>
        <v>Sunday</v>
      </c>
      <c r="K984" t="str" cm="1">
        <f t="array" ref="K984">_xlfn.IFS(Calls[[#This Row],[Duration]]&lt;10,"Under 10 Mins",Calls[[#This Row],[Duration]]&lt;=30,"10 - 30 Mins",Calls[[#This Row],[Duration]]&lt;=60,"30 - 60 Mins",Calls[[#This Row],[Duration]]&lt;=120,"1 - 2 Hours",TRUE,"More than 2  Hours")</f>
        <v>1 - 2 Hours</v>
      </c>
      <c r="L984">
        <f>ROUND(Calls[[#This Row],[Satisfaction Rating]],0)</f>
        <v>3</v>
      </c>
    </row>
    <row r="985" spans="2:12" x14ac:dyDescent="0.3">
      <c r="B985" s="22" t="s">
        <v>1019</v>
      </c>
      <c r="C985" s="4" t="s">
        <v>21</v>
      </c>
      <c r="D985" s="4">
        <v>91</v>
      </c>
      <c r="E985" s="5" t="s">
        <v>6</v>
      </c>
      <c r="F985" s="9">
        <v>45284</v>
      </c>
      <c r="G985" s="4">
        <v>42</v>
      </c>
      <c r="H985" s="23">
        <v>4.0999999999999996</v>
      </c>
      <c r="I985">
        <f>IF(MONTH(Calls[[#This Row],[Date of Call]])&lt;6,YEAR(Calls[[#This Row],[Date of Call]]),YEAR(Calls[[#This Row],[Date of Call]])+1)</f>
        <v>2024</v>
      </c>
      <c r="J985" t="str">
        <f>TEXT(Calls[[#This Row],[Date of Call]],"DDDD")</f>
        <v>Sunday</v>
      </c>
      <c r="K985" t="str" cm="1">
        <f t="array" ref="K985">_xlfn.IFS(Calls[[#This Row],[Duration]]&lt;10,"Under 10 Mins",Calls[[#This Row],[Duration]]&lt;=30,"10 - 30 Mins",Calls[[#This Row],[Duration]]&lt;=60,"30 - 60 Mins",Calls[[#This Row],[Duration]]&lt;=120,"1 - 2 Hours",TRUE,"More than 2  Hours")</f>
        <v>1 - 2 Hours</v>
      </c>
      <c r="L985">
        <f>ROUND(Calls[[#This Row],[Satisfaction Rating]],0)</f>
        <v>4</v>
      </c>
    </row>
    <row r="986" spans="2:12" x14ac:dyDescent="0.3">
      <c r="B986" s="22" t="s">
        <v>1020</v>
      </c>
      <c r="C986" s="4" t="s">
        <v>7</v>
      </c>
      <c r="D986" s="4">
        <v>7</v>
      </c>
      <c r="E986" s="5" t="s">
        <v>10</v>
      </c>
      <c r="F986" s="9">
        <v>45285</v>
      </c>
      <c r="G986" s="4">
        <v>64</v>
      </c>
      <c r="H986" s="23">
        <v>3.3</v>
      </c>
      <c r="I986">
        <f>IF(MONTH(Calls[[#This Row],[Date of Call]])&lt;6,YEAR(Calls[[#This Row],[Date of Call]]),YEAR(Calls[[#This Row],[Date of Call]])+1)</f>
        <v>2024</v>
      </c>
      <c r="J986" t="str">
        <f>TEXT(Calls[[#This Row],[Date of Call]],"DDDD")</f>
        <v>Monday</v>
      </c>
      <c r="K986" t="str" cm="1">
        <f t="array" ref="K986">_xlfn.IFS(Calls[[#This Row],[Duration]]&lt;10,"Under 10 Mins",Calls[[#This Row],[Duration]]&lt;=30,"10 - 30 Mins",Calls[[#This Row],[Duration]]&lt;=60,"30 - 60 Mins",Calls[[#This Row],[Duration]]&lt;=120,"1 - 2 Hours",TRUE,"More than 2  Hours")</f>
        <v>Under 10 Mins</v>
      </c>
      <c r="L986">
        <f>ROUND(Calls[[#This Row],[Satisfaction Rating]],0)</f>
        <v>3</v>
      </c>
    </row>
    <row r="987" spans="2:12" x14ac:dyDescent="0.3">
      <c r="B987" s="22" t="s">
        <v>1021</v>
      </c>
      <c r="C987" s="4" t="s">
        <v>14</v>
      </c>
      <c r="D987" s="4">
        <v>140</v>
      </c>
      <c r="E987" s="5" t="s">
        <v>10</v>
      </c>
      <c r="F987" s="9">
        <v>45285</v>
      </c>
      <c r="G987" s="4">
        <v>105</v>
      </c>
      <c r="H987" s="23">
        <v>1.7</v>
      </c>
      <c r="I987">
        <f>IF(MONTH(Calls[[#This Row],[Date of Call]])&lt;6,YEAR(Calls[[#This Row],[Date of Call]]),YEAR(Calls[[#This Row],[Date of Call]])+1)</f>
        <v>2024</v>
      </c>
      <c r="J987" t="str">
        <f>TEXT(Calls[[#This Row],[Date of Call]],"DDDD")</f>
        <v>Monday</v>
      </c>
      <c r="K987" t="str" cm="1">
        <f t="array" ref="K987">_xlfn.IFS(Calls[[#This Row],[Duration]]&lt;10,"Under 10 Mins",Calls[[#This Row],[Duration]]&lt;=30,"10 - 30 Mins",Calls[[#This Row],[Duration]]&lt;=60,"30 - 60 Mins",Calls[[#This Row],[Duration]]&lt;=120,"1 - 2 Hours",TRUE,"More than 2  Hours")</f>
        <v>More than 2  Hours</v>
      </c>
      <c r="L987">
        <f>ROUND(Calls[[#This Row],[Satisfaction Rating]],0)</f>
        <v>2</v>
      </c>
    </row>
    <row r="988" spans="2:12" x14ac:dyDescent="0.3">
      <c r="B988" s="22" t="s">
        <v>1022</v>
      </c>
      <c r="C988" s="4" t="s">
        <v>12</v>
      </c>
      <c r="D988" s="4">
        <v>58</v>
      </c>
      <c r="E988" s="5" t="s">
        <v>11</v>
      </c>
      <c r="F988" s="9">
        <v>45285</v>
      </c>
      <c r="G988" s="4">
        <v>25</v>
      </c>
      <c r="H988" s="23">
        <v>3.6</v>
      </c>
      <c r="I988">
        <f>IF(MONTH(Calls[[#This Row],[Date of Call]])&lt;6,YEAR(Calls[[#This Row],[Date of Call]]),YEAR(Calls[[#This Row],[Date of Call]])+1)</f>
        <v>2024</v>
      </c>
      <c r="J988" t="str">
        <f>TEXT(Calls[[#This Row],[Date of Call]],"DDDD")</f>
        <v>Monday</v>
      </c>
      <c r="K988" t="str" cm="1">
        <f t="array" ref="K988">_xlfn.IFS(Calls[[#This Row],[Duration]]&lt;10,"Under 10 Mins",Calls[[#This Row],[Duration]]&lt;=30,"10 - 30 Mins",Calls[[#This Row],[Duration]]&lt;=60,"30 - 60 Mins",Calls[[#This Row],[Duration]]&lt;=120,"1 - 2 Hours",TRUE,"More than 2  Hours")</f>
        <v>30 - 60 Mins</v>
      </c>
      <c r="L988">
        <f>ROUND(Calls[[#This Row],[Satisfaction Rating]],0)</f>
        <v>4</v>
      </c>
    </row>
    <row r="989" spans="2:12" x14ac:dyDescent="0.3">
      <c r="B989" s="22" t="s">
        <v>1023</v>
      </c>
      <c r="C989" s="4" t="s">
        <v>20</v>
      </c>
      <c r="D989" s="4">
        <v>90</v>
      </c>
      <c r="E989" s="5" t="s">
        <v>9</v>
      </c>
      <c r="F989" s="9">
        <v>45286</v>
      </c>
      <c r="G989" s="4">
        <v>176</v>
      </c>
      <c r="H989" s="23">
        <v>3.6</v>
      </c>
      <c r="I989">
        <f>IF(MONTH(Calls[[#This Row],[Date of Call]])&lt;6,YEAR(Calls[[#This Row],[Date of Call]]),YEAR(Calls[[#This Row],[Date of Call]])+1)</f>
        <v>2024</v>
      </c>
      <c r="J989" t="str">
        <f>TEXT(Calls[[#This Row],[Date of Call]],"DDDD")</f>
        <v>Tuesday</v>
      </c>
      <c r="K989" t="str" cm="1">
        <f t="array" ref="K989">_xlfn.IFS(Calls[[#This Row],[Duration]]&lt;10,"Under 10 Mins",Calls[[#This Row],[Duration]]&lt;=30,"10 - 30 Mins",Calls[[#This Row],[Duration]]&lt;=60,"30 - 60 Mins",Calls[[#This Row],[Duration]]&lt;=120,"1 - 2 Hours",TRUE,"More than 2  Hours")</f>
        <v>1 - 2 Hours</v>
      </c>
      <c r="L989">
        <f>ROUND(Calls[[#This Row],[Satisfaction Rating]],0)</f>
        <v>4</v>
      </c>
    </row>
    <row r="990" spans="2:12" x14ac:dyDescent="0.3">
      <c r="B990" s="22" t="s">
        <v>1024</v>
      </c>
      <c r="C990" s="4" t="s">
        <v>20</v>
      </c>
      <c r="D990" s="4">
        <v>106</v>
      </c>
      <c r="E990" s="5" t="s">
        <v>13</v>
      </c>
      <c r="F990" s="9">
        <v>45287</v>
      </c>
      <c r="G990" s="4">
        <v>46</v>
      </c>
      <c r="H990" s="23">
        <v>4.5999999999999996</v>
      </c>
      <c r="I990">
        <f>IF(MONTH(Calls[[#This Row],[Date of Call]])&lt;6,YEAR(Calls[[#This Row],[Date of Call]]),YEAR(Calls[[#This Row],[Date of Call]])+1)</f>
        <v>2024</v>
      </c>
      <c r="J990" t="str">
        <f>TEXT(Calls[[#This Row],[Date of Call]],"DDDD")</f>
        <v>Wednesday</v>
      </c>
      <c r="K990" t="str" cm="1">
        <f t="array" ref="K990">_xlfn.IFS(Calls[[#This Row],[Duration]]&lt;10,"Under 10 Mins",Calls[[#This Row],[Duration]]&lt;=30,"10 - 30 Mins",Calls[[#This Row],[Duration]]&lt;=60,"30 - 60 Mins",Calls[[#This Row],[Duration]]&lt;=120,"1 - 2 Hours",TRUE,"More than 2  Hours")</f>
        <v>1 - 2 Hours</v>
      </c>
      <c r="L990">
        <f>ROUND(Calls[[#This Row],[Satisfaction Rating]],0)</f>
        <v>5</v>
      </c>
    </row>
    <row r="991" spans="2:12" x14ac:dyDescent="0.3">
      <c r="B991" s="22" t="s">
        <v>1025</v>
      </c>
      <c r="C991" s="4" t="s">
        <v>22</v>
      </c>
      <c r="D991" s="4">
        <v>72</v>
      </c>
      <c r="E991" s="5" t="s">
        <v>10</v>
      </c>
      <c r="F991" s="9">
        <v>45287</v>
      </c>
      <c r="G991" s="4">
        <v>164</v>
      </c>
      <c r="H991" s="23">
        <v>4.8</v>
      </c>
      <c r="I991">
        <f>IF(MONTH(Calls[[#This Row],[Date of Call]])&lt;6,YEAR(Calls[[#This Row],[Date of Call]]),YEAR(Calls[[#This Row],[Date of Call]])+1)</f>
        <v>2024</v>
      </c>
      <c r="J991" t="str">
        <f>TEXT(Calls[[#This Row],[Date of Call]],"DDDD")</f>
        <v>Wednesday</v>
      </c>
      <c r="K991" t="str" cm="1">
        <f t="array" ref="K991">_xlfn.IFS(Calls[[#This Row],[Duration]]&lt;10,"Under 10 Mins",Calls[[#This Row],[Duration]]&lt;=30,"10 - 30 Mins",Calls[[#This Row],[Duration]]&lt;=60,"30 - 60 Mins",Calls[[#This Row],[Duration]]&lt;=120,"1 - 2 Hours",TRUE,"More than 2  Hours")</f>
        <v>1 - 2 Hours</v>
      </c>
      <c r="L991">
        <f>ROUND(Calls[[#This Row],[Satisfaction Rating]],0)</f>
        <v>5</v>
      </c>
    </row>
    <row r="992" spans="2:12" x14ac:dyDescent="0.3">
      <c r="B992" s="22" t="s">
        <v>1026</v>
      </c>
      <c r="C992" s="4" t="s">
        <v>7</v>
      </c>
      <c r="D992" s="4">
        <v>124</v>
      </c>
      <c r="E992" s="5" t="s">
        <v>10</v>
      </c>
      <c r="F992" s="9">
        <v>45288</v>
      </c>
      <c r="G992" s="4">
        <v>64</v>
      </c>
      <c r="H992" s="23">
        <v>4.5</v>
      </c>
      <c r="I992">
        <f>IF(MONTH(Calls[[#This Row],[Date of Call]])&lt;6,YEAR(Calls[[#This Row],[Date of Call]]),YEAR(Calls[[#This Row],[Date of Call]])+1)</f>
        <v>2024</v>
      </c>
      <c r="J992" t="str">
        <f>TEXT(Calls[[#This Row],[Date of Call]],"DDDD")</f>
        <v>Thursday</v>
      </c>
      <c r="K992" t="str" cm="1">
        <f t="array" ref="K992">_xlfn.IFS(Calls[[#This Row],[Duration]]&lt;10,"Under 10 Mins",Calls[[#This Row],[Duration]]&lt;=30,"10 - 30 Mins",Calls[[#This Row],[Duration]]&lt;=60,"30 - 60 Mins",Calls[[#This Row],[Duration]]&lt;=120,"1 - 2 Hours",TRUE,"More than 2  Hours")</f>
        <v>More than 2  Hours</v>
      </c>
      <c r="L992">
        <f>ROUND(Calls[[#This Row],[Satisfaction Rating]],0)</f>
        <v>5</v>
      </c>
    </row>
    <row r="993" spans="2:12" x14ac:dyDescent="0.3">
      <c r="B993" s="22" t="s">
        <v>1027</v>
      </c>
      <c r="C993" s="4" t="s">
        <v>24</v>
      </c>
      <c r="D993" s="4">
        <v>86</v>
      </c>
      <c r="E993" s="5" t="s">
        <v>6</v>
      </c>
      <c r="F993" s="9">
        <v>45288</v>
      </c>
      <c r="G993" s="4">
        <v>205</v>
      </c>
      <c r="H993" s="23">
        <v>4.5</v>
      </c>
      <c r="I993">
        <f>IF(MONTH(Calls[[#This Row],[Date of Call]])&lt;6,YEAR(Calls[[#This Row],[Date of Call]]),YEAR(Calls[[#This Row],[Date of Call]])+1)</f>
        <v>2024</v>
      </c>
      <c r="J993" t="str">
        <f>TEXT(Calls[[#This Row],[Date of Call]],"DDDD")</f>
        <v>Thursday</v>
      </c>
      <c r="K993" t="str" cm="1">
        <f t="array" ref="K993">_xlfn.IFS(Calls[[#This Row],[Duration]]&lt;10,"Under 10 Mins",Calls[[#This Row],[Duration]]&lt;=30,"10 - 30 Mins",Calls[[#This Row],[Duration]]&lt;=60,"30 - 60 Mins",Calls[[#This Row],[Duration]]&lt;=120,"1 - 2 Hours",TRUE,"More than 2  Hours")</f>
        <v>1 - 2 Hours</v>
      </c>
      <c r="L993">
        <f>ROUND(Calls[[#This Row],[Satisfaction Rating]],0)</f>
        <v>5</v>
      </c>
    </row>
    <row r="994" spans="2:12" x14ac:dyDescent="0.3">
      <c r="B994" s="22" t="s">
        <v>1028</v>
      </c>
      <c r="C994" s="4" t="s">
        <v>23</v>
      </c>
      <c r="D994" s="4">
        <v>164</v>
      </c>
      <c r="E994" s="5" t="s">
        <v>6</v>
      </c>
      <c r="F994" s="9">
        <v>45289</v>
      </c>
      <c r="G994" s="4">
        <v>100</v>
      </c>
      <c r="H994" s="23">
        <v>4.5999999999999996</v>
      </c>
      <c r="I994">
        <f>IF(MONTH(Calls[[#This Row],[Date of Call]])&lt;6,YEAR(Calls[[#This Row],[Date of Call]]),YEAR(Calls[[#This Row],[Date of Call]])+1)</f>
        <v>2024</v>
      </c>
      <c r="J994" t="str">
        <f>TEXT(Calls[[#This Row],[Date of Call]],"DDDD")</f>
        <v>Friday</v>
      </c>
      <c r="K994" t="str" cm="1">
        <f t="array" ref="K994">_xlfn.IFS(Calls[[#This Row],[Duration]]&lt;10,"Under 10 Mins",Calls[[#This Row],[Duration]]&lt;=30,"10 - 30 Mins",Calls[[#This Row],[Duration]]&lt;=60,"30 - 60 Mins",Calls[[#This Row],[Duration]]&lt;=120,"1 - 2 Hours",TRUE,"More than 2  Hours")</f>
        <v>More than 2  Hours</v>
      </c>
      <c r="L994">
        <f>ROUND(Calls[[#This Row],[Satisfaction Rating]],0)</f>
        <v>5</v>
      </c>
    </row>
    <row r="995" spans="2:12" x14ac:dyDescent="0.3">
      <c r="B995" s="22" t="s">
        <v>1029</v>
      </c>
      <c r="C995" s="4" t="s">
        <v>8</v>
      </c>
      <c r="D995" s="4">
        <v>40</v>
      </c>
      <c r="E995" s="5" t="s">
        <v>9</v>
      </c>
      <c r="F995" s="9">
        <v>45289</v>
      </c>
      <c r="G995" s="4">
        <v>111</v>
      </c>
      <c r="H995" s="23">
        <v>4.5999999999999996</v>
      </c>
      <c r="I995">
        <f>IF(MONTH(Calls[[#This Row],[Date of Call]])&lt;6,YEAR(Calls[[#This Row],[Date of Call]]),YEAR(Calls[[#This Row],[Date of Call]])+1)</f>
        <v>2024</v>
      </c>
      <c r="J995" t="str">
        <f>TEXT(Calls[[#This Row],[Date of Call]],"DDDD")</f>
        <v>Friday</v>
      </c>
      <c r="K995" t="str" cm="1">
        <f t="array" ref="K995">_xlfn.IFS(Calls[[#This Row],[Duration]]&lt;10,"Under 10 Mins",Calls[[#This Row],[Duration]]&lt;=30,"10 - 30 Mins",Calls[[#This Row],[Duration]]&lt;=60,"30 - 60 Mins",Calls[[#This Row],[Duration]]&lt;=120,"1 - 2 Hours",TRUE,"More than 2  Hours")</f>
        <v>30 - 60 Mins</v>
      </c>
      <c r="L995">
        <f>ROUND(Calls[[#This Row],[Satisfaction Rating]],0)</f>
        <v>5</v>
      </c>
    </row>
    <row r="996" spans="2:12" x14ac:dyDescent="0.3">
      <c r="B996" s="22" t="s">
        <v>1030</v>
      </c>
      <c r="C996" s="4" t="s">
        <v>21</v>
      </c>
      <c r="D996" s="4">
        <v>76</v>
      </c>
      <c r="E996" s="5" t="s">
        <v>11</v>
      </c>
      <c r="F996" s="9">
        <v>45289</v>
      </c>
      <c r="G996" s="4">
        <v>80</v>
      </c>
      <c r="H996" s="23">
        <v>3.5</v>
      </c>
      <c r="I996">
        <f>IF(MONTH(Calls[[#This Row],[Date of Call]])&lt;6,YEAR(Calls[[#This Row],[Date of Call]]),YEAR(Calls[[#This Row],[Date of Call]])+1)</f>
        <v>2024</v>
      </c>
      <c r="J996" t="str">
        <f>TEXT(Calls[[#This Row],[Date of Call]],"DDDD")</f>
        <v>Friday</v>
      </c>
      <c r="K996" t="str" cm="1">
        <f t="array" ref="K996">_xlfn.IFS(Calls[[#This Row],[Duration]]&lt;10,"Under 10 Mins",Calls[[#This Row],[Duration]]&lt;=30,"10 - 30 Mins",Calls[[#This Row],[Duration]]&lt;=60,"30 - 60 Mins",Calls[[#This Row],[Duration]]&lt;=120,"1 - 2 Hours",TRUE,"More than 2  Hours")</f>
        <v>1 - 2 Hours</v>
      </c>
      <c r="L996">
        <f>ROUND(Calls[[#This Row],[Satisfaction Rating]],0)</f>
        <v>4</v>
      </c>
    </row>
    <row r="997" spans="2:12" x14ac:dyDescent="0.3">
      <c r="B997" s="22" t="s">
        <v>1031</v>
      </c>
      <c r="C997" s="4" t="s">
        <v>7</v>
      </c>
      <c r="D997" s="4">
        <v>95</v>
      </c>
      <c r="E997" s="5" t="s">
        <v>13</v>
      </c>
      <c r="F997" s="9">
        <v>45289</v>
      </c>
      <c r="G997" s="4">
        <v>50</v>
      </c>
      <c r="H997" s="23">
        <v>2.9</v>
      </c>
      <c r="I997">
        <f>IF(MONTH(Calls[[#This Row],[Date of Call]])&lt;6,YEAR(Calls[[#This Row],[Date of Call]]),YEAR(Calls[[#This Row],[Date of Call]])+1)</f>
        <v>2024</v>
      </c>
      <c r="J997" t="str">
        <f>TEXT(Calls[[#This Row],[Date of Call]],"DDDD")</f>
        <v>Friday</v>
      </c>
      <c r="K997" t="str" cm="1">
        <f t="array" ref="K997">_xlfn.IFS(Calls[[#This Row],[Duration]]&lt;10,"Under 10 Mins",Calls[[#This Row],[Duration]]&lt;=30,"10 - 30 Mins",Calls[[#This Row],[Duration]]&lt;=60,"30 - 60 Mins",Calls[[#This Row],[Duration]]&lt;=120,"1 - 2 Hours",TRUE,"More than 2  Hours")</f>
        <v>1 - 2 Hours</v>
      </c>
      <c r="L997">
        <f>ROUND(Calls[[#This Row],[Satisfaction Rating]],0)</f>
        <v>3</v>
      </c>
    </row>
    <row r="998" spans="2:12" x14ac:dyDescent="0.3">
      <c r="B998" s="22" t="s">
        <v>1032</v>
      </c>
      <c r="C998" s="4" t="s">
        <v>21</v>
      </c>
      <c r="D998" s="4">
        <v>113</v>
      </c>
      <c r="E998" s="5" t="s">
        <v>10</v>
      </c>
      <c r="F998" s="9">
        <v>45290</v>
      </c>
      <c r="G998" s="4">
        <v>165</v>
      </c>
      <c r="H998" s="23">
        <v>4.7</v>
      </c>
      <c r="I998">
        <f>IF(MONTH(Calls[[#This Row],[Date of Call]])&lt;6,YEAR(Calls[[#This Row],[Date of Call]]),YEAR(Calls[[#This Row],[Date of Call]])+1)</f>
        <v>2024</v>
      </c>
      <c r="J998" t="str">
        <f>TEXT(Calls[[#This Row],[Date of Call]],"DDDD")</f>
        <v>Saturday</v>
      </c>
      <c r="K998" t="str" cm="1">
        <f t="array" ref="K998">_xlfn.IFS(Calls[[#This Row],[Duration]]&lt;10,"Under 10 Mins",Calls[[#This Row],[Duration]]&lt;=30,"10 - 30 Mins",Calls[[#This Row],[Duration]]&lt;=60,"30 - 60 Mins",Calls[[#This Row],[Duration]]&lt;=120,"1 - 2 Hours",TRUE,"More than 2  Hours")</f>
        <v>1 - 2 Hours</v>
      </c>
      <c r="L998">
        <f>ROUND(Calls[[#This Row],[Satisfaction Rating]],0)</f>
        <v>5</v>
      </c>
    </row>
    <row r="999" spans="2:12" x14ac:dyDescent="0.3">
      <c r="B999" s="22" t="s">
        <v>1033</v>
      </c>
      <c r="C999" s="4" t="s">
        <v>24</v>
      </c>
      <c r="D999" s="4">
        <v>81</v>
      </c>
      <c r="E999" s="5" t="s">
        <v>10</v>
      </c>
      <c r="F999" s="9">
        <v>45290</v>
      </c>
      <c r="G999" s="4">
        <v>28</v>
      </c>
      <c r="H999" s="23">
        <v>3.9</v>
      </c>
      <c r="I999">
        <f>IF(MONTH(Calls[[#This Row],[Date of Call]])&lt;6,YEAR(Calls[[#This Row],[Date of Call]]),YEAR(Calls[[#This Row],[Date of Call]])+1)</f>
        <v>2024</v>
      </c>
      <c r="J999" t="str">
        <f>TEXT(Calls[[#This Row],[Date of Call]],"DDDD")</f>
        <v>Saturday</v>
      </c>
      <c r="K999" t="str" cm="1">
        <f t="array" ref="K999">_xlfn.IFS(Calls[[#This Row],[Duration]]&lt;10,"Under 10 Mins",Calls[[#This Row],[Duration]]&lt;=30,"10 - 30 Mins",Calls[[#This Row],[Duration]]&lt;=60,"30 - 60 Mins",Calls[[#This Row],[Duration]]&lt;=120,"1 - 2 Hours",TRUE,"More than 2  Hours")</f>
        <v>1 - 2 Hours</v>
      </c>
      <c r="L999">
        <f>ROUND(Calls[[#This Row],[Satisfaction Rating]],0)</f>
        <v>4</v>
      </c>
    </row>
    <row r="1000" spans="2:12" x14ac:dyDescent="0.3">
      <c r="B1000" s="22" t="s">
        <v>1034</v>
      </c>
      <c r="C1000" s="4" t="s">
        <v>15</v>
      </c>
      <c r="D1000" s="4">
        <v>127</v>
      </c>
      <c r="E1000" s="5" t="s">
        <v>13</v>
      </c>
      <c r="F1000" s="9">
        <v>45290</v>
      </c>
      <c r="G1000" s="4">
        <v>215</v>
      </c>
      <c r="H1000" s="23">
        <v>3.8</v>
      </c>
      <c r="I1000">
        <f>IF(MONTH(Calls[[#This Row],[Date of Call]])&lt;6,YEAR(Calls[[#This Row],[Date of Call]]),YEAR(Calls[[#This Row],[Date of Call]])+1)</f>
        <v>2024</v>
      </c>
      <c r="J1000" t="str">
        <f>TEXT(Calls[[#This Row],[Date of Call]],"DDDD")</f>
        <v>Saturday</v>
      </c>
      <c r="K1000" t="str" cm="1">
        <f t="array" ref="K1000">_xlfn.IFS(Calls[[#This Row],[Duration]]&lt;10,"Under 10 Mins",Calls[[#This Row],[Duration]]&lt;=30,"10 - 30 Mins",Calls[[#This Row],[Duration]]&lt;=60,"30 - 60 Mins",Calls[[#This Row],[Duration]]&lt;=120,"1 - 2 Hours",TRUE,"More than 2  Hours")</f>
        <v>More than 2  Hours</v>
      </c>
      <c r="L1000">
        <f>ROUND(Calls[[#This Row],[Satisfaction Rating]],0)</f>
        <v>4</v>
      </c>
    </row>
    <row r="1001" spans="2:12" x14ac:dyDescent="0.3">
      <c r="B1001" s="22" t="s">
        <v>1035</v>
      </c>
      <c r="C1001" s="4" t="s">
        <v>14</v>
      </c>
      <c r="D1001" s="4">
        <v>146</v>
      </c>
      <c r="E1001" s="5" t="s">
        <v>10</v>
      </c>
      <c r="F1001" s="9">
        <v>45291</v>
      </c>
      <c r="G1001" s="4">
        <v>115</v>
      </c>
      <c r="H1001" s="23">
        <v>2.2999999999999998</v>
      </c>
      <c r="I1001">
        <f>IF(MONTH(Calls[[#This Row],[Date of Call]])&lt;6,YEAR(Calls[[#This Row],[Date of Call]]),YEAR(Calls[[#This Row],[Date of Call]])+1)</f>
        <v>2024</v>
      </c>
      <c r="J1001" t="str">
        <f>TEXT(Calls[[#This Row],[Date of Call]],"DDDD")</f>
        <v>Sunday</v>
      </c>
      <c r="K1001" t="str" cm="1">
        <f t="array" ref="K1001">_xlfn.IFS(Calls[[#This Row],[Duration]]&lt;10,"Under 10 Mins",Calls[[#This Row],[Duration]]&lt;=30,"10 - 30 Mins",Calls[[#This Row],[Duration]]&lt;=60,"30 - 60 Mins",Calls[[#This Row],[Duration]]&lt;=120,"1 - 2 Hours",TRUE,"More than 2  Hours")</f>
        <v>More than 2  Hours</v>
      </c>
      <c r="L1001">
        <f>ROUND(Calls[[#This Row],[Satisfaction Rating]],0)</f>
        <v>2</v>
      </c>
    </row>
    <row r="1002" spans="2:12" x14ac:dyDescent="0.3">
      <c r="B1002" s="22" t="s">
        <v>1036</v>
      </c>
      <c r="C1002" s="4" t="s">
        <v>18</v>
      </c>
      <c r="D1002" s="4">
        <v>123</v>
      </c>
      <c r="E1002" s="5" t="s">
        <v>10</v>
      </c>
      <c r="F1002" s="9">
        <v>45291</v>
      </c>
      <c r="G1002" s="4">
        <v>64</v>
      </c>
      <c r="H1002" s="23">
        <v>3.7</v>
      </c>
      <c r="I1002">
        <f>IF(MONTH(Calls[[#This Row],[Date of Call]])&lt;6,YEAR(Calls[[#This Row],[Date of Call]]),YEAR(Calls[[#This Row],[Date of Call]])+1)</f>
        <v>2024</v>
      </c>
      <c r="J1002" t="str">
        <f>TEXT(Calls[[#This Row],[Date of Call]],"DDDD")</f>
        <v>Sunday</v>
      </c>
      <c r="K1002" t="str" cm="1">
        <f t="array" ref="K1002">_xlfn.IFS(Calls[[#This Row],[Duration]]&lt;10,"Under 10 Mins",Calls[[#This Row],[Duration]]&lt;=30,"10 - 30 Mins",Calls[[#This Row],[Duration]]&lt;=60,"30 - 60 Mins",Calls[[#This Row],[Duration]]&lt;=120,"1 - 2 Hours",TRUE,"More than 2  Hours")</f>
        <v>More than 2  Hours</v>
      </c>
      <c r="L1002">
        <f>ROUND(Calls[[#This Row],[Satisfaction Rating]],0)</f>
        <v>4</v>
      </c>
    </row>
    <row r="1003" spans="2:12" x14ac:dyDescent="0.3">
      <c r="B1003" s="29" t="s">
        <v>1037</v>
      </c>
      <c r="C1003" s="30" t="s">
        <v>22</v>
      </c>
      <c r="D1003" s="30">
        <v>114</v>
      </c>
      <c r="E1003" s="31" t="s">
        <v>11</v>
      </c>
      <c r="F1003" s="32">
        <v>45291</v>
      </c>
      <c r="G1003" s="30">
        <v>40</v>
      </c>
      <c r="H1003" s="33">
        <v>3.9</v>
      </c>
      <c r="I1003">
        <f>IF(MONTH(Calls[[#This Row],[Date of Call]])&lt;6,YEAR(Calls[[#This Row],[Date of Call]]),YEAR(Calls[[#This Row],[Date of Call]])+1)</f>
        <v>2024</v>
      </c>
      <c r="J1003" t="str">
        <f>TEXT(Calls[[#This Row],[Date of Call]],"DDDD")</f>
        <v>Sunday</v>
      </c>
      <c r="K1003" t="str" cm="1">
        <f t="array" ref="K1003">_xlfn.IFS(Calls[[#This Row],[Duration]]&lt;10,"Under 10 Mins",Calls[[#This Row],[Duration]]&lt;=30,"10 - 30 Mins",Calls[[#This Row],[Duration]]&lt;=60,"30 - 60 Mins",Calls[[#This Row],[Duration]]&lt;=120,"1 - 2 Hours",TRUE,"More than 2  Hours")</f>
        <v>1 - 2 Hours</v>
      </c>
      <c r="L1003">
        <f>ROUND(Calls[[#This Row],[Satisfaction Rating]],0)</f>
        <v>4</v>
      </c>
    </row>
    <row r="1004" spans="2:12" x14ac:dyDescent="0.3">
      <c r="B1004" s="29"/>
      <c r="C1004" s="30"/>
      <c r="D1004" s="30"/>
      <c r="E1004" s="31"/>
      <c r="F1004" s="32"/>
      <c r="G1004" s="30">
        <f>SUBTOTAL(109,Calls[Purchase Amount])</f>
        <v>96623</v>
      </c>
      <c r="H1004" s="33"/>
      <c r="I1004" s="34"/>
      <c r="J1004" s="34"/>
      <c r="K1004" s="34"/>
      <c r="L1004" s="34"/>
    </row>
  </sheetData>
  <phoneticPr fontId="3" type="noConversion"/>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Pivots</vt:lpstr>
      <vt:lpstr>Report page</vt:lpstr>
      <vt:lpstr>All Calculation</vt:lpstr>
      <vt:lpstr>1,2,3</vt:lpstr>
      <vt:lpstr>4</vt:lpstr>
      <vt:lpstr>5</vt:lpstr>
      <vt:lpstr>6,7</vt:lpstr>
      <vt:lpstr>8</vt:lpstr>
      <vt:lpstr>9,10</vt:lpstr>
      <vt:lpstr>hw</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Manjunath k</cp:lastModifiedBy>
  <dcterms:created xsi:type="dcterms:W3CDTF">2021-03-14T20:21:32Z</dcterms:created>
  <dcterms:modified xsi:type="dcterms:W3CDTF">2026-09-22T12:00:42Z</dcterms:modified>
</cp:coreProperties>
</file>